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Semtech\TicketDashboard\"/>
    </mc:Choice>
  </mc:AlternateContent>
  <xr:revisionPtr revIDLastSave="0" documentId="13_ncr:1_{62F7FAFA-12E5-4545-9843-6D400325D009}" xr6:coauthVersionLast="47" xr6:coauthVersionMax="47" xr10:uidLastSave="{00000000-0000-0000-0000-000000000000}"/>
  <bookViews>
    <workbookView xWindow="28680" yWindow="-120" windowWidth="29040" windowHeight="15720" activeTab="3" xr2:uid="{3BB88C70-2A13-49FB-9ED9-EE67053606B5}"/>
  </bookViews>
  <sheets>
    <sheet name="Downtime Entries" sheetId="2" r:id="rId1"/>
    <sheet name="1. Week SC SA" sheetId="4" r:id="rId2"/>
    <sheet name="1. Week AV and Other SA" sheetId="14" r:id="rId3"/>
    <sheet name="2. Month SC SA" sheetId="5" r:id="rId4"/>
    <sheet name="2. Month AV and Other SA" sheetId="12" r:id="rId5"/>
    <sheet name="3. Year AV and Other SA" sheetId="13" r:id="rId6"/>
    <sheet name="3. Year SC SA" sheetId="11" r:id="rId7"/>
    <sheet name="4. Rolling 12 Mo SC SA" sheetId="1" r:id="rId8"/>
    <sheet name="4. Rolling 12 Mos AV and Other " sheetId="10" r:id="rId9"/>
    <sheet name="2025_SC Overall Weighted SA" sheetId="3" r:id="rId10"/>
    <sheet name="Sheet9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5" i="5" l="1"/>
  <c r="BJ55" i="5"/>
  <c r="BJ54" i="5"/>
  <c r="BJ53" i="5"/>
  <c r="BJ51" i="5"/>
  <c r="BJ49" i="5"/>
  <c r="BJ48" i="5"/>
  <c r="BJ47" i="5"/>
  <c r="BJ45" i="5"/>
  <c r="BJ44" i="5"/>
  <c r="BJ43" i="5"/>
  <c r="BJ41" i="5"/>
  <c r="BJ40" i="5"/>
  <c r="BJ39" i="5"/>
  <c r="BJ37" i="5"/>
  <c r="BJ36" i="5"/>
  <c r="BJ1" i="5"/>
  <c r="BG1" i="5"/>
  <c r="BH1" i="5" s="1"/>
  <c r="BI1" i="11"/>
  <c r="BI50" i="13"/>
  <c r="BI49" i="13"/>
  <c r="BI48" i="13"/>
  <c r="BI47" i="13"/>
  <c r="BI46" i="13"/>
  <c r="BI44" i="13"/>
  <c r="BI43" i="13"/>
  <c r="BI42" i="13"/>
  <c r="BI41" i="13"/>
  <c r="BI40" i="13"/>
  <c r="BI39" i="13"/>
  <c r="BI38" i="13"/>
  <c r="BI36" i="13"/>
  <c r="BI35" i="13"/>
  <c r="BI34" i="13"/>
  <c r="BI33" i="13"/>
  <c r="BI32" i="13"/>
  <c r="BI50" i="12"/>
  <c r="BI49" i="12"/>
  <c r="BI48" i="12"/>
  <c r="BI47" i="12"/>
  <c r="BI46" i="12"/>
  <c r="BI44" i="12"/>
  <c r="BI43" i="12"/>
  <c r="BI42" i="12"/>
  <c r="BI41" i="12"/>
  <c r="BI40" i="12"/>
  <c r="BI39" i="12"/>
  <c r="BI36" i="12"/>
  <c r="BI35" i="12"/>
  <c r="BI34" i="12"/>
  <c r="BI33" i="12"/>
  <c r="BI32" i="12"/>
  <c r="BI50" i="14"/>
  <c r="BI49" i="14"/>
  <c r="BI48" i="14"/>
  <c r="BI47" i="14"/>
  <c r="BI46" i="14"/>
  <c r="BI44" i="14"/>
  <c r="BI43" i="14"/>
  <c r="BI42" i="14"/>
  <c r="BI41" i="14"/>
  <c r="BI40" i="14"/>
  <c r="BI39" i="14"/>
  <c r="BI36" i="14"/>
  <c r="BI35" i="14"/>
  <c r="BI34" i="14"/>
  <c r="BI33" i="14"/>
  <c r="BI32" i="14"/>
  <c r="BH4" i="10"/>
  <c r="BH24" i="10" s="1"/>
  <c r="BH53" i="1"/>
  <c r="BH54" i="1"/>
  <c r="BH55" i="1"/>
  <c r="BH51" i="1"/>
  <c r="BH47" i="1"/>
  <c r="BH48" i="1"/>
  <c r="BH49" i="1"/>
  <c r="BH43" i="1"/>
  <c r="BH44" i="1"/>
  <c r="BH45" i="1"/>
  <c r="BH39" i="1"/>
  <c r="BH40" i="1"/>
  <c r="BH41" i="1"/>
  <c r="BH35" i="1"/>
  <c r="BH36" i="1"/>
  <c r="BH37" i="1"/>
  <c r="BH1" i="11"/>
  <c r="BH53" i="11" s="1"/>
  <c r="BH50" i="13"/>
  <c r="BH39" i="13"/>
  <c r="BH40" i="13"/>
  <c r="BH41" i="13"/>
  <c r="BH46" i="13"/>
  <c r="BH46" i="12"/>
  <c r="BH47" i="12"/>
  <c r="BH48" i="12"/>
  <c r="BH49" i="12"/>
  <c r="BH50" i="12"/>
  <c r="BH39" i="12"/>
  <c r="BH40" i="12"/>
  <c r="BH41" i="12"/>
  <c r="BH42" i="12"/>
  <c r="BH43" i="12"/>
  <c r="BH44" i="12"/>
  <c r="BH32" i="12"/>
  <c r="BH33" i="12"/>
  <c r="BH34" i="12"/>
  <c r="BH35" i="12"/>
  <c r="BH36" i="12"/>
  <c r="BH50" i="14"/>
  <c r="BH49" i="14"/>
  <c r="BH48" i="14"/>
  <c r="BH47" i="14"/>
  <c r="BH46" i="14"/>
  <c r="BH44" i="14"/>
  <c r="BH43" i="14"/>
  <c r="BH42" i="14"/>
  <c r="BH41" i="14"/>
  <c r="BH40" i="14"/>
  <c r="BH39" i="14"/>
  <c r="BH36" i="14"/>
  <c r="BH35" i="14"/>
  <c r="BH34" i="14"/>
  <c r="BH33" i="14"/>
  <c r="BH32" i="14"/>
  <c r="BH55" i="4"/>
  <c r="BH54" i="4"/>
  <c r="BH53" i="4"/>
  <c r="BH51" i="4"/>
  <c r="BH49" i="4"/>
  <c r="BH48" i="4"/>
  <c r="BH47" i="4"/>
  <c r="BH45" i="4"/>
  <c r="BH44" i="4"/>
  <c r="BH43" i="4"/>
  <c r="BH41" i="4"/>
  <c r="BH40" i="4"/>
  <c r="BH39" i="4"/>
  <c r="BH37" i="4"/>
  <c r="BH36" i="4"/>
  <c r="BH35" i="4"/>
  <c r="BH30" i="10"/>
  <c r="BI30" i="10"/>
  <c r="BJ30" i="10"/>
  <c r="BK30" i="10"/>
  <c r="BH31" i="10"/>
  <c r="BI31" i="10"/>
  <c r="BJ31" i="10"/>
  <c r="BK31" i="10"/>
  <c r="BH32" i="10"/>
  <c r="BI32" i="10"/>
  <c r="BJ32" i="10"/>
  <c r="BK32" i="10"/>
  <c r="BH33" i="10"/>
  <c r="BI33" i="10"/>
  <c r="BJ33" i="10"/>
  <c r="BK33" i="10"/>
  <c r="BH34" i="10"/>
  <c r="BI34" i="10"/>
  <c r="BJ34" i="10"/>
  <c r="BK34" i="10"/>
  <c r="BI24" i="10"/>
  <c r="BJ24" i="10"/>
  <c r="BK24" i="10"/>
  <c r="BH25" i="10"/>
  <c r="BI25" i="10"/>
  <c r="BJ25" i="10"/>
  <c r="BK25" i="10"/>
  <c r="BH26" i="10"/>
  <c r="BI26" i="10"/>
  <c r="BJ26" i="10"/>
  <c r="BK26" i="10"/>
  <c r="BH27" i="10"/>
  <c r="BI27" i="10"/>
  <c r="BJ27" i="10"/>
  <c r="BK27" i="10"/>
  <c r="BH28" i="10"/>
  <c r="BI28" i="10"/>
  <c r="BJ28" i="10"/>
  <c r="BK28" i="10"/>
  <c r="BG4" i="10"/>
  <c r="BI1" i="5" l="1"/>
  <c r="BH51" i="5"/>
  <c r="BH35" i="5"/>
  <c r="BH45" i="5"/>
  <c r="BH44" i="5"/>
  <c r="BH43" i="5"/>
  <c r="BH41" i="5"/>
  <c r="BH40" i="5"/>
  <c r="BH37" i="5"/>
  <c r="BH36" i="5"/>
  <c r="BH55" i="5"/>
  <c r="BH39" i="5"/>
  <c r="BH54" i="5"/>
  <c r="BH53" i="5"/>
  <c r="BH49" i="5"/>
  <c r="BH48" i="5"/>
  <c r="BH47" i="5"/>
  <c r="BI43" i="5"/>
  <c r="BI41" i="5"/>
  <c r="BI55" i="5"/>
  <c r="BI39" i="5"/>
  <c r="BI54" i="5"/>
  <c r="BI53" i="5"/>
  <c r="BI36" i="5"/>
  <c r="BI51" i="5"/>
  <c r="BI35" i="5"/>
  <c r="BI37" i="5"/>
  <c r="BI49" i="5"/>
  <c r="BI48" i="5"/>
  <c r="BI47" i="5"/>
  <c r="BI45" i="5"/>
  <c r="BI44" i="5"/>
  <c r="BI40" i="5"/>
  <c r="BH37" i="11"/>
  <c r="BH36" i="11"/>
  <c r="BH40" i="11"/>
  <c r="BH39" i="11"/>
  <c r="BH45" i="11"/>
  <c r="BH44" i="11"/>
  <c r="BH43" i="11"/>
  <c r="BH49" i="11"/>
  <c r="BH48" i="11"/>
  <c r="BH47" i="11"/>
  <c r="BH51" i="11"/>
  <c r="BH55" i="11"/>
  <c r="BH35" i="11"/>
  <c r="BH54" i="11"/>
  <c r="BH41" i="11"/>
  <c r="BH36" i="13"/>
  <c r="BH35" i="13"/>
  <c r="BH44" i="13"/>
  <c r="BH43" i="13"/>
  <c r="BH42" i="13"/>
  <c r="BH38" i="13"/>
  <c r="BH49" i="13"/>
  <c r="BH48" i="13"/>
  <c r="BH34" i="13"/>
  <c r="BH33" i="13"/>
  <c r="BH47" i="13"/>
  <c r="BH32" i="13"/>
  <c r="BF4" i="10"/>
  <c r="BF24" i="10" s="1"/>
  <c r="BE4" i="10"/>
  <c r="BD4" i="10"/>
  <c r="BC4" i="10"/>
  <c r="BC24" i="10" s="1"/>
  <c r="BB53" i="1"/>
  <c r="BC53" i="1"/>
  <c r="BD53" i="1"/>
  <c r="BE53" i="1"/>
  <c r="BF53" i="1"/>
  <c r="BG53" i="1"/>
  <c r="BB54" i="1"/>
  <c r="BC54" i="1"/>
  <c r="BD54" i="1"/>
  <c r="BE54" i="1"/>
  <c r="BF54" i="1"/>
  <c r="BG54" i="1"/>
  <c r="BB55" i="1"/>
  <c r="BC55" i="1"/>
  <c r="BD55" i="1"/>
  <c r="BE55" i="1"/>
  <c r="BF55" i="1"/>
  <c r="BG55" i="1"/>
  <c r="BB51" i="1"/>
  <c r="BC51" i="1"/>
  <c r="BD51" i="1"/>
  <c r="BE51" i="1"/>
  <c r="BF51" i="1"/>
  <c r="BG51" i="1"/>
  <c r="BB47" i="1"/>
  <c r="BC47" i="1"/>
  <c r="BD47" i="1"/>
  <c r="BE47" i="1"/>
  <c r="BF47" i="1"/>
  <c r="BG47" i="1"/>
  <c r="BB48" i="1"/>
  <c r="BC48" i="1"/>
  <c r="BD48" i="1"/>
  <c r="BE48" i="1"/>
  <c r="BF48" i="1"/>
  <c r="BG48" i="1"/>
  <c r="BB49" i="1"/>
  <c r="BC49" i="1"/>
  <c r="BD49" i="1"/>
  <c r="BE49" i="1"/>
  <c r="BF49" i="1"/>
  <c r="BG49" i="1"/>
  <c r="BB43" i="1"/>
  <c r="BC43" i="1"/>
  <c r="BD43" i="1"/>
  <c r="BE43" i="1"/>
  <c r="BF43" i="1"/>
  <c r="BG43" i="1"/>
  <c r="BB44" i="1"/>
  <c r="BC44" i="1"/>
  <c r="BD44" i="1"/>
  <c r="BE44" i="1"/>
  <c r="BF44" i="1"/>
  <c r="BG44" i="1"/>
  <c r="BB45" i="1"/>
  <c r="BC45" i="1"/>
  <c r="BD45" i="1"/>
  <c r="BE45" i="1"/>
  <c r="BF45" i="1"/>
  <c r="BG45" i="1"/>
  <c r="BB39" i="1"/>
  <c r="BC39" i="1"/>
  <c r="BD39" i="1"/>
  <c r="BE39" i="1"/>
  <c r="BF39" i="1"/>
  <c r="BG39" i="1"/>
  <c r="BB40" i="1"/>
  <c r="BC40" i="1"/>
  <c r="BD40" i="1"/>
  <c r="BE40" i="1"/>
  <c r="BF40" i="1"/>
  <c r="BG40" i="1"/>
  <c r="BB41" i="1"/>
  <c r="BC41" i="1"/>
  <c r="BD41" i="1"/>
  <c r="BE41" i="1"/>
  <c r="BF41" i="1"/>
  <c r="BG41" i="1"/>
  <c r="BB35" i="1"/>
  <c r="BC35" i="1"/>
  <c r="BD35" i="1"/>
  <c r="BE35" i="1"/>
  <c r="BF35" i="1"/>
  <c r="BG35" i="1"/>
  <c r="BB36" i="1"/>
  <c r="BC36" i="1"/>
  <c r="BD36" i="1"/>
  <c r="BE36" i="1"/>
  <c r="BF36" i="1"/>
  <c r="BG36" i="1"/>
  <c r="BB37" i="1"/>
  <c r="BC37" i="1"/>
  <c r="BD37" i="1"/>
  <c r="BE37" i="1"/>
  <c r="BF37" i="1"/>
  <c r="BG37" i="1"/>
  <c r="BB4" i="10"/>
  <c r="BB30" i="10"/>
  <c r="BC30" i="10"/>
  <c r="BD30" i="10"/>
  <c r="BE30" i="10"/>
  <c r="BF30" i="10"/>
  <c r="BG30" i="10"/>
  <c r="BB31" i="10"/>
  <c r="BC31" i="10"/>
  <c r="BD31" i="10"/>
  <c r="BE31" i="10"/>
  <c r="BF31" i="10"/>
  <c r="BG31" i="10"/>
  <c r="BB32" i="10"/>
  <c r="BC32" i="10"/>
  <c r="BD32" i="10"/>
  <c r="BE32" i="10"/>
  <c r="BF32" i="10"/>
  <c r="BG32" i="10"/>
  <c r="BB33" i="10"/>
  <c r="BC33" i="10"/>
  <c r="BD33" i="10"/>
  <c r="BE33" i="10"/>
  <c r="BF33" i="10"/>
  <c r="BG33" i="10"/>
  <c r="BB34" i="10"/>
  <c r="BC34" i="10"/>
  <c r="BD34" i="10"/>
  <c r="BE34" i="10"/>
  <c r="BF34" i="10"/>
  <c r="BG34" i="10"/>
  <c r="BB24" i="10"/>
  <c r="BD24" i="10"/>
  <c r="BE24" i="10"/>
  <c r="BG24" i="10"/>
  <c r="BB25" i="10"/>
  <c r="BC25" i="10"/>
  <c r="BD25" i="10"/>
  <c r="BE25" i="10"/>
  <c r="BF25" i="10"/>
  <c r="BG25" i="10"/>
  <c r="BB26" i="10"/>
  <c r="BC26" i="10"/>
  <c r="BD26" i="10"/>
  <c r="BE26" i="10"/>
  <c r="BF26" i="10"/>
  <c r="BG26" i="10"/>
  <c r="BB27" i="10"/>
  <c r="BC27" i="10"/>
  <c r="BD27" i="10"/>
  <c r="BE27" i="10"/>
  <c r="BF27" i="10"/>
  <c r="BG27" i="10"/>
  <c r="BB28" i="10"/>
  <c r="BC28" i="10"/>
  <c r="BD28" i="10"/>
  <c r="BE28" i="10"/>
  <c r="BF28" i="10"/>
  <c r="BG28" i="10"/>
  <c r="BB53" i="11"/>
  <c r="BB54" i="11"/>
  <c r="BC54" i="11"/>
  <c r="BB55" i="11"/>
  <c r="BC55" i="11"/>
  <c r="BD55" i="11"/>
  <c r="BB51" i="11"/>
  <c r="BC51" i="11"/>
  <c r="BB47" i="11"/>
  <c r="BC47" i="11"/>
  <c r="BD47" i="11"/>
  <c r="BB48" i="11"/>
  <c r="BC48" i="11"/>
  <c r="BB49" i="11"/>
  <c r="BC49" i="11"/>
  <c r="BD49" i="11"/>
  <c r="BB43" i="11"/>
  <c r="BC43" i="11"/>
  <c r="BB44" i="11"/>
  <c r="BC44" i="11"/>
  <c r="BD44" i="11"/>
  <c r="BB45" i="11"/>
  <c r="BC45" i="11"/>
  <c r="BB39" i="11"/>
  <c r="BC39" i="11"/>
  <c r="BD39" i="11"/>
  <c r="BB40" i="11"/>
  <c r="BC40" i="11"/>
  <c r="BB41" i="11"/>
  <c r="BC41" i="11"/>
  <c r="BD41" i="11"/>
  <c r="BB35" i="11"/>
  <c r="BC35" i="11"/>
  <c r="BB36" i="11"/>
  <c r="BC36" i="11"/>
  <c r="BD36" i="11"/>
  <c r="BB37" i="11"/>
  <c r="BC37" i="11"/>
  <c r="BC1" i="11"/>
  <c r="BC53" i="11" s="1"/>
  <c r="BD1" i="11"/>
  <c r="BD53" i="11" s="1"/>
  <c r="BE1" i="11"/>
  <c r="BE53" i="11" s="1"/>
  <c r="BB46" i="13"/>
  <c r="BB47" i="13"/>
  <c r="BD47" i="13"/>
  <c r="BB48" i="13"/>
  <c r="BB49" i="13"/>
  <c r="BB50" i="13"/>
  <c r="BB38" i="13"/>
  <c r="BB39" i="13"/>
  <c r="BB40" i="13"/>
  <c r="BD40" i="13"/>
  <c r="BB41" i="13"/>
  <c r="BB42" i="13"/>
  <c r="BD42" i="13"/>
  <c r="BB43" i="13"/>
  <c r="BB44" i="13"/>
  <c r="BB32" i="13"/>
  <c r="BB33" i="13"/>
  <c r="BB34" i="13"/>
  <c r="BB35" i="13"/>
  <c r="BB36" i="13"/>
  <c r="BC1" i="13"/>
  <c r="BC49" i="13" s="1"/>
  <c r="BD1" i="13"/>
  <c r="BD49" i="13" s="1"/>
  <c r="BE1" i="13"/>
  <c r="BF1" i="13" s="1"/>
  <c r="BB46" i="12"/>
  <c r="BC46" i="12"/>
  <c r="BG46" i="12"/>
  <c r="BB47" i="12"/>
  <c r="BD47" i="12"/>
  <c r="BG47" i="12"/>
  <c r="BB48" i="12"/>
  <c r="BC48" i="12"/>
  <c r="BG48" i="12"/>
  <c r="BB49" i="12"/>
  <c r="BD49" i="12"/>
  <c r="BG49" i="12"/>
  <c r="BB50" i="12"/>
  <c r="BC50" i="12"/>
  <c r="BG50" i="12"/>
  <c r="BB39" i="12"/>
  <c r="BD39" i="12"/>
  <c r="BG39" i="12"/>
  <c r="BB40" i="12"/>
  <c r="BC40" i="12"/>
  <c r="BG40" i="12"/>
  <c r="BB41" i="12"/>
  <c r="BD41" i="12"/>
  <c r="BG41" i="12"/>
  <c r="BB42" i="12"/>
  <c r="BC42" i="12"/>
  <c r="BG42" i="12"/>
  <c r="BB43" i="12"/>
  <c r="BD43" i="12"/>
  <c r="BG43" i="12"/>
  <c r="BB44" i="12"/>
  <c r="BC44" i="12"/>
  <c r="BG44" i="12"/>
  <c r="BB32" i="12"/>
  <c r="BC32" i="12"/>
  <c r="BD32" i="12"/>
  <c r="BG32" i="12"/>
  <c r="BB33" i="12"/>
  <c r="BC33" i="12"/>
  <c r="BG33" i="12"/>
  <c r="BB34" i="12"/>
  <c r="BC34" i="12"/>
  <c r="BD34" i="12"/>
  <c r="BG34" i="12"/>
  <c r="BB35" i="12"/>
  <c r="BC35" i="12"/>
  <c r="BG35" i="12"/>
  <c r="BB36" i="12"/>
  <c r="BC36" i="12"/>
  <c r="BD36" i="12"/>
  <c r="BG36" i="12"/>
  <c r="BC1" i="12"/>
  <c r="BC47" i="12" s="1"/>
  <c r="BD1" i="12"/>
  <c r="BD46" i="12" s="1"/>
  <c r="BB53" i="5"/>
  <c r="BC53" i="5"/>
  <c r="BG53" i="5"/>
  <c r="BB54" i="5"/>
  <c r="BG54" i="5"/>
  <c r="BB55" i="5"/>
  <c r="BC55" i="5"/>
  <c r="BG55" i="5"/>
  <c r="BB51" i="5"/>
  <c r="BG51" i="5"/>
  <c r="BB47" i="5"/>
  <c r="BC47" i="5"/>
  <c r="BG47" i="5"/>
  <c r="BB48" i="5"/>
  <c r="BG48" i="5"/>
  <c r="BB49" i="5"/>
  <c r="BC49" i="5"/>
  <c r="BG49" i="5"/>
  <c r="BB43" i="5"/>
  <c r="BG43" i="5"/>
  <c r="BB44" i="5"/>
  <c r="BC44" i="5"/>
  <c r="BG44" i="5"/>
  <c r="BB45" i="5"/>
  <c r="BG45" i="5"/>
  <c r="BB39" i="5"/>
  <c r="BC39" i="5"/>
  <c r="BG39" i="5"/>
  <c r="BB40" i="5"/>
  <c r="BG40" i="5"/>
  <c r="BB41" i="5"/>
  <c r="BC41" i="5"/>
  <c r="BG41" i="5"/>
  <c r="BB35" i="5"/>
  <c r="BG35" i="5"/>
  <c r="BB36" i="5"/>
  <c r="BC36" i="5"/>
  <c r="BG36" i="5"/>
  <c r="BB37" i="5"/>
  <c r="BG37" i="5"/>
  <c r="BD1" i="5"/>
  <c r="BD54" i="5" s="1"/>
  <c r="BC1" i="5"/>
  <c r="BC54" i="5" s="1"/>
  <c r="BB46" i="14"/>
  <c r="BC46" i="14"/>
  <c r="BD46" i="14"/>
  <c r="BE46" i="14"/>
  <c r="BF46" i="14"/>
  <c r="BG46" i="14"/>
  <c r="BB47" i="14"/>
  <c r="BC47" i="14"/>
  <c r="BD47" i="14"/>
  <c r="BE47" i="14"/>
  <c r="BF47" i="14"/>
  <c r="BG47" i="14"/>
  <c r="BB48" i="14"/>
  <c r="BC48" i="14"/>
  <c r="BD48" i="14"/>
  <c r="BE48" i="14"/>
  <c r="BF48" i="14"/>
  <c r="BG48" i="14"/>
  <c r="BB49" i="14"/>
  <c r="BC49" i="14"/>
  <c r="BD49" i="14"/>
  <c r="BE49" i="14"/>
  <c r="BF49" i="14"/>
  <c r="BG49" i="14"/>
  <c r="BB50" i="14"/>
  <c r="BC50" i="14"/>
  <c r="BD50" i="14"/>
  <c r="BE50" i="14"/>
  <c r="BF50" i="14"/>
  <c r="BG50" i="14"/>
  <c r="BB39" i="14"/>
  <c r="BC39" i="14"/>
  <c r="BD39" i="14"/>
  <c r="BE39" i="14"/>
  <c r="BF39" i="14"/>
  <c r="BG39" i="14"/>
  <c r="BB40" i="14"/>
  <c r="BC40" i="14"/>
  <c r="BD40" i="14"/>
  <c r="BE40" i="14"/>
  <c r="BF40" i="14"/>
  <c r="BG40" i="14"/>
  <c r="BB41" i="14"/>
  <c r="BC41" i="14"/>
  <c r="BD41" i="14"/>
  <c r="BE41" i="14"/>
  <c r="BF41" i="14"/>
  <c r="BG41" i="14"/>
  <c r="BB42" i="14"/>
  <c r="BC42" i="14"/>
  <c r="BD42" i="14"/>
  <c r="BE42" i="14"/>
  <c r="BF42" i="14"/>
  <c r="BG42" i="14"/>
  <c r="BB43" i="14"/>
  <c r="BC43" i="14"/>
  <c r="BD43" i="14"/>
  <c r="BE43" i="14"/>
  <c r="BF43" i="14"/>
  <c r="BG43" i="14"/>
  <c r="BB44" i="14"/>
  <c r="BC44" i="14"/>
  <c r="BD44" i="14"/>
  <c r="BE44" i="14"/>
  <c r="BF44" i="14"/>
  <c r="BG44" i="14"/>
  <c r="BB32" i="14"/>
  <c r="BC32" i="14"/>
  <c r="BD32" i="14"/>
  <c r="BE32" i="14"/>
  <c r="BF32" i="14"/>
  <c r="BG32" i="14"/>
  <c r="BB33" i="14"/>
  <c r="BC33" i="14"/>
  <c r="BD33" i="14"/>
  <c r="BE33" i="14"/>
  <c r="BF33" i="14"/>
  <c r="BG33" i="14"/>
  <c r="BB34" i="14"/>
  <c r="BC34" i="14"/>
  <c r="BD34" i="14"/>
  <c r="BE34" i="14"/>
  <c r="BF34" i="14"/>
  <c r="BG34" i="14"/>
  <c r="BB35" i="14"/>
  <c r="BC35" i="14"/>
  <c r="BD35" i="14"/>
  <c r="BE35" i="14"/>
  <c r="BF35" i="14"/>
  <c r="BG35" i="14"/>
  <c r="BB36" i="14"/>
  <c r="BC36" i="14"/>
  <c r="BD36" i="14"/>
  <c r="BE36" i="14"/>
  <c r="BF36" i="14"/>
  <c r="BG36" i="14"/>
  <c r="BB53" i="4"/>
  <c r="BC53" i="4"/>
  <c r="BD53" i="4"/>
  <c r="BE53" i="4"/>
  <c r="BF53" i="4"/>
  <c r="BG53" i="4"/>
  <c r="BB54" i="4"/>
  <c r="BC54" i="4"/>
  <c r="BD54" i="4"/>
  <c r="BE54" i="4"/>
  <c r="BF54" i="4"/>
  <c r="BG54" i="4"/>
  <c r="BB55" i="4"/>
  <c r="BC55" i="4"/>
  <c r="BD55" i="4"/>
  <c r="BE55" i="4"/>
  <c r="BF55" i="4"/>
  <c r="BG55" i="4"/>
  <c r="BB51" i="4"/>
  <c r="BC51" i="4"/>
  <c r="BD51" i="4"/>
  <c r="BE51" i="4"/>
  <c r="BF51" i="4"/>
  <c r="BG51" i="4"/>
  <c r="BB47" i="4"/>
  <c r="BC47" i="4"/>
  <c r="BD47" i="4"/>
  <c r="BE47" i="4"/>
  <c r="BF47" i="4"/>
  <c r="BG47" i="4"/>
  <c r="BB48" i="4"/>
  <c r="BC48" i="4"/>
  <c r="BD48" i="4"/>
  <c r="BE48" i="4"/>
  <c r="BF48" i="4"/>
  <c r="BG48" i="4"/>
  <c r="BB49" i="4"/>
  <c r="BC49" i="4"/>
  <c r="BD49" i="4"/>
  <c r="BE49" i="4"/>
  <c r="BF49" i="4"/>
  <c r="BG49" i="4"/>
  <c r="BB43" i="4"/>
  <c r="BC43" i="4"/>
  <c r="BD43" i="4"/>
  <c r="BE43" i="4"/>
  <c r="BF43" i="4"/>
  <c r="BG43" i="4"/>
  <c r="BB44" i="4"/>
  <c r="BC44" i="4"/>
  <c r="BD44" i="4"/>
  <c r="BE44" i="4"/>
  <c r="BF44" i="4"/>
  <c r="BG44" i="4"/>
  <c r="BB45" i="4"/>
  <c r="BC45" i="4"/>
  <c r="BD45" i="4"/>
  <c r="BE45" i="4"/>
  <c r="BF45" i="4"/>
  <c r="BG45" i="4"/>
  <c r="BB39" i="4"/>
  <c r="BC39" i="4"/>
  <c r="BD39" i="4"/>
  <c r="BE39" i="4"/>
  <c r="BF39" i="4"/>
  <c r="BG39" i="4"/>
  <c r="BB40" i="4"/>
  <c r="BC40" i="4"/>
  <c r="BD40" i="4"/>
  <c r="BE40" i="4"/>
  <c r="BF40" i="4"/>
  <c r="BG40" i="4"/>
  <c r="BB41" i="4"/>
  <c r="BC41" i="4"/>
  <c r="BD41" i="4"/>
  <c r="BE41" i="4"/>
  <c r="BF41" i="4"/>
  <c r="BG41" i="4"/>
  <c r="BB37" i="4"/>
  <c r="BC37" i="4"/>
  <c r="BD37" i="4"/>
  <c r="BE37" i="4"/>
  <c r="BF37" i="4"/>
  <c r="BG37" i="4"/>
  <c r="BB36" i="4"/>
  <c r="BC36" i="4"/>
  <c r="BD36" i="4"/>
  <c r="BE36" i="4"/>
  <c r="BF36" i="4"/>
  <c r="BG36" i="4"/>
  <c r="BB35" i="4"/>
  <c r="BC35" i="4"/>
  <c r="BD35" i="4"/>
  <c r="BE35" i="4"/>
  <c r="BF35" i="4"/>
  <c r="BG35" i="4"/>
  <c r="BA4" i="10"/>
  <c r="BA4" i="13"/>
  <c r="AZ4" i="10"/>
  <c r="L760" i="3"/>
  <c r="J760" i="3"/>
  <c r="F760" i="3"/>
  <c r="D760" i="3"/>
  <c r="E759" i="3" s="1"/>
  <c r="G759" i="3" s="1"/>
  <c r="X759" i="3"/>
  <c r="V759" i="3"/>
  <c r="R759" i="3"/>
  <c r="P759" i="3"/>
  <c r="Q757" i="3" s="1"/>
  <c r="S757" i="3" s="1"/>
  <c r="K759" i="3"/>
  <c r="M759" i="3" s="1"/>
  <c r="W758" i="3"/>
  <c r="Y758" i="3" s="1"/>
  <c r="S758" i="3"/>
  <c r="Q758" i="3"/>
  <c r="K758" i="3"/>
  <c r="M758" i="3" s="1"/>
  <c r="A758" i="3"/>
  <c r="W757" i="3"/>
  <c r="Y757" i="3" s="1"/>
  <c r="M757" i="3"/>
  <c r="K757" i="3"/>
  <c r="W756" i="3"/>
  <c r="Y756" i="3" s="1"/>
  <c r="M756" i="3"/>
  <c r="K756" i="3"/>
  <c r="W755" i="3"/>
  <c r="Y755" i="3" s="1"/>
  <c r="M755" i="3"/>
  <c r="K755" i="3"/>
  <c r="W754" i="3"/>
  <c r="W759" i="3" s="1"/>
  <c r="M754" i="3"/>
  <c r="M760" i="3" s="1"/>
  <c r="K754" i="3"/>
  <c r="K760" i="3" s="1"/>
  <c r="L750" i="3"/>
  <c r="J750" i="3"/>
  <c r="F750" i="3"/>
  <c r="D750" i="3"/>
  <c r="E749" i="3" s="1"/>
  <c r="G749" i="3" s="1"/>
  <c r="X749" i="3"/>
  <c r="W749" i="3"/>
  <c r="V749" i="3"/>
  <c r="R749" i="3"/>
  <c r="P749" i="3"/>
  <c r="K749" i="3"/>
  <c r="M749" i="3" s="1"/>
  <c r="W748" i="3"/>
  <c r="Y748" i="3" s="1"/>
  <c r="Q748" i="3"/>
  <c r="S748" i="3" s="1"/>
  <c r="K748" i="3"/>
  <c r="M748" i="3" s="1"/>
  <c r="A748" i="3"/>
  <c r="W747" i="3"/>
  <c r="Y747" i="3" s="1"/>
  <c r="Q747" i="3"/>
  <c r="S747" i="3" s="1"/>
  <c r="K747" i="3"/>
  <c r="M747" i="3" s="1"/>
  <c r="W746" i="3"/>
  <c r="Y746" i="3" s="1"/>
  <c r="Q746" i="3"/>
  <c r="S746" i="3" s="1"/>
  <c r="K746" i="3"/>
  <c r="M746" i="3" s="1"/>
  <c r="W745" i="3"/>
  <c r="Y745" i="3" s="1"/>
  <c r="Q745" i="3"/>
  <c r="S745" i="3" s="1"/>
  <c r="K745" i="3"/>
  <c r="M745" i="3" s="1"/>
  <c r="W744" i="3"/>
  <c r="Y744" i="3" s="1"/>
  <c r="Y749" i="3" s="1"/>
  <c r="Q744" i="3"/>
  <c r="Q749" i="3" s="1"/>
  <c r="K744" i="3"/>
  <c r="K750" i="3" s="1"/>
  <c r="L740" i="3"/>
  <c r="J740" i="3"/>
  <c r="F740" i="3"/>
  <c r="D740" i="3"/>
  <c r="E739" i="3" s="1"/>
  <c r="G739" i="3" s="1"/>
  <c r="X739" i="3"/>
  <c r="V739" i="3"/>
  <c r="W737" i="3" s="1"/>
  <c r="Y737" i="3" s="1"/>
  <c r="R739" i="3"/>
  <c r="P739" i="3"/>
  <c r="Q737" i="3" s="1"/>
  <c r="S737" i="3" s="1"/>
  <c r="K739" i="3"/>
  <c r="M739" i="3" s="1"/>
  <c r="Q738" i="3"/>
  <c r="S738" i="3" s="1"/>
  <c r="K738" i="3"/>
  <c r="M738" i="3" s="1"/>
  <c r="A738" i="3"/>
  <c r="K737" i="3"/>
  <c r="M737" i="3" s="1"/>
  <c r="K736" i="3"/>
  <c r="M736" i="3" s="1"/>
  <c r="K735" i="3"/>
  <c r="M735" i="3" s="1"/>
  <c r="K734" i="3"/>
  <c r="K740" i="3" s="1"/>
  <c r="L730" i="3"/>
  <c r="J730" i="3"/>
  <c r="F730" i="3"/>
  <c r="D730" i="3"/>
  <c r="E729" i="3" s="1"/>
  <c r="G729" i="3" s="1"/>
  <c r="X729" i="3"/>
  <c r="W729" i="3"/>
  <c r="V729" i="3"/>
  <c r="W727" i="3" s="1"/>
  <c r="Y727" i="3" s="1"/>
  <c r="R729" i="3"/>
  <c r="P729" i="3"/>
  <c r="K729" i="3"/>
  <c r="M729" i="3" s="1"/>
  <c r="Q728" i="3"/>
  <c r="S728" i="3" s="1"/>
  <c r="K728" i="3"/>
  <c r="M728" i="3" s="1"/>
  <c r="A728" i="3"/>
  <c r="Q727" i="3"/>
  <c r="S727" i="3" s="1"/>
  <c r="M727" i="3"/>
  <c r="K727" i="3"/>
  <c r="W726" i="3"/>
  <c r="Y726" i="3" s="1"/>
  <c r="Q726" i="3"/>
  <c r="S726" i="3" s="1"/>
  <c r="M726" i="3"/>
  <c r="K726" i="3"/>
  <c r="Q725" i="3"/>
  <c r="S725" i="3" s="1"/>
  <c r="K725" i="3"/>
  <c r="M725" i="3" s="1"/>
  <c r="Y724" i="3"/>
  <c r="Y729" i="3" s="1"/>
  <c r="W724" i="3"/>
  <c r="Q724" i="3"/>
  <c r="Q729" i="3" s="1"/>
  <c r="K724" i="3"/>
  <c r="K730" i="3" s="1"/>
  <c r="L720" i="3"/>
  <c r="J720" i="3"/>
  <c r="K717" i="3" s="1"/>
  <c r="M717" i="3" s="1"/>
  <c r="F720" i="3"/>
  <c r="D720" i="3"/>
  <c r="E719" i="3" s="1"/>
  <c r="G719" i="3" s="1"/>
  <c r="X719" i="3"/>
  <c r="V719" i="3"/>
  <c r="R719" i="3"/>
  <c r="P719" i="3"/>
  <c r="Q718" i="3" s="1"/>
  <c r="S718" i="3" s="1"/>
  <c r="K719" i="3"/>
  <c r="M719" i="3" s="1"/>
  <c r="W718" i="3"/>
  <c r="Y718" i="3" s="1"/>
  <c r="K718" i="3"/>
  <c r="M718" i="3" s="1"/>
  <c r="A718" i="3"/>
  <c r="W717" i="3"/>
  <c r="Y717" i="3" s="1"/>
  <c r="W716" i="3"/>
  <c r="Y716" i="3" s="1"/>
  <c r="K716" i="3"/>
  <c r="M716" i="3" s="1"/>
  <c r="W715" i="3"/>
  <c r="Y715" i="3" s="1"/>
  <c r="Q715" i="3"/>
  <c r="S715" i="3" s="1"/>
  <c r="K715" i="3"/>
  <c r="M715" i="3" s="1"/>
  <c r="W714" i="3"/>
  <c r="Y714" i="3" s="1"/>
  <c r="Y719" i="3" s="1"/>
  <c r="K714" i="3"/>
  <c r="M714" i="3" s="1"/>
  <c r="M720" i="3" s="1"/>
  <c r="L710" i="3"/>
  <c r="J710" i="3"/>
  <c r="K709" i="3" s="1"/>
  <c r="M709" i="3" s="1"/>
  <c r="F710" i="3"/>
  <c r="D710" i="3"/>
  <c r="E706" i="3" s="1"/>
  <c r="G706" i="3" s="1"/>
  <c r="X709" i="3"/>
  <c r="V709" i="3"/>
  <c r="W707" i="3" s="1"/>
  <c r="Y707" i="3" s="1"/>
  <c r="R709" i="3"/>
  <c r="P709" i="3"/>
  <c r="Q707" i="3" s="1"/>
  <c r="S707" i="3" s="1"/>
  <c r="A708" i="3"/>
  <c r="AZ4" i="13"/>
  <c r="L700" i="3"/>
  <c r="J700" i="3"/>
  <c r="K696" i="3" s="1"/>
  <c r="M696" i="3" s="1"/>
  <c r="F700" i="3"/>
  <c r="D700" i="3"/>
  <c r="E699" i="3" s="1"/>
  <c r="G699" i="3" s="1"/>
  <c r="X699" i="3"/>
  <c r="V699" i="3"/>
  <c r="W695" i="3" s="1"/>
  <c r="Y695" i="3" s="1"/>
  <c r="R699" i="3"/>
  <c r="P699" i="3"/>
  <c r="Q694" i="3" s="1"/>
  <c r="Q699" i="3" s="1"/>
  <c r="Q698" i="3"/>
  <c r="S698" i="3" s="1"/>
  <c r="A698" i="3"/>
  <c r="Q697" i="3"/>
  <c r="S697" i="3" s="1"/>
  <c r="Q695" i="3"/>
  <c r="S695" i="3" s="1"/>
  <c r="L690" i="3"/>
  <c r="J690" i="3"/>
  <c r="K689" i="3" s="1"/>
  <c r="M689" i="3" s="1"/>
  <c r="F690" i="3"/>
  <c r="D690" i="3"/>
  <c r="E688" i="3" s="1"/>
  <c r="G688" i="3" s="1"/>
  <c r="X689" i="3"/>
  <c r="V689" i="3"/>
  <c r="W687" i="3" s="1"/>
  <c r="Y687" i="3" s="1"/>
  <c r="R689" i="3"/>
  <c r="P689" i="3"/>
  <c r="Q687" i="3" s="1"/>
  <c r="S687" i="3" s="1"/>
  <c r="Q688" i="3"/>
  <c r="S688" i="3" s="1"/>
  <c r="A688" i="3"/>
  <c r="Q686" i="3"/>
  <c r="S686" i="3" s="1"/>
  <c r="Q685" i="3"/>
  <c r="S685" i="3" s="1"/>
  <c r="Q684" i="3"/>
  <c r="Q689" i="3" s="1"/>
  <c r="AY4" i="10"/>
  <c r="AY4" i="13"/>
  <c r="G19" i="2"/>
  <c r="AX4" i="10"/>
  <c r="AX4" i="13"/>
  <c r="B8" i="9"/>
  <c r="J670" i="3"/>
  <c r="K667" i="3" s="1"/>
  <c r="M667" i="3" s="1"/>
  <c r="J650" i="3"/>
  <c r="K649" i="3" s="1"/>
  <c r="M649" i="3" s="1"/>
  <c r="L680" i="3"/>
  <c r="J680" i="3"/>
  <c r="K676" i="3" s="1"/>
  <c r="M676" i="3" s="1"/>
  <c r="F680" i="3"/>
  <c r="D680" i="3"/>
  <c r="E679" i="3" s="1"/>
  <c r="G679" i="3" s="1"/>
  <c r="X679" i="3"/>
  <c r="V679" i="3"/>
  <c r="W678" i="3" s="1"/>
  <c r="Y678" i="3" s="1"/>
  <c r="R679" i="3"/>
  <c r="P679" i="3"/>
  <c r="Q676" i="3" s="1"/>
  <c r="S676" i="3" s="1"/>
  <c r="A678" i="3"/>
  <c r="K677" i="3"/>
  <c r="M677" i="3" s="1"/>
  <c r="K675" i="3"/>
  <c r="M675" i="3" s="1"/>
  <c r="L670" i="3"/>
  <c r="F670" i="3"/>
  <c r="D670" i="3"/>
  <c r="E667" i="3" s="1"/>
  <c r="G667" i="3" s="1"/>
  <c r="X669" i="3"/>
  <c r="V669" i="3"/>
  <c r="W668" i="3" s="1"/>
  <c r="Y668" i="3" s="1"/>
  <c r="R669" i="3"/>
  <c r="P669" i="3"/>
  <c r="Q668" i="3" s="1"/>
  <c r="S668" i="3" s="1"/>
  <c r="A668" i="3"/>
  <c r="AW4" i="10"/>
  <c r="AV4" i="10"/>
  <c r="AW4" i="13"/>
  <c r="AV4" i="13"/>
  <c r="L660" i="3"/>
  <c r="J660" i="3"/>
  <c r="K659" i="3" s="1"/>
  <c r="M659" i="3" s="1"/>
  <c r="F660" i="3"/>
  <c r="D660" i="3"/>
  <c r="E656" i="3" s="1"/>
  <c r="G656" i="3" s="1"/>
  <c r="X659" i="3"/>
  <c r="V659" i="3"/>
  <c r="W658" i="3" s="1"/>
  <c r="Y658" i="3" s="1"/>
  <c r="R659" i="3"/>
  <c r="P659" i="3"/>
  <c r="Q654" i="3" s="1"/>
  <c r="Q659" i="3" s="1"/>
  <c r="A658" i="3"/>
  <c r="K655" i="3"/>
  <c r="M655" i="3" s="1"/>
  <c r="L650" i="3"/>
  <c r="F650" i="3"/>
  <c r="D650" i="3"/>
  <c r="E647" i="3" s="1"/>
  <c r="G647" i="3" s="1"/>
  <c r="X649" i="3"/>
  <c r="V649" i="3"/>
  <c r="W648" i="3" s="1"/>
  <c r="Y648" i="3" s="1"/>
  <c r="R649" i="3"/>
  <c r="P649" i="3"/>
  <c r="Q648" i="3" s="1"/>
  <c r="S648" i="3" s="1"/>
  <c r="A648" i="3"/>
  <c r="AU4" i="10"/>
  <c r="AU4" i="13"/>
  <c r="L640" i="3"/>
  <c r="J640" i="3"/>
  <c r="K639" i="3" s="1"/>
  <c r="M639" i="3" s="1"/>
  <c r="F640" i="3"/>
  <c r="D640" i="3"/>
  <c r="E639" i="3" s="1"/>
  <c r="G639" i="3" s="1"/>
  <c r="X639" i="3"/>
  <c r="V639" i="3"/>
  <c r="W638" i="3" s="1"/>
  <c r="Y638" i="3" s="1"/>
  <c r="R639" i="3"/>
  <c r="P639" i="3"/>
  <c r="Q637" i="3" s="1"/>
  <c r="S637" i="3" s="1"/>
  <c r="A638" i="3"/>
  <c r="L630" i="3"/>
  <c r="J630" i="3"/>
  <c r="K629" i="3" s="1"/>
  <c r="M629" i="3" s="1"/>
  <c r="F630" i="3"/>
  <c r="D630" i="3"/>
  <c r="E627" i="3" s="1"/>
  <c r="G627" i="3" s="1"/>
  <c r="X629" i="3"/>
  <c r="V629" i="3"/>
  <c r="W628" i="3" s="1"/>
  <c r="Y628" i="3" s="1"/>
  <c r="R629" i="3"/>
  <c r="P629" i="3"/>
  <c r="Q628" i="3" s="1"/>
  <c r="S628" i="3" s="1"/>
  <c r="A628" i="3"/>
  <c r="AT4" i="10"/>
  <c r="BF47" i="13" l="1"/>
  <c r="BF49" i="13"/>
  <c r="BF38" i="13"/>
  <c r="BF40" i="13"/>
  <c r="BF42" i="13"/>
  <c r="BF44" i="13"/>
  <c r="BF33" i="13"/>
  <c r="BF35" i="13"/>
  <c r="BF46" i="13"/>
  <c r="BF48" i="13"/>
  <c r="BF50" i="13"/>
  <c r="BF39" i="13"/>
  <c r="BF41" i="13"/>
  <c r="BF43" i="13"/>
  <c r="BF32" i="13"/>
  <c r="BF34" i="13"/>
  <c r="BF36" i="13"/>
  <c r="BE42" i="13"/>
  <c r="BD36" i="5"/>
  <c r="BD41" i="5"/>
  <c r="BD39" i="5"/>
  <c r="BD44" i="5"/>
  <c r="BD49" i="5"/>
  <c r="BD47" i="5"/>
  <c r="BD55" i="5"/>
  <c r="BD53" i="5"/>
  <c r="BE1" i="5"/>
  <c r="BE37" i="11"/>
  <c r="BE35" i="11"/>
  <c r="BE40" i="11"/>
  <c r="BE45" i="11"/>
  <c r="BE43" i="11"/>
  <c r="BE48" i="11"/>
  <c r="BE51" i="11"/>
  <c r="BE54" i="11"/>
  <c r="BD54" i="11"/>
  <c r="BE36" i="13"/>
  <c r="BE34" i="13"/>
  <c r="BE32" i="13"/>
  <c r="BE43" i="13"/>
  <c r="BE41" i="13"/>
  <c r="BE39" i="13"/>
  <c r="BE50" i="13"/>
  <c r="BE48" i="13"/>
  <c r="BE46" i="13"/>
  <c r="BD37" i="11"/>
  <c r="BD35" i="11"/>
  <c r="BD40" i="11"/>
  <c r="BD45" i="11"/>
  <c r="BD43" i="11"/>
  <c r="BD48" i="11"/>
  <c r="BD51" i="11"/>
  <c r="BD36" i="13"/>
  <c r="BD34" i="13"/>
  <c r="BD32" i="13"/>
  <c r="BD43" i="13"/>
  <c r="BD41" i="13"/>
  <c r="BD39" i="13"/>
  <c r="BD50" i="13"/>
  <c r="BD48" i="13"/>
  <c r="BD46" i="13"/>
  <c r="BE1" i="12"/>
  <c r="BD35" i="12"/>
  <c r="BD33" i="12"/>
  <c r="BD44" i="12"/>
  <c r="BD42" i="12"/>
  <c r="BD40" i="12"/>
  <c r="BD50" i="12"/>
  <c r="BD48" i="12"/>
  <c r="BC36" i="13"/>
  <c r="BC34" i="13"/>
  <c r="BC32" i="13"/>
  <c r="BC43" i="13"/>
  <c r="BC41" i="13"/>
  <c r="BC39" i="13"/>
  <c r="BC50" i="13"/>
  <c r="BC48" i="13"/>
  <c r="BC46" i="13"/>
  <c r="BD38" i="13"/>
  <c r="BE35" i="13"/>
  <c r="BE44" i="13"/>
  <c r="BE38" i="13"/>
  <c r="BE49" i="13"/>
  <c r="BD37" i="5"/>
  <c r="BD35" i="5"/>
  <c r="BD40" i="5"/>
  <c r="BD45" i="5"/>
  <c r="BD43" i="5"/>
  <c r="BD48" i="5"/>
  <c r="BD51" i="5"/>
  <c r="BE33" i="13"/>
  <c r="BE40" i="13"/>
  <c r="BE47" i="13"/>
  <c r="BC37" i="5"/>
  <c r="BC35" i="5"/>
  <c r="BC40" i="5"/>
  <c r="BC45" i="5"/>
  <c r="BC43" i="5"/>
  <c r="BC48" i="5"/>
  <c r="BC51" i="5"/>
  <c r="BE36" i="11"/>
  <c r="BE41" i="11"/>
  <c r="BE39" i="11"/>
  <c r="BE44" i="11"/>
  <c r="BE49" i="11"/>
  <c r="BE47" i="11"/>
  <c r="BE55" i="11"/>
  <c r="BC47" i="13"/>
  <c r="BD35" i="13"/>
  <c r="BD33" i="13"/>
  <c r="BD44" i="13"/>
  <c r="BC35" i="13"/>
  <c r="BC33" i="13"/>
  <c r="BC44" i="13"/>
  <c r="BC42" i="13"/>
  <c r="BC40" i="13"/>
  <c r="BC38" i="13"/>
  <c r="BC43" i="12"/>
  <c r="BC41" i="12"/>
  <c r="BC39" i="12"/>
  <c r="BC49" i="12"/>
  <c r="M744" i="3"/>
  <c r="M750" i="3" s="1"/>
  <c r="E707" i="3"/>
  <c r="G707" i="3" s="1"/>
  <c r="E734" i="3"/>
  <c r="G734" i="3" s="1"/>
  <c r="E736" i="3"/>
  <c r="G736" i="3" s="1"/>
  <c r="Q675" i="3"/>
  <c r="S675" i="3" s="1"/>
  <c r="W688" i="3"/>
  <c r="Y688" i="3" s="1"/>
  <c r="W708" i="3"/>
  <c r="Y708" i="3" s="1"/>
  <c r="E716" i="3"/>
  <c r="G716" i="3" s="1"/>
  <c r="W734" i="3"/>
  <c r="W739" i="3" s="1"/>
  <c r="W736" i="3"/>
  <c r="Y736" i="3" s="1"/>
  <c r="S744" i="3"/>
  <c r="S749" i="3" s="1"/>
  <c r="E754" i="3"/>
  <c r="E755" i="3"/>
  <c r="G755" i="3" s="1"/>
  <c r="E756" i="3"/>
  <c r="G756" i="3" s="1"/>
  <c r="E757" i="3"/>
  <c r="G757" i="3" s="1"/>
  <c r="Y754" i="3"/>
  <c r="Y759" i="3" s="1"/>
  <c r="K694" i="3"/>
  <c r="K700" i="3" s="1"/>
  <c r="E709" i="3"/>
  <c r="G709" i="3" s="1"/>
  <c r="W728" i="3"/>
  <c r="Y728" i="3" s="1"/>
  <c r="E735" i="3"/>
  <c r="G735" i="3" s="1"/>
  <c r="E737" i="3"/>
  <c r="G737" i="3" s="1"/>
  <c r="W738" i="3"/>
  <c r="Y738" i="3" s="1"/>
  <c r="E758" i="3"/>
  <c r="G758" i="3" s="1"/>
  <c r="E708" i="3"/>
  <c r="G708" i="3" s="1"/>
  <c r="M734" i="3"/>
  <c r="M740" i="3" s="1"/>
  <c r="K695" i="3"/>
  <c r="M695" i="3" s="1"/>
  <c r="E704" i="3"/>
  <c r="E714" i="3"/>
  <c r="G714" i="3" s="1"/>
  <c r="W725" i="3"/>
  <c r="Y725" i="3" s="1"/>
  <c r="Q717" i="3"/>
  <c r="S717" i="3" s="1"/>
  <c r="M724" i="3"/>
  <c r="M730" i="3" s="1"/>
  <c r="E744" i="3"/>
  <c r="E745" i="3"/>
  <c r="G745" i="3" s="1"/>
  <c r="E746" i="3"/>
  <c r="G746" i="3" s="1"/>
  <c r="E747" i="3"/>
  <c r="G747" i="3" s="1"/>
  <c r="E705" i="3"/>
  <c r="G705" i="3" s="1"/>
  <c r="K697" i="3"/>
  <c r="M697" i="3" s="1"/>
  <c r="W719" i="3"/>
  <c r="W735" i="3"/>
  <c r="Y735" i="3" s="1"/>
  <c r="E748" i="3"/>
  <c r="G748" i="3" s="1"/>
  <c r="Q754" i="3"/>
  <c r="Q755" i="3"/>
  <c r="S755" i="3" s="1"/>
  <c r="Q756" i="3"/>
  <c r="S756" i="3" s="1"/>
  <c r="W697" i="3"/>
  <c r="Y697" i="3" s="1"/>
  <c r="E718" i="3"/>
  <c r="G718" i="3" s="1"/>
  <c r="S724" i="3"/>
  <c r="S729" i="3" s="1"/>
  <c r="K679" i="3"/>
  <c r="M679" i="3" s="1"/>
  <c r="K698" i="3"/>
  <c r="M698" i="3" s="1"/>
  <c r="Q714" i="3"/>
  <c r="Q719" i="3" s="1"/>
  <c r="Q716" i="3"/>
  <c r="S716" i="3" s="1"/>
  <c r="E738" i="3"/>
  <c r="E684" i="3"/>
  <c r="G684" i="3" s="1"/>
  <c r="G690" i="3" s="1"/>
  <c r="K699" i="3"/>
  <c r="M699" i="3" s="1"/>
  <c r="E715" i="3"/>
  <c r="G715" i="3" s="1"/>
  <c r="E717" i="3"/>
  <c r="G717" i="3" s="1"/>
  <c r="E724" i="3"/>
  <c r="E725" i="3"/>
  <c r="G725" i="3" s="1"/>
  <c r="E726" i="3"/>
  <c r="G726" i="3" s="1"/>
  <c r="E727" i="3"/>
  <c r="G727" i="3" s="1"/>
  <c r="K674" i="3"/>
  <c r="M674" i="3" s="1"/>
  <c r="M680" i="3" s="1"/>
  <c r="Q708" i="3"/>
  <c r="S708" i="3" s="1"/>
  <c r="E728" i="3"/>
  <c r="G728" i="3" s="1"/>
  <c r="Q734" i="3"/>
  <c r="Q735" i="3"/>
  <c r="S735" i="3" s="1"/>
  <c r="Q736" i="3"/>
  <c r="S736" i="3" s="1"/>
  <c r="Q696" i="3"/>
  <c r="S696" i="3" s="1"/>
  <c r="W698" i="3"/>
  <c r="Y698" i="3" s="1"/>
  <c r="K704" i="3"/>
  <c r="K705" i="3"/>
  <c r="M705" i="3" s="1"/>
  <c r="K706" i="3"/>
  <c r="M706" i="3" s="1"/>
  <c r="K707" i="3"/>
  <c r="M707" i="3" s="1"/>
  <c r="S714" i="3"/>
  <c r="S719" i="3" s="1"/>
  <c r="G704" i="3"/>
  <c r="Q677" i="3"/>
  <c r="S677" i="3" s="1"/>
  <c r="E686" i="3"/>
  <c r="G686" i="3" s="1"/>
  <c r="E689" i="3"/>
  <c r="G689" i="3" s="1"/>
  <c r="Q644" i="3"/>
  <c r="Q649" i="3" s="1"/>
  <c r="W696" i="3"/>
  <c r="Y696" i="3" s="1"/>
  <c r="K708" i="3"/>
  <c r="M708" i="3" s="1"/>
  <c r="Q645" i="3"/>
  <c r="S645" i="3" s="1"/>
  <c r="Q674" i="3"/>
  <c r="S674" i="3" s="1"/>
  <c r="S679" i="3" s="1"/>
  <c r="Q678" i="3"/>
  <c r="S678" i="3" s="1"/>
  <c r="E687" i="3"/>
  <c r="G687" i="3" s="1"/>
  <c r="Q704" i="3"/>
  <c r="Q705" i="3"/>
  <c r="S705" i="3" s="1"/>
  <c r="Q706" i="3"/>
  <c r="S706" i="3" s="1"/>
  <c r="W694" i="3"/>
  <c r="W704" i="3"/>
  <c r="W705" i="3"/>
  <c r="Y705" i="3" s="1"/>
  <c r="W706" i="3"/>
  <c r="Y706" i="3" s="1"/>
  <c r="K720" i="3"/>
  <c r="W676" i="3"/>
  <c r="Y676" i="3" s="1"/>
  <c r="E685" i="3"/>
  <c r="G685" i="3" s="1"/>
  <c r="W674" i="3"/>
  <c r="W679" i="3" s="1"/>
  <c r="K684" i="3"/>
  <c r="K685" i="3"/>
  <c r="M685" i="3" s="1"/>
  <c r="K686" i="3"/>
  <c r="M686" i="3" s="1"/>
  <c r="K687" i="3"/>
  <c r="M687" i="3" s="1"/>
  <c r="S694" i="3"/>
  <c r="S699" i="3" s="1"/>
  <c r="W677" i="3"/>
  <c r="Y677" i="3" s="1"/>
  <c r="K688" i="3"/>
  <c r="M688" i="3" s="1"/>
  <c r="W675" i="3"/>
  <c r="Y675" i="3" s="1"/>
  <c r="K678" i="3"/>
  <c r="M678" i="3" s="1"/>
  <c r="S684" i="3"/>
  <c r="S689" i="3" s="1"/>
  <c r="E694" i="3"/>
  <c r="E695" i="3"/>
  <c r="G695" i="3" s="1"/>
  <c r="E696" i="3"/>
  <c r="G696" i="3" s="1"/>
  <c r="E697" i="3"/>
  <c r="G697" i="3" s="1"/>
  <c r="Q679" i="3"/>
  <c r="W684" i="3"/>
  <c r="W685" i="3"/>
  <c r="Y685" i="3" s="1"/>
  <c r="W686" i="3"/>
  <c r="Y686" i="3" s="1"/>
  <c r="E698" i="3"/>
  <c r="G698" i="3" s="1"/>
  <c r="K668" i="3"/>
  <c r="M668" i="3" s="1"/>
  <c r="K669" i="3"/>
  <c r="M669" i="3" s="1"/>
  <c r="E675" i="3"/>
  <c r="G675" i="3" s="1"/>
  <c r="E677" i="3"/>
  <c r="G677" i="3" s="1"/>
  <c r="E676" i="3"/>
  <c r="G676" i="3" s="1"/>
  <c r="E678" i="3"/>
  <c r="G678" i="3" s="1"/>
  <c r="E674" i="3"/>
  <c r="G674" i="3" s="1"/>
  <c r="E668" i="3"/>
  <c r="G668" i="3" s="1"/>
  <c r="E669" i="3"/>
  <c r="G669" i="3" s="1"/>
  <c r="Q646" i="3"/>
  <c r="S646" i="3" s="1"/>
  <c r="K658" i="3"/>
  <c r="M658" i="3" s="1"/>
  <c r="K664" i="3"/>
  <c r="K665" i="3"/>
  <c r="M665" i="3" s="1"/>
  <c r="K666" i="3"/>
  <c r="M666" i="3" s="1"/>
  <c r="E655" i="3"/>
  <c r="G655" i="3" s="1"/>
  <c r="Q664" i="3"/>
  <c r="Q665" i="3"/>
  <c r="S665" i="3" s="1"/>
  <c r="Q666" i="3"/>
  <c r="S666" i="3" s="1"/>
  <c r="Q667" i="3"/>
  <c r="S667" i="3" s="1"/>
  <c r="K680" i="3"/>
  <c r="W655" i="3"/>
  <c r="Y655" i="3" s="1"/>
  <c r="W664" i="3"/>
  <c r="W665" i="3"/>
  <c r="Y665" i="3" s="1"/>
  <c r="W666" i="3"/>
  <c r="Y666" i="3" s="1"/>
  <c r="W667" i="3"/>
  <c r="Y667" i="3" s="1"/>
  <c r="K656" i="3"/>
  <c r="M656" i="3" s="1"/>
  <c r="K657" i="3"/>
  <c r="M657" i="3" s="1"/>
  <c r="E664" i="3"/>
  <c r="E665" i="3"/>
  <c r="G665" i="3" s="1"/>
  <c r="E666" i="3"/>
  <c r="G666" i="3" s="1"/>
  <c r="E658" i="3"/>
  <c r="G658" i="3" s="1"/>
  <c r="E659" i="3"/>
  <c r="G659" i="3" s="1"/>
  <c r="W656" i="3"/>
  <c r="Y656" i="3" s="1"/>
  <c r="W657" i="3"/>
  <c r="Y657" i="3" s="1"/>
  <c r="W654" i="3"/>
  <c r="Y654" i="3" s="1"/>
  <c r="Y659" i="3" s="1"/>
  <c r="Q656" i="3"/>
  <c r="S656" i="3" s="1"/>
  <c r="Q658" i="3"/>
  <c r="S658" i="3" s="1"/>
  <c r="Q655" i="3"/>
  <c r="S655" i="3" s="1"/>
  <c r="Q657" i="3"/>
  <c r="S657" i="3" s="1"/>
  <c r="Q647" i="3"/>
  <c r="S647" i="3" s="1"/>
  <c r="K654" i="3"/>
  <c r="M654" i="3" s="1"/>
  <c r="M660" i="3" s="1"/>
  <c r="E657" i="3"/>
  <c r="G657" i="3" s="1"/>
  <c r="E654" i="3"/>
  <c r="G654" i="3" s="1"/>
  <c r="E649" i="3"/>
  <c r="G649" i="3" s="1"/>
  <c r="E648" i="3"/>
  <c r="G648" i="3" s="1"/>
  <c r="K644" i="3"/>
  <c r="K645" i="3"/>
  <c r="M645" i="3" s="1"/>
  <c r="K646" i="3"/>
  <c r="M646" i="3" s="1"/>
  <c r="K647" i="3"/>
  <c r="M647" i="3" s="1"/>
  <c r="S654" i="3"/>
  <c r="S659" i="3" s="1"/>
  <c r="K648" i="3"/>
  <c r="M648" i="3" s="1"/>
  <c r="W644" i="3"/>
  <c r="W645" i="3"/>
  <c r="Y645" i="3" s="1"/>
  <c r="W646" i="3"/>
  <c r="Y646" i="3" s="1"/>
  <c r="W647" i="3"/>
  <c r="Y647" i="3" s="1"/>
  <c r="E644" i="3"/>
  <c r="E645" i="3"/>
  <c r="G645" i="3" s="1"/>
  <c r="E646" i="3"/>
  <c r="G646" i="3" s="1"/>
  <c r="Q634" i="3"/>
  <c r="S634" i="3" s="1"/>
  <c r="Q635" i="3"/>
  <c r="S635" i="3" s="1"/>
  <c r="Q636" i="3"/>
  <c r="S636" i="3" s="1"/>
  <c r="Q638" i="3"/>
  <c r="S638" i="3" s="1"/>
  <c r="Q624" i="3"/>
  <c r="S624" i="3" s="1"/>
  <c r="Q625" i="3"/>
  <c r="S625" i="3" s="1"/>
  <c r="Q626" i="3"/>
  <c r="S626" i="3" s="1"/>
  <c r="E637" i="3"/>
  <c r="G637" i="3" s="1"/>
  <c r="E634" i="3"/>
  <c r="G634" i="3" s="1"/>
  <c r="W635" i="3"/>
  <c r="Y635" i="3" s="1"/>
  <c r="W636" i="3"/>
  <c r="Y636" i="3" s="1"/>
  <c r="W637" i="3"/>
  <c r="Y637" i="3" s="1"/>
  <c r="W634" i="3"/>
  <c r="Q627" i="3"/>
  <c r="S627" i="3" s="1"/>
  <c r="E635" i="3"/>
  <c r="G635" i="3" s="1"/>
  <c r="E638" i="3"/>
  <c r="G638" i="3" s="1"/>
  <c r="E636" i="3"/>
  <c r="G636" i="3" s="1"/>
  <c r="E628" i="3"/>
  <c r="G628" i="3" s="1"/>
  <c r="E629" i="3"/>
  <c r="G629" i="3" s="1"/>
  <c r="K624" i="3"/>
  <c r="K625" i="3"/>
  <c r="M625" i="3" s="1"/>
  <c r="K626" i="3"/>
  <c r="M626" i="3" s="1"/>
  <c r="K627" i="3"/>
  <c r="M627" i="3" s="1"/>
  <c r="K628" i="3"/>
  <c r="M628" i="3" s="1"/>
  <c r="W624" i="3"/>
  <c r="W625" i="3"/>
  <c r="Y625" i="3" s="1"/>
  <c r="W626" i="3"/>
  <c r="Y626" i="3" s="1"/>
  <c r="W627" i="3"/>
  <c r="Y627" i="3" s="1"/>
  <c r="K634" i="3"/>
  <c r="K635" i="3"/>
  <c r="M635" i="3" s="1"/>
  <c r="K636" i="3"/>
  <c r="M636" i="3" s="1"/>
  <c r="K637" i="3"/>
  <c r="M637" i="3" s="1"/>
  <c r="E624" i="3"/>
  <c r="E625" i="3"/>
  <c r="G625" i="3" s="1"/>
  <c r="E626" i="3"/>
  <c r="G626" i="3" s="1"/>
  <c r="K638" i="3"/>
  <c r="M638" i="3" s="1"/>
  <c r="BF53" i="11" l="1"/>
  <c r="BF55" i="11"/>
  <c r="BF47" i="11"/>
  <c r="BF49" i="11"/>
  <c r="BF44" i="11"/>
  <c r="BF39" i="11"/>
  <c r="BF41" i="11"/>
  <c r="BF36" i="11"/>
  <c r="BF54" i="11"/>
  <c r="BF51" i="11"/>
  <c r="BF48" i="11"/>
  <c r="BF43" i="11"/>
  <c r="BF45" i="11"/>
  <c r="BF40" i="11"/>
  <c r="BF35" i="11"/>
  <c r="BF37" i="11"/>
  <c r="BE53" i="5"/>
  <c r="BE55" i="5"/>
  <c r="BE47" i="5"/>
  <c r="BE49" i="5"/>
  <c r="BE44" i="5"/>
  <c r="BE39" i="5"/>
  <c r="BE41" i="5"/>
  <c r="BE36" i="5"/>
  <c r="BE51" i="5"/>
  <c r="BE43" i="5"/>
  <c r="BE40" i="5"/>
  <c r="BE37" i="5"/>
  <c r="BE54" i="5"/>
  <c r="BE48" i="5"/>
  <c r="BE45" i="5"/>
  <c r="BE35" i="5"/>
  <c r="BE47" i="12"/>
  <c r="BE39" i="12"/>
  <c r="BE43" i="12"/>
  <c r="BE34" i="12"/>
  <c r="BE49" i="12"/>
  <c r="BE46" i="12"/>
  <c r="BE48" i="12"/>
  <c r="BE50" i="12"/>
  <c r="BE40" i="12"/>
  <c r="BE42" i="12"/>
  <c r="BE44" i="12"/>
  <c r="BE33" i="12"/>
  <c r="BE35" i="12"/>
  <c r="BF1" i="12"/>
  <c r="BE32" i="12"/>
  <c r="BE41" i="12"/>
  <c r="BE36" i="12"/>
  <c r="BG47" i="13"/>
  <c r="BG49" i="13"/>
  <c r="BG38" i="13"/>
  <c r="BG40" i="13"/>
  <c r="BG42" i="13"/>
  <c r="BG44" i="13"/>
  <c r="BG33" i="13"/>
  <c r="BG35" i="13"/>
  <c r="BG46" i="13"/>
  <c r="BG48" i="13"/>
  <c r="BG50" i="13"/>
  <c r="BG39" i="13"/>
  <c r="BG41" i="13"/>
  <c r="BG43" i="13"/>
  <c r="BG32" i="13"/>
  <c r="BG34" i="13"/>
  <c r="BG36" i="13"/>
  <c r="Y674" i="3"/>
  <c r="Y679" i="3" s="1"/>
  <c r="M694" i="3"/>
  <c r="M700" i="3" s="1"/>
  <c r="G744" i="3"/>
  <c r="G750" i="3" s="1"/>
  <c r="E750" i="3"/>
  <c r="G720" i="3"/>
  <c r="Q759" i="3"/>
  <c r="S754" i="3"/>
  <c r="S759" i="3" s="1"/>
  <c r="Y734" i="3"/>
  <c r="Y739" i="3" s="1"/>
  <c r="W639" i="3"/>
  <c r="E760" i="3"/>
  <c r="G754" i="3"/>
  <c r="G760" i="3" s="1"/>
  <c r="E710" i="3"/>
  <c r="G710" i="3"/>
  <c r="G724" i="3"/>
  <c r="G730" i="3" s="1"/>
  <c r="E730" i="3"/>
  <c r="G738" i="3"/>
  <c r="G740" i="3" s="1"/>
  <c r="E740" i="3"/>
  <c r="Q739" i="3"/>
  <c r="S734" i="3"/>
  <c r="S739" i="3" s="1"/>
  <c r="E720" i="3"/>
  <c r="Y694" i="3"/>
  <c r="Y699" i="3" s="1"/>
  <c r="W699" i="3"/>
  <c r="M704" i="3"/>
  <c r="M710" i="3" s="1"/>
  <c r="K710" i="3"/>
  <c r="S629" i="3"/>
  <c r="Q709" i="3"/>
  <c r="S704" i="3"/>
  <c r="S709" i="3" s="1"/>
  <c r="E690" i="3"/>
  <c r="S644" i="3"/>
  <c r="S649" i="3" s="1"/>
  <c r="Y704" i="3"/>
  <c r="Y709" i="3" s="1"/>
  <c r="W709" i="3"/>
  <c r="K660" i="3"/>
  <c r="G694" i="3"/>
  <c r="G700" i="3" s="1"/>
  <c r="E700" i="3"/>
  <c r="G680" i="3"/>
  <c r="M684" i="3"/>
  <c r="M690" i="3" s="1"/>
  <c r="K690" i="3"/>
  <c r="G660" i="3"/>
  <c r="Y684" i="3"/>
  <c r="Y689" i="3" s="1"/>
  <c r="W689" i="3"/>
  <c r="E680" i="3"/>
  <c r="E670" i="3"/>
  <c r="G664" i="3"/>
  <c r="G670" i="3" s="1"/>
  <c r="W659" i="3"/>
  <c r="E660" i="3"/>
  <c r="Q669" i="3"/>
  <c r="S664" i="3"/>
  <c r="S669" i="3" s="1"/>
  <c r="Y664" i="3"/>
  <c r="Y669" i="3" s="1"/>
  <c r="W669" i="3"/>
  <c r="M664" i="3"/>
  <c r="M670" i="3" s="1"/>
  <c r="K670" i="3"/>
  <c r="M644" i="3"/>
  <c r="M650" i="3" s="1"/>
  <c r="K650" i="3"/>
  <c r="Y644" i="3"/>
  <c r="Y649" i="3" s="1"/>
  <c r="W649" i="3"/>
  <c r="E650" i="3"/>
  <c r="G644" i="3"/>
  <c r="G650" i="3" s="1"/>
  <c r="G640" i="3"/>
  <c r="S639" i="3"/>
  <c r="Q639" i="3"/>
  <c r="Q629" i="3"/>
  <c r="E640" i="3"/>
  <c r="Y634" i="3"/>
  <c r="Y639" i="3" s="1"/>
  <c r="M634" i="3"/>
  <c r="M640" i="3" s="1"/>
  <c r="K640" i="3"/>
  <c r="E630" i="3"/>
  <c r="G624" i="3"/>
  <c r="G630" i="3" s="1"/>
  <c r="Y624" i="3"/>
  <c r="Y629" i="3" s="1"/>
  <c r="W629" i="3"/>
  <c r="M624" i="3"/>
  <c r="M630" i="3" s="1"/>
  <c r="K630" i="3"/>
  <c r="BF49" i="12" l="1"/>
  <c r="BF47" i="12"/>
  <c r="BF39" i="12"/>
  <c r="BF41" i="12"/>
  <c r="BF32" i="12"/>
  <c r="BF34" i="12"/>
  <c r="BF36" i="12"/>
  <c r="BF43" i="12"/>
  <c r="BF46" i="12"/>
  <c r="BF48" i="12"/>
  <c r="BF50" i="12"/>
  <c r="BF40" i="12"/>
  <c r="BF42" i="12"/>
  <c r="BF44" i="12"/>
  <c r="BF33" i="12"/>
  <c r="BF35" i="12"/>
  <c r="BF53" i="5"/>
  <c r="BF55" i="5"/>
  <c r="BF47" i="5"/>
  <c r="BF49" i="5"/>
  <c r="BF44" i="5"/>
  <c r="BF39" i="5"/>
  <c r="BF41" i="5"/>
  <c r="BF36" i="5"/>
  <c r="BF54" i="5"/>
  <c r="BF51" i="5"/>
  <c r="BF48" i="5"/>
  <c r="BF43" i="5"/>
  <c r="BF45" i="5"/>
  <c r="BF40" i="5"/>
  <c r="BF35" i="5"/>
  <c r="BF37" i="5"/>
  <c r="BG54" i="11"/>
  <c r="BG51" i="11"/>
  <c r="BG48" i="11"/>
  <c r="BG43" i="11"/>
  <c r="BG45" i="11"/>
  <c r="BG40" i="11"/>
  <c r="BG35" i="11"/>
  <c r="BG37" i="11"/>
  <c r="BG55" i="11"/>
  <c r="BG49" i="11"/>
  <c r="BG44" i="11"/>
  <c r="BG39" i="11"/>
  <c r="BG41" i="11"/>
  <c r="BG36" i="11"/>
  <c r="BG47" i="11"/>
  <c r="BG53" i="11"/>
  <c r="AT4" i="13"/>
  <c r="AS4" i="10"/>
  <c r="L620" i="3"/>
  <c r="J620" i="3"/>
  <c r="K619" i="3" s="1"/>
  <c r="M619" i="3" s="1"/>
  <c r="F620" i="3"/>
  <c r="D620" i="3"/>
  <c r="E618" i="3" s="1"/>
  <c r="G618" i="3" s="1"/>
  <c r="X619" i="3"/>
  <c r="V619" i="3"/>
  <c r="W614" i="3" s="1"/>
  <c r="R619" i="3"/>
  <c r="P619" i="3"/>
  <c r="Q617" i="3" s="1"/>
  <c r="S617" i="3" s="1"/>
  <c r="A618" i="3"/>
  <c r="L610" i="3"/>
  <c r="J610" i="3"/>
  <c r="K607" i="3" s="1"/>
  <c r="M607" i="3" s="1"/>
  <c r="F610" i="3"/>
  <c r="D610" i="3"/>
  <c r="E606" i="3" s="1"/>
  <c r="G606" i="3" s="1"/>
  <c r="X609" i="3"/>
  <c r="V609" i="3"/>
  <c r="W608" i="3" s="1"/>
  <c r="Y608" i="3" s="1"/>
  <c r="R609" i="3"/>
  <c r="P609" i="3"/>
  <c r="Q608" i="3" s="1"/>
  <c r="S608" i="3" s="1"/>
  <c r="A608" i="3"/>
  <c r="W606" i="3"/>
  <c r="Y606" i="3" s="1"/>
  <c r="AR4" i="10"/>
  <c r="AS4" i="13"/>
  <c r="L600" i="3"/>
  <c r="J600" i="3"/>
  <c r="K599" i="3" s="1"/>
  <c r="M599" i="3" s="1"/>
  <c r="F600" i="3"/>
  <c r="D600" i="3"/>
  <c r="E599" i="3" s="1"/>
  <c r="G599" i="3" s="1"/>
  <c r="X599" i="3"/>
  <c r="V599" i="3"/>
  <c r="W598" i="3" s="1"/>
  <c r="R599" i="3"/>
  <c r="P599" i="3"/>
  <c r="Q596" i="3" s="1"/>
  <c r="S596" i="3" s="1"/>
  <c r="A598" i="3"/>
  <c r="L590" i="3"/>
  <c r="J590" i="3"/>
  <c r="K587" i="3" s="1"/>
  <c r="M587" i="3" s="1"/>
  <c r="F590" i="3"/>
  <c r="D590" i="3"/>
  <c r="E587" i="3" s="1"/>
  <c r="G587" i="3" s="1"/>
  <c r="X589" i="3"/>
  <c r="V589" i="3"/>
  <c r="W588" i="3" s="1"/>
  <c r="Y588" i="3" s="1"/>
  <c r="R589" i="3"/>
  <c r="P589" i="3"/>
  <c r="Q587" i="3" s="1"/>
  <c r="S587" i="3" s="1"/>
  <c r="A588" i="3"/>
  <c r="AR4" i="13"/>
  <c r="L580" i="3"/>
  <c r="J580" i="3"/>
  <c r="K578" i="3" s="1"/>
  <c r="M578" i="3" s="1"/>
  <c r="F580" i="3"/>
  <c r="D580" i="3"/>
  <c r="E579" i="3" s="1"/>
  <c r="G579" i="3" s="1"/>
  <c r="X579" i="3"/>
  <c r="V579" i="3"/>
  <c r="W575" i="3" s="1"/>
  <c r="Y575" i="3" s="1"/>
  <c r="R579" i="3"/>
  <c r="P579" i="3"/>
  <c r="Q575" i="3" s="1"/>
  <c r="A578" i="3"/>
  <c r="L570" i="3"/>
  <c r="J570" i="3"/>
  <c r="K569" i="3" s="1"/>
  <c r="M569" i="3" s="1"/>
  <c r="F570" i="3"/>
  <c r="D570" i="3"/>
  <c r="E569" i="3" s="1"/>
  <c r="G569" i="3" s="1"/>
  <c r="X569" i="3"/>
  <c r="V569" i="3"/>
  <c r="W566" i="3" s="1"/>
  <c r="Y566" i="3" s="1"/>
  <c r="R569" i="3"/>
  <c r="P569" i="3"/>
  <c r="Q567" i="3" s="1"/>
  <c r="S567" i="3" s="1"/>
  <c r="A568" i="3"/>
  <c r="AQ4" i="10"/>
  <c r="AQ4" i="13"/>
  <c r="J550" i="3"/>
  <c r="K548" i="3" s="1"/>
  <c r="M548" i="3" s="1"/>
  <c r="L560" i="3"/>
  <c r="J560" i="3"/>
  <c r="K559" i="3" s="1"/>
  <c r="M559" i="3" s="1"/>
  <c r="F560" i="3"/>
  <c r="D560" i="3"/>
  <c r="E557" i="3" s="1"/>
  <c r="G557" i="3" s="1"/>
  <c r="X559" i="3"/>
  <c r="V559" i="3"/>
  <c r="W558" i="3" s="1"/>
  <c r="Y558" i="3" s="1"/>
  <c r="R559" i="3"/>
  <c r="P559" i="3"/>
  <c r="Q558" i="3" s="1"/>
  <c r="S558" i="3" s="1"/>
  <c r="A558" i="3"/>
  <c r="L550" i="3"/>
  <c r="F550" i="3"/>
  <c r="D550" i="3"/>
  <c r="E549" i="3" s="1"/>
  <c r="G549" i="3" s="1"/>
  <c r="X549" i="3"/>
  <c r="V549" i="3"/>
  <c r="W546" i="3" s="1"/>
  <c r="Y546" i="3" s="1"/>
  <c r="R549" i="3"/>
  <c r="P549" i="3"/>
  <c r="Q547" i="3" s="1"/>
  <c r="S547" i="3" s="1"/>
  <c r="A548" i="3"/>
  <c r="AP4" i="10"/>
  <c r="AP4" i="13"/>
  <c r="X539" i="3"/>
  <c r="V539" i="3"/>
  <c r="W538" i="3" s="1"/>
  <c r="Y538" i="3" s="1"/>
  <c r="X529" i="3"/>
  <c r="V529" i="3"/>
  <c r="W528" i="3" s="1"/>
  <c r="Y528" i="3" s="1"/>
  <c r="V518" i="3"/>
  <c r="W514" i="3" s="1"/>
  <c r="X518" i="3"/>
  <c r="L540" i="3"/>
  <c r="J540" i="3"/>
  <c r="K539" i="3" s="1"/>
  <c r="M539" i="3" s="1"/>
  <c r="F540" i="3"/>
  <c r="D540" i="3"/>
  <c r="E539" i="3" s="1"/>
  <c r="G539" i="3" s="1"/>
  <c r="R539" i="3"/>
  <c r="P539" i="3"/>
  <c r="Q536" i="3" s="1"/>
  <c r="S536" i="3" s="1"/>
  <c r="A538" i="3"/>
  <c r="L530" i="3"/>
  <c r="J530" i="3"/>
  <c r="K529" i="3" s="1"/>
  <c r="M529" i="3" s="1"/>
  <c r="F530" i="3"/>
  <c r="D530" i="3"/>
  <c r="E527" i="3" s="1"/>
  <c r="G527" i="3" s="1"/>
  <c r="R529" i="3"/>
  <c r="P529" i="3"/>
  <c r="Q528" i="3" s="1"/>
  <c r="S528" i="3" s="1"/>
  <c r="A528" i="3"/>
  <c r="AO4" i="10"/>
  <c r="AO4" i="13"/>
  <c r="X508" i="3"/>
  <c r="V508" i="3"/>
  <c r="W505" i="3" s="1"/>
  <c r="Y505" i="3" s="1"/>
  <c r="L520" i="3"/>
  <c r="J520" i="3"/>
  <c r="K515" i="3" s="1"/>
  <c r="M515" i="3" s="1"/>
  <c r="F520" i="3"/>
  <c r="D520" i="3"/>
  <c r="E518" i="3" s="1"/>
  <c r="G518" i="3" s="1"/>
  <c r="R519" i="3"/>
  <c r="P519" i="3"/>
  <c r="Q518" i="3" s="1"/>
  <c r="S518" i="3" s="1"/>
  <c r="A518" i="3"/>
  <c r="L510" i="3"/>
  <c r="J510" i="3"/>
  <c r="K507" i="3" s="1"/>
  <c r="M507" i="3" s="1"/>
  <c r="F510" i="3"/>
  <c r="D510" i="3"/>
  <c r="E509" i="3" s="1"/>
  <c r="G509" i="3" s="1"/>
  <c r="R509" i="3"/>
  <c r="P509" i="3"/>
  <c r="Q507" i="3" s="1"/>
  <c r="S507" i="3" s="1"/>
  <c r="A508" i="3"/>
  <c r="AN4" i="10"/>
  <c r="AN4" i="13"/>
  <c r="X499" i="3"/>
  <c r="X489" i="3"/>
  <c r="V499" i="3"/>
  <c r="W497" i="3" s="1"/>
  <c r="Y497" i="3" s="1"/>
  <c r="V489" i="3"/>
  <c r="W488" i="3" s="1"/>
  <c r="Y488" i="3" s="1"/>
  <c r="L500" i="3"/>
  <c r="J500" i="3"/>
  <c r="K499" i="3" s="1"/>
  <c r="M499" i="3" s="1"/>
  <c r="F500" i="3"/>
  <c r="D500" i="3"/>
  <c r="E498" i="3" s="1"/>
  <c r="G498" i="3" s="1"/>
  <c r="R499" i="3"/>
  <c r="P499" i="3"/>
  <c r="Q498" i="3" s="1"/>
  <c r="S498" i="3" s="1"/>
  <c r="A498" i="3"/>
  <c r="L490" i="3"/>
  <c r="J490" i="3"/>
  <c r="K489" i="3" s="1"/>
  <c r="M489" i="3" s="1"/>
  <c r="F490" i="3"/>
  <c r="D490" i="3"/>
  <c r="E485" i="3" s="1"/>
  <c r="G485" i="3" s="1"/>
  <c r="R489" i="3"/>
  <c r="P489" i="3"/>
  <c r="Q488" i="3" s="1"/>
  <c r="S488" i="3" s="1"/>
  <c r="A488" i="3"/>
  <c r="AM4" i="10"/>
  <c r="AM4" i="13"/>
  <c r="V478" i="3"/>
  <c r="W477" i="3" s="1"/>
  <c r="Y477" i="3" s="1"/>
  <c r="V468" i="3"/>
  <c r="W464" i="3" s="1"/>
  <c r="Y464" i="3" s="1"/>
  <c r="L480" i="3"/>
  <c r="J480" i="3"/>
  <c r="K479" i="3" s="1"/>
  <c r="M479" i="3" s="1"/>
  <c r="F480" i="3"/>
  <c r="D480" i="3"/>
  <c r="E475" i="3" s="1"/>
  <c r="G475" i="3" s="1"/>
  <c r="R479" i="3"/>
  <c r="P479" i="3"/>
  <c r="Q477" i="3" s="1"/>
  <c r="S477" i="3" s="1"/>
  <c r="X478" i="3"/>
  <c r="A478" i="3"/>
  <c r="L470" i="3"/>
  <c r="J470" i="3"/>
  <c r="K467" i="3" s="1"/>
  <c r="M467" i="3" s="1"/>
  <c r="F470" i="3"/>
  <c r="D470" i="3"/>
  <c r="E466" i="3" s="1"/>
  <c r="G466" i="3" s="1"/>
  <c r="R469" i="3"/>
  <c r="P469" i="3"/>
  <c r="Q464" i="3" s="1"/>
  <c r="X468" i="3"/>
  <c r="A468" i="3"/>
  <c r="AL4" i="10"/>
  <c r="AL4" i="13"/>
  <c r="L17" i="2"/>
  <c r="A448" i="3"/>
  <c r="D450" i="3"/>
  <c r="E448" i="3" s="1"/>
  <c r="G448" i="3" s="1"/>
  <c r="L460" i="3"/>
  <c r="J460" i="3"/>
  <c r="K458" i="3" s="1"/>
  <c r="M458" i="3" s="1"/>
  <c r="F460" i="3"/>
  <c r="D460" i="3"/>
  <c r="E458" i="3" s="1"/>
  <c r="G458" i="3" s="1"/>
  <c r="R459" i="3"/>
  <c r="P459" i="3"/>
  <c r="Q456" i="3" s="1"/>
  <c r="S456" i="3" s="1"/>
  <c r="X458" i="3"/>
  <c r="V458" i="3"/>
  <c r="W455" i="3" s="1"/>
  <c r="Y455" i="3" s="1"/>
  <c r="A458" i="3"/>
  <c r="L450" i="3"/>
  <c r="J450" i="3"/>
  <c r="K448" i="3" s="1"/>
  <c r="M448" i="3" s="1"/>
  <c r="F450" i="3"/>
  <c r="R449" i="3"/>
  <c r="P449" i="3"/>
  <c r="Q445" i="3" s="1"/>
  <c r="S445" i="3" s="1"/>
  <c r="X448" i="3"/>
  <c r="V448" i="3"/>
  <c r="W445" i="3" s="1"/>
  <c r="Y445" i="3" s="1"/>
  <c r="AK4" i="10"/>
  <c r="AK4" i="13"/>
  <c r="AJ4" i="10"/>
  <c r="AJ4" i="13"/>
  <c r="L440" i="3"/>
  <c r="J440" i="3"/>
  <c r="K439" i="3" s="1"/>
  <c r="M439" i="3" s="1"/>
  <c r="F440" i="3"/>
  <c r="D440" i="3"/>
  <c r="E438" i="3" s="1"/>
  <c r="G438" i="3" s="1"/>
  <c r="R439" i="3"/>
  <c r="P439" i="3"/>
  <c r="Q436" i="3" s="1"/>
  <c r="S436" i="3" s="1"/>
  <c r="X438" i="3"/>
  <c r="V438" i="3"/>
  <c r="W434" i="3" s="1"/>
  <c r="A438" i="3"/>
  <c r="L430" i="3"/>
  <c r="J430" i="3"/>
  <c r="K427" i="3" s="1"/>
  <c r="M427" i="3" s="1"/>
  <c r="F430" i="3"/>
  <c r="D430" i="3"/>
  <c r="E428" i="3" s="1"/>
  <c r="G428" i="3" s="1"/>
  <c r="R429" i="3"/>
  <c r="P429" i="3"/>
  <c r="Q427" i="3" s="1"/>
  <c r="S427" i="3" s="1"/>
  <c r="X428" i="3"/>
  <c r="V428" i="3"/>
  <c r="W425" i="3" s="1"/>
  <c r="Y425" i="3" s="1"/>
  <c r="A428" i="3"/>
  <c r="R419" i="3"/>
  <c r="P409" i="3"/>
  <c r="Q407" i="3" s="1"/>
  <c r="S407" i="3" s="1"/>
  <c r="X418" i="3"/>
  <c r="V418" i="3"/>
  <c r="W415" i="3" s="1"/>
  <c r="Y415" i="3" s="1"/>
  <c r="X408" i="3"/>
  <c r="V408" i="3"/>
  <c r="W404" i="3" s="1"/>
  <c r="L420" i="3"/>
  <c r="J420" i="3"/>
  <c r="K416" i="3" s="1"/>
  <c r="M416" i="3" s="1"/>
  <c r="F420" i="3"/>
  <c r="D420" i="3"/>
  <c r="E417" i="3" s="1"/>
  <c r="G417" i="3" s="1"/>
  <c r="P419" i="3"/>
  <c r="Q418" i="3" s="1"/>
  <c r="S418" i="3" s="1"/>
  <c r="A418" i="3"/>
  <c r="L410" i="3"/>
  <c r="J410" i="3"/>
  <c r="K405" i="3" s="1"/>
  <c r="M405" i="3" s="1"/>
  <c r="F410" i="3"/>
  <c r="D410" i="3"/>
  <c r="E405" i="3" s="1"/>
  <c r="G405" i="3" s="1"/>
  <c r="R409" i="3"/>
  <c r="A408" i="3"/>
  <c r="AI4" i="10"/>
  <c r="AI4" i="13"/>
  <c r="X399" i="3"/>
  <c r="L400" i="3"/>
  <c r="J400" i="3"/>
  <c r="K399" i="3" s="1"/>
  <c r="M399" i="3" s="1"/>
  <c r="F400" i="3"/>
  <c r="D400" i="3"/>
  <c r="E399" i="3" s="1"/>
  <c r="G399" i="3" s="1"/>
  <c r="V399" i="3"/>
  <c r="W394" i="3" s="1"/>
  <c r="R399" i="3"/>
  <c r="P399" i="3"/>
  <c r="Q397" i="3" s="1"/>
  <c r="S397" i="3" s="1"/>
  <c r="A398" i="3"/>
  <c r="L390" i="3"/>
  <c r="J390" i="3"/>
  <c r="K389" i="3" s="1"/>
  <c r="M389" i="3" s="1"/>
  <c r="F390" i="3"/>
  <c r="D390" i="3"/>
  <c r="E387" i="3" s="1"/>
  <c r="G387" i="3" s="1"/>
  <c r="X389" i="3"/>
  <c r="V389" i="3"/>
  <c r="W388" i="3" s="1"/>
  <c r="Y388" i="3" s="1"/>
  <c r="R389" i="3"/>
  <c r="P389" i="3"/>
  <c r="Q384" i="3" s="1"/>
  <c r="A388" i="3"/>
  <c r="AI70" i="1"/>
  <c r="AI69" i="1"/>
  <c r="AI68" i="1"/>
  <c r="AH4" i="10"/>
  <c r="AH4" i="13"/>
  <c r="L380" i="3"/>
  <c r="J380" i="3"/>
  <c r="K379" i="3" s="1"/>
  <c r="M379" i="3" s="1"/>
  <c r="F380" i="3"/>
  <c r="D380" i="3"/>
  <c r="E377" i="3" s="1"/>
  <c r="G377" i="3" s="1"/>
  <c r="X379" i="3"/>
  <c r="V379" i="3"/>
  <c r="W378" i="3" s="1"/>
  <c r="Y378" i="3" s="1"/>
  <c r="R379" i="3"/>
  <c r="P379" i="3"/>
  <c r="Q378" i="3" s="1"/>
  <c r="S378" i="3" s="1"/>
  <c r="A378" i="3"/>
  <c r="L370" i="3"/>
  <c r="J370" i="3"/>
  <c r="K367" i="3" s="1"/>
  <c r="M367" i="3" s="1"/>
  <c r="F370" i="3"/>
  <c r="D370" i="3"/>
  <c r="E369" i="3" s="1"/>
  <c r="G369" i="3" s="1"/>
  <c r="X369" i="3"/>
  <c r="V369" i="3"/>
  <c r="W367" i="3" s="1"/>
  <c r="Y367" i="3" s="1"/>
  <c r="R369" i="3"/>
  <c r="P369" i="3"/>
  <c r="Q366" i="3" s="1"/>
  <c r="S366" i="3" s="1"/>
  <c r="A368" i="3"/>
  <c r="AG4" i="10"/>
  <c r="AG4" i="13"/>
  <c r="X359" i="3"/>
  <c r="V359" i="3"/>
  <c r="W358" i="3" s="1"/>
  <c r="Y358" i="3" s="1"/>
  <c r="X349" i="3"/>
  <c r="V349" i="3"/>
  <c r="W347" i="3" s="1"/>
  <c r="K588" i="3" l="1"/>
  <c r="M588" i="3" s="1"/>
  <c r="W607" i="3"/>
  <c r="Y607" i="3" s="1"/>
  <c r="K589" i="3"/>
  <c r="M589" i="3" s="1"/>
  <c r="E594" i="3"/>
  <c r="G594" i="3" s="1"/>
  <c r="G600" i="3" s="1"/>
  <c r="W596" i="3"/>
  <c r="Y596" i="3" s="1"/>
  <c r="Q616" i="3"/>
  <c r="S616" i="3" s="1"/>
  <c r="E596" i="3"/>
  <c r="G596" i="3" s="1"/>
  <c r="Q576" i="3"/>
  <c r="S576" i="3" s="1"/>
  <c r="W615" i="3"/>
  <c r="Y615" i="3" s="1"/>
  <c r="E598" i="3"/>
  <c r="G598" i="3" s="1"/>
  <c r="W605" i="3"/>
  <c r="Y605" i="3" s="1"/>
  <c r="W604" i="3"/>
  <c r="Y604" i="3" s="1"/>
  <c r="W616" i="3"/>
  <c r="Y616" i="3" s="1"/>
  <c r="W617" i="3"/>
  <c r="Y617" i="3" s="1"/>
  <c r="W618" i="3"/>
  <c r="Y618" i="3" s="1"/>
  <c r="Q614" i="3"/>
  <c r="Q618" i="3"/>
  <c r="S618" i="3" s="1"/>
  <c r="Q615" i="3"/>
  <c r="S615" i="3" s="1"/>
  <c r="Q605" i="3"/>
  <c r="S605" i="3" s="1"/>
  <c r="Q606" i="3"/>
  <c r="S606" i="3" s="1"/>
  <c r="Q607" i="3"/>
  <c r="S607" i="3" s="1"/>
  <c r="Q604" i="3"/>
  <c r="S604" i="3" s="1"/>
  <c r="K609" i="3"/>
  <c r="M609" i="3" s="1"/>
  <c r="K608" i="3"/>
  <c r="M608" i="3" s="1"/>
  <c r="E616" i="3"/>
  <c r="G616" i="3" s="1"/>
  <c r="E614" i="3"/>
  <c r="G614" i="3" s="1"/>
  <c r="E605" i="3"/>
  <c r="G605" i="3" s="1"/>
  <c r="E608" i="3"/>
  <c r="G608" i="3" s="1"/>
  <c r="E607" i="3"/>
  <c r="G607" i="3" s="1"/>
  <c r="E615" i="3"/>
  <c r="G615" i="3" s="1"/>
  <c r="E617" i="3"/>
  <c r="G617" i="3" s="1"/>
  <c r="E619" i="3"/>
  <c r="G619" i="3" s="1"/>
  <c r="E609" i="3"/>
  <c r="G609" i="3" s="1"/>
  <c r="E604" i="3"/>
  <c r="E575" i="3"/>
  <c r="G575" i="3" s="1"/>
  <c r="Q588" i="3"/>
  <c r="S588" i="3" s="1"/>
  <c r="K597" i="3"/>
  <c r="M597" i="3" s="1"/>
  <c r="K604" i="3"/>
  <c r="K605" i="3"/>
  <c r="M605" i="3" s="1"/>
  <c r="K606" i="3"/>
  <c r="M606" i="3" s="1"/>
  <c r="K376" i="3"/>
  <c r="M376" i="3" s="1"/>
  <c r="K534" i="3"/>
  <c r="M534" i="3" s="1"/>
  <c r="E545" i="3"/>
  <c r="G545" i="3" s="1"/>
  <c r="Q577" i="3"/>
  <c r="S577" i="3" s="1"/>
  <c r="K594" i="3"/>
  <c r="K600" i="3" s="1"/>
  <c r="Q598" i="3"/>
  <c r="S598" i="3" s="1"/>
  <c r="Y614" i="3"/>
  <c r="K595" i="3"/>
  <c r="M595" i="3" s="1"/>
  <c r="K614" i="3"/>
  <c r="K615" i="3"/>
  <c r="M615" i="3" s="1"/>
  <c r="K616" i="3"/>
  <c r="M616" i="3" s="1"/>
  <c r="K617" i="3"/>
  <c r="M617" i="3" s="1"/>
  <c r="K596" i="3"/>
  <c r="M596" i="3" s="1"/>
  <c r="K618" i="3"/>
  <c r="M618" i="3" s="1"/>
  <c r="W597" i="3"/>
  <c r="Y597" i="3" s="1"/>
  <c r="W595" i="3"/>
  <c r="Y595" i="3" s="1"/>
  <c r="W594" i="3"/>
  <c r="Y594" i="3" s="1"/>
  <c r="Q597" i="3"/>
  <c r="S597" i="3" s="1"/>
  <c r="Q595" i="3"/>
  <c r="S595" i="3" s="1"/>
  <c r="Q594" i="3"/>
  <c r="Q599" i="3" s="1"/>
  <c r="K598" i="3"/>
  <c r="M598" i="3" s="1"/>
  <c r="E597" i="3"/>
  <c r="G597" i="3" s="1"/>
  <c r="E595" i="3"/>
  <c r="G595" i="3" s="1"/>
  <c r="Y598" i="3"/>
  <c r="E588" i="3"/>
  <c r="G588" i="3" s="1"/>
  <c r="E589" i="3"/>
  <c r="G589" i="3" s="1"/>
  <c r="Q574" i="3"/>
  <c r="S574" i="3" s="1"/>
  <c r="K584" i="3"/>
  <c r="K585" i="3"/>
  <c r="M585" i="3" s="1"/>
  <c r="K586" i="3"/>
  <c r="M586" i="3" s="1"/>
  <c r="Q584" i="3"/>
  <c r="Q585" i="3"/>
  <c r="S585" i="3" s="1"/>
  <c r="Q586" i="3"/>
  <c r="S586" i="3" s="1"/>
  <c r="W584" i="3"/>
  <c r="W585" i="3"/>
  <c r="Y585" i="3" s="1"/>
  <c r="W586" i="3"/>
  <c r="Y586" i="3" s="1"/>
  <c r="W587" i="3"/>
  <c r="Y587" i="3" s="1"/>
  <c r="E584" i="3"/>
  <c r="E585" i="3"/>
  <c r="G585" i="3" s="1"/>
  <c r="E586" i="3"/>
  <c r="G586" i="3" s="1"/>
  <c r="W578" i="3"/>
  <c r="Y578" i="3" s="1"/>
  <c r="W576" i="3"/>
  <c r="Y576" i="3" s="1"/>
  <c r="W577" i="3"/>
  <c r="Y577" i="3" s="1"/>
  <c r="W567" i="3"/>
  <c r="Y567" i="3" s="1"/>
  <c r="S575" i="3"/>
  <c r="Q578" i="3"/>
  <c r="S578" i="3" s="1"/>
  <c r="Q568" i="3"/>
  <c r="S568" i="3" s="1"/>
  <c r="K575" i="3"/>
  <c r="M575" i="3" s="1"/>
  <c r="K577" i="3"/>
  <c r="M577" i="3" s="1"/>
  <c r="K564" i="3"/>
  <c r="M564" i="3" s="1"/>
  <c r="K567" i="3"/>
  <c r="M567" i="3" s="1"/>
  <c r="K568" i="3"/>
  <c r="M568" i="3" s="1"/>
  <c r="K566" i="3"/>
  <c r="M566" i="3" s="1"/>
  <c r="K574" i="3"/>
  <c r="E567" i="3"/>
  <c r="G567" i="3" s="1"/>
  <c r="E565" i="3"/>
  <c r="G565" i="3" s="1"/>
  <c r="W574" i="3"/>
  <c r="W565" i="3"/>
  <c r="Y565" i="3" s="1"/>
  <c r="W564" i="3"/>
  <c r="Y564" i="3" s="1"/>
  <c r="W568" i="3"/>
  <c r="Y568" i="3" s="1"/>
  <c r="K579" i="3"/>
  <c r="M579" i="3" s="1"/>
  <c r="M574" i="3"/>
  <c r="K576" i="3"/>
  <c r="M576" i="3" s="1"/>
  <c r="K565" i="3"/>
  <c r="M565" i="3" s="1"/>
  <c r="E577" i="3"/>
  <c r="G577" i="3" s="1"/>
  <c r="E576" i="3"/>
  <c r="G576" i="3" s="1"/>
  <c r="E574" i="3"/>
  <c r="G574" i="3" s="1"/>
  <c r="E578" i="3"/>
  <c r="G578" i="3" s="1"/>
  <c r="E564" i="3"/>
  <c r="G564" i="3" s="1"/>
  <c r="E566" i="3"/>
  <c r="G566" i="3" s="1"/>
  <c r="E546" i="3"/>
  <c r="G546" i="3" s="1"/>
  <c r="E547" i="3"/>
  <c r="G547" i="3" s="1"/>
  <c r="Q564" i="3"/>
  <c r="Q565" i="3"/>
  <c r="S565" i="3" s="1"/>
  <c r="Q566" i="3"/>
  <c r="S566" i="3" s="1"/>
  <c r="E568" i="3"/>
  <c r="G568" i="3" s="1"/>
  <c r="Q548" i="3"/>
  <c r="S548" i="3" s="1"/>
  <c r="E548" i="3"/>
  <c r="G548" i="3" s="1"/>
  <c r="E544" i="3"/>
  <c r="G544" i="3" s="1"/>
  <c r="W544" i="3"/>
  <c r="W547" i="3"/>
  <c r="Y547" i="3" s="1"/>
  <c r="W545" i="3"/>
  <c r="Y545" i="3" s="1"/>
  <c r="W548" i="3"/>
  <c r="Y548" i="3" s="1"/>
  <c r="E559" i="3"/>
  <c r="G559" i="3" s="1"/>
  <c r="W554" i="3"/>
  <c r="W555" i="3"/>
  <c r="Y555" i="3" s="1"/>
  <c r="W556" i="3"/>
  <c r="Y556" i="3" s="1"/>
  <c r="W557" i="3"/>
  <c r="Y557" i="3" s="1"/>
  <c r="K555" i="3"/>
  <c r="M555" i="3" s="1"/>
  <c r="K556" i="3"/>
  <c r="M556" i="3" s="1"/>
  <c r="K557" i="3"/>
  <c r="M557" i="3" s="1"/>
  <c r="K558" i="3"/>
  <c r="M558" i="3" s="1"/>
  <c r="Q554" i="3"/>
  <c r="Q555" i="3"/>
  <c r="S555" i="3" s="1"/>
  <c r="Q556" i="3"/>
  <c r="S556" i="3" s="1"/>
  <c r="Q557" i="3"/>
  <c r="S557" i="3" s="1"/>
  <c r="K544" i="3"/>
  <c r="K546" i="3"/>
  <c r="M546" i="3" s="1"/>
  <c r="E536" i="3"/>
  <c r="G536" i="3" s="1"/>
  <c r="K549" i="3"/>
  <c r="M549" i="3" s="1"/>
  <c r="K536" i="3"/>
  <c r="M536" i="3" s="1"/>
  <c r="Q544" i="3"/>
  <c r="Q545" i="3"/>
  <c r="S545" i="3" s="1"/>
  <c r="Q546" i="3"/>
  <c r="S546" i="3" s="1"/>
  <c r="E558" i="3"/>
  <c r="G558" i="3" s="1"/>
  <c r="W517" i="3"/>
  <c r="Y517" i="3" s="1"/>
  <c r="K554" i="3"/>
  <c r="K494" i="3"/>
  <c r="M494" i="3" s="1"/>
  <c r="W516" i="3"/>
  <c r="Y516" i="3" s="1"/>
  <c r="K525" i="3"/>
  <c r="M525" i="3" s="1"/>
  <c r="K545" i="3"/>
  <c r="M545" i="3" s="1"/>
  <c r="K547" i="3"/>
  <c r="M547" i="3" s="1"/>
  <c r="E516" i="3"/>
  <c r="G516" i="3" s="1"/>
  <c r="W506" i="3"/>
  <c r="Y506" i="3" s="1"/>
  <c r="K537" i="3"/>
  <c r="M537" i="3" s="1"/>
  <c r="E554" i="3"/>
  <c r="E555" i="3"/>
  <c r="G555" i="3" s="1"/>
  <c r="E556" i="3"/>
  <c r="G556" i="3" s="1"/>
  <c r="W535" i="3"/>
  <c r="Y535" i="3" s="1"/>
  <c r="W524" i="3"/>
  <c r="Y524" i="3" s="1"/>
  <c r="W536" i="3"/>
  <c r="Y536" i="3" s="1"/>
  <c r="W525" i="3"/>
  <c r="Y525" i="3" s="1"/>
  <c r="W526" i="3"/>
  <c r="Y526" i="3" s="1"/>
  <c r="W527" i="3"/>
  <c r="Y527" i="3" s="1"/>
  <c r="W537" i="3"/>
  <c r="Y537" i="3" s="1"/>
  <c r="W534" i="3"/>
  <c r="Y514" i="3"/>
  <c r="W515" i="3"/>
  <c r="Y515" i="3" s="1"/>
  <c r="K526" i="3"/>
  <c r="M526" i="3" s="1"/>
  <c r="K527" i="3"/>
  <c r="M527" i="3" s="1"/>
  <c r="K528" i="3"/>
  <c r="M528" i="3" s="1"/>
  <c r="E534" i="3"/>
  <c r="G534" i="3" s="1"/>
  <c r="E529" i="3"/>
  <c r="G529" i="3" s="1"/>
  <c r="Q537" i="3"/>
  <c r="S537" i="3" s="1"/>
  <c r="Q535" i="3"/>
  <c r="S535" i="3" s="1"/>
  <c r="Q538" i="3"/>
  <c r="S538" i="3" s="1"/>
  <c r="Q534" i="3"/>
  <c r="Q525" i="3"/>
  <c r="S525" i="3" s="1"/>
  <c r="Q526" i="3"/>
  <c r="S526" i="3" s="1"/>
  <c r="Q527" i="3"/>
  <c r="S527" i="3" s="1"/>
  <c r="Q524" i="3"/>
  <c r="K535" i="3"/>
  <c r="M535" i="3" s="1"/>
  <c r="K524" i="3"/>
  <c r="M524" i="3" s="1"/>
  <c r="E538" i="3"/>
  <c r="G538" i="3" s="1"/>
  <c r="E535" i="3"/>
  <c r="G535" i="3" s="1"/>
  <c r="E537" i="3"/>
  <c r="G537" i="3" s="1"/>
  <c r="E528" i="3"/>
  <c r="G528" i="3" s="1"/>
  <c r="K397" i="3"/>
  <c r="M397" i="3" s="1"/>
  <c r="S524" i="3"/>
  <c r="K538" i="3"/>
  <c r="M538" i="3" s="1"/>
  <c r="Q505" i="3"/>
  <c r="S505" i="3" s="1"/>
  <c r="E515" i="3"/>
  <c r="G515" i="3" s="1"/>
  <c r="E524" i="3"/>
  <c r="E525" i="3"/>
  <c r="G525" i="3" s="1"/>
  <c r="E526" i="3"/>
  <c r="G526" i="3" s="1"/>
  <c r="W487" i="3"/>
  <c r="Y487" i="3" s="1"/>
  <c r="Q398" i="3"/>
  <c r="S398" i="3" s="1"/>
  <c r="W498" i="3"/>
  <c r="Y498" i="3" s="1"/>
  <c r="W504" i="3"/>
  <c r="W507" i="3"/>
  <c r="Y507" i="3" s="1"/>
  <c r="E396" i="3"/>
  <c r="G396" i="3" s="1"/>
  <c r="Q506" i="3"/>
  <c r="S506" i="3" s="1"/>
  <c r="E517" i="3"/>
  <c r="G517" i="3" s="1"/>
  <c r="E514" i="3"/>
  <c r="G514" i="3" s="1"/>
  <c r="Q515" i="3"/>
  <c r="S515" i="3" s="1"/>
  <c r="Q517" i="3"/>
  <c r="S517" i="3" s="1"/>
  <c r="Q514" i="3"/>
  <c r="Q516" i="3"/>
  <c r="S516" i="3" s="1"/>
  <c r="Q508" i="3"/>
  <c r="S508" i="3" s="1"/>
  <c r="Q504" i="3"/>
  <c r="K514" i="3"/>
  <c r="M514" i="3" s="1"/>
  <c r="K519" i="3"/>
  <c r="M519" i="3" s="1"/>
  <c r="K516" i="3"/>
  <c r="M516" i="3" s="1"/>
  <c r="K517" i="3"/>
  <c r="M517" i="3" s="1"/>
  <c r="K508" i="3"/>
  <c r="M508" i="3" s="1"/>
  <c r="K518" i="3"/>
  <c r="M518" i="3" s="1"/>
  <c r="K509" i="3"/>
  <c r="M509" i="3" s="1"/>
  <c r="E519" i="3"/>
  <c r="G519" i="3" s="1"/>
  <c r="K504" i="3"/>
  <c r="K505" i="3"/>
  <c r="M505" i="3" s="1"/>
  <c r="K506" i="3"/>
  <c r="M506" i="3" s="1"/>
  <c r="Q437" i="3"/>
  <c r="S437" i="3" s="1"/>
  <c r="W494" i="3"/>
  <c r="Y494" i="3" s="1"/>
  <c r="W484" i="3"/>
  <c r="W495" i="3"/>
  <c r="Y495" i="3" s="1"/>
  <c r="W485" i="3"/>
  <c r="Y485" i="3" s="1"/>
  <c r="W496" i="3"/>
  <c r="Y496" i="3" s="1"/>
  <c r="W486" i="3"/>
  <c r="Y486" i="3" s="1"/>
  <c r="Q457" i="3"/>
  <c r="S457" i="3" s="1"/>
  <c r="E504" i="3"/>
  <c r="E505" i="3"/>
  <c r="G505" i="3" s="1"/>
  <c r="E506" i="3"/>
  <c r="G506" i="3" s="1"/>
  <c r="E507" i="3"/>
  <c r="G507" i="3" s="1"/>
  <c r="K396" i="3"/>
  <c r="M396" i="3" s="1"/>
  <c r="E508" i="3"/>
  <c r="G508" i="3" s="1"/>
  <c r="K495" i="3"/>
  <c r="M495" i="3" s="1"/>
  <c r="K496" i="3"/>
  <c r="M496" i="3" s="1"/>
  <c r="E497" i="3"/>
  <c r="G497" i="3" s="1"/>
  <c r="Q496" i="3"/>
  <c r="S496" i="3" s="1"/>
  <c r="Q494" i="3"/>
  <c r="Q497" i="3"/>
  <c r="S497" i="3" s="1"/>
  <c r="Q495" i="3"/>
  <c r="S495" i="3" s="1"/>
  <c r="K497" i="3"/>
  <c r="M497" i="3" s="1"/>
  <c r="E488" i="3"/>
  <c r="G488" i="3" s="1"/>
  <c r="E486" i="3"/>
  <c r="G486" i="3" s="1"/>
  <c r="E489" i="3"/>
  <c r="G489" i="3" s="1"/>
  <c r="E487" i="3"/>
  <c r="G487" i="3" s="1"/>
  <c r="E484" i="3"/>
  <c r="E495" i="3"/>
  <c r="G495" i="3" s="1"/>
  <c r="E499" i="3"/>
  <c r="G499" i="3" s="1"/>
  <c r="E494" i="3"/>
  <c r="G494" i="3" s="1"/>
  <c r="E496" i="3"/>
  <c r="G496" i="3" s="1"/>
  <c r="K498" i="3"/>
  <c r="M498" i="3" s="1"/>
  <c r="K484" i="3"/>
  <c r="K485" i="3"/>
  <c r="M485" i="3" s="1"/>
  <c r="K486" i="3"/>
  <c r="M486" i="3" s="1"/>
  <c r="K487" i="3"/>
  <c r="M487" i="3" s="1"/>
  <c r="K488" i="3"/>
  <c r="M488" i="3" s="1"/>
  <c r="W457" i="3"/>
  <c r="Y457" i="3" s="1"/>
  <c r="Q484" i="3"/>
  <c r="Q485" i="3"/>
  <c r="S485" i="3" s="1"/>
  <c r="Q486" i="3"/>
  <c r="S486" i="3" s="1"/>
  <c r="Q487" i="3"/>
  <c r="S487" i="3" s="1"/>
  <c r="W467" i="3"/>
  <c r="Y467" i="3" s="1"/>
  <c r="Q465" i="3"/>
  <c r="S465" i="3" s="1"/>
  <c r="Q466" i="3"/>
  <c r="S466" i="3" s="1"/>
  <c r="Q467" i="3"/>
  <c r="S467" i="3" s="1"/>
  <c r="K466" i="3"/>
  <c r="M466" i="3" s="1"/>
  <c r="K469" i="3"/>
  <c r="M469" i="3" s="1"/>
  <c r="K464" i="3"/>
  <c r="M464" i="3" s="1"/>
  <c r="E477" i="3"/>
  <c r="G477" i="3" s="1"/>
  <c r="E464" i="3"/>
  <c r="G464" i="3" s="1"/>
  <c r="E469" i="3"/>
  <c r="G469" i="3" s="1"/>
  <c r="W474" i="3"/>
  <c r="Y474" i="3" s="1"/>
  <c r="W475" i="3"/>
  <c r="Y475" i="3" s="1"/>
  <c r="W476" i="3"/>
  <c r="Y476" i="3" s="1"/>
  <c r="Q478" i="3"/>
  <c r="S478" i="3" s="1"/>
  <c r="E479" i="3"/>
  <c r="G479" i="3" s="1"/>
  <c r="E474" i="3"/>
  <c r="G474" i="3" s="1"/>
  <c r="E478" i="3"/>
  <c r="G478" i="3" s="1"/>
  <c r="E476" i="3"/>
  <c r="G476" i="3" s="1"/>
  <c r="W465" i="3"/>
  <c r="Y465" i="3" s="1"/>
  <c r="W466" i="3"/>
  <c r="Y466" i="3" s="1"/>
  <c r="S464" i="3"/>
  <c r="Q468" i="3"/>
  <c r="S468" i="3" s="1"/>
  <c r="K468" i="3"/>
  <c r="M468" i="3" s="1"/>
  <c r="K465" i="3"/>
  <c r="M465" i="3" s="1"/>
  <c r="E465" i="3"/>
  <c r="G465" i="3" s="1"/>
  <c r="E468" i="3"/>
  <c r="G468" i="3" s="1"/>
  <c r="E467" i="3"/>
  <c r="G467" i="3" s="1"/>
  <c r="K474" i="3"/>
  <c r="K475" i="3"/>
  <c r="M475" i="3" s="1"/>
  <c r="K476" i="3"/>
  <c r="M476" i="3" s="1"/>
  <c r="K477" i="3"/>
  <c r="M477" i="3" s="1"/>
  <c r="Q454" i="3"/>
  <c r="S454" i="3" s="1"/>
  <c r="K478" i="3"/>
  <c r="M478" i="3" s="1"/>
  <c r="W456" i="3"/>
  <c r="Y456" i="3" s="1"/>
  <c r="Q474" i="3"/>
  <c r="Q475" i="3"/>
  <c r="S475" i="3" s="1"/>
  <c r="Q476" i="3"/>
  <c r="S476" i="3" s="1"/>
  <c r="W407" i="3"/>
  <c r="Y407" i="3" s="1"/>
  <c r="W454" i="3"/>
  <c r="Y454" i="3" s="1"/>
  <c r="W447" i="3"/>
  <c r="Y447" i="3" s="1"/>
  <c r="W446" i="3"/>
  <c r="Y446" i="3" s="1"/>
  <c r="Q455" i="3"/>
  <c r="S455" i="3" s="1"/>
  <c r="Q444" i="3"/>
  <c r="S444" i="3" s="1"/>
  <c r="K454" i="3"/>
  <c r="M454" i="3" s="1"/>
  <c r="K445" i="3"/>
  <c r="M445" i="3" s="1"/>
  <c r="K447" i="3"/>
  <c r="M447" i="3" s="1"/>
  <c r="K444" i="3"/>
  <c r="M444" i="3" s="1"/>
  <c r="K449" i="3"/>
  <c r="M449" i="3" s="1"/>
  <c r="K455" i="3"/>
  <c r="M455" i="3" s="1"/>
  <c r="K459" i="3"/>
  <c r="M459" i="3" s="1"/>
  <c r="K456" i="3"/>
  <c r="M456" i="3" s="1"/>
  <c r="K457" i="3"/>
  <c r="M457" i="3" s="1"/>
  <c r="K446" i="3"/>
  <c r="M446" i="3" s="1"/>
  <c r="E455" i="3"/>
  <c r="G455" i="3" s="1"/>
  <c r="W444" i="3"/>
  <c r="Y444" i="3" s="1"/>
  <c r="Q458" i="3"/>
  <c r="S458" i="3" s="1"/>
  <c r="Q448" i="3"/>
  <c r="S448" i="3" s="1"/>
  <c r="Q446" i="3"/>
  <c r="S446" i="3" s="1"/>
  <c r="Q447" i="3"/>
  <c r="S447" i="3" s="1"/>
  <c r="E454" i="3"/>
  <c r="E457" i="3"/>
  <c r="G457" i="3" s="1"/>
  <c r="E456" i="3"/>
  <c r="G456" i="3" s="1"/>
  <c r="E459" i="3"/>
  <c r="G459" i="3" s="1"/>
  <c r="E449" i="3"/>
  <c r="G449" i="3" s="1"/>
  <c r="W405" i="3"/>
  <c r="E444" i="3"/>
  <c r="E445" i="3"/>
  <c r="G445" i="3" s="1"/>
  <c r="E446" i="3"/>
  <c r="G446" i="3" s="1"/>
  <c r="E447" i="3"/>
  <c r="G447" i="3" s="1"/>
  <c r="K419" i="3"/>
  <c r="M419" i="3" s="1"/>
  <c r="W406" i="3"/>
  <c r="Y406" i="3" s="1"/>
  <c r="Q434" i="3"/>
  <c r="S434" i="3" s="1"/>
  <c r="W435" i="3"/>
  <c r="Y435" i="3" s="1"/>
  <c r="W437" i="3"/>
  <c r="Y437" i="3" s="1"/>
  <c r="Q424" i="3"/>
  <c r="K437" i="3"/>
  <c r="M437" i="3" s="1"/>
  <c r="K438" i="3"/>
  <c r="M438" i="3" s="1"/>
  <c r="K435" i="3"/>
  <c r="M435" i="3" s="1"/>
  <c r="K436" i="3"/>
  <c r="M436" i="3" s="1"/>
  <c r="K428" i="3"/>
  <c r="M428" i="3" s="1"/>
  <c r="Y434" i="3"/>
  <c r="W436" i="3"/>
  <c r="Y436" i="3" s="1"/>
  <c r="W424" i="3"/>
  <c r="W426" i="3"/>
  <c r="Y426" i="3" s="1"/>
  <c r="W427" i="3"/>
  <c r="Y427" i="3" s="1"/>
  <c r="Q435" i="3"/>
  <c r="S435" i="3" s="1"/>
  <c r="Q438" i="3"/>
  <c r="S438" i="3" s="1"/>
  <c r="Q425" i="3"/>
  <c r="S425" i="3" s="1"/>
  <c r="Q428" i="3"/>
  <c r="S428" i="3" s="1"/>
  <c r="Q426" i="3"/>
  <c r="S426" i="3" s="1"/>
  <c r="K434" i="3"/>
  <c r="K429" i="3"/>
  <c r="M429" i="3" s="1"/>
  <c r="E437" i="3"/>
  <c r="G437" i="3" s="1"/>
  <c r="E434" i="3"/>
  <c r="E436" i="3"/>
  <c r="G436" i="3" s="1"/>
  <c r="E435" i="3"/>
  <c r="G435" i="3" s="1"/>
  <c r="E439" i="3"/>
  <c r="G439" i="3" s="1"/>
  <c r="E429" i="3"/>
  <c r="G429" i="3" s="1"/>
  <c r="E424" i="3"/>
  <c r="E425" i="3"/>
  <c r="G425" i="3" s="1"/>
  <c r="E426" i="3"/>
  <c r="G426" i="3" s="1"/>
  <c r="E427" i="3"/>
  <c r="G427" i="3" s="1"/>
  <c r="K414" i="3"/>
  <c r="W416" i="3"/>
  <c r="Y416" i="3" s="1"/>
  <c r="W417" i="3"/>
  <c r="Y417" i="3" s="1"/>
  <c r="K424" i="3"/>
  <c r="K425" i="3"/>
  <c r="M425" i="3" s="1"/>
  <c r="K426" i="3"/>
  <c r="M426" i="3" s="1"/>
  <c r="Q416" i="3"/>
  <c r="S416" i="3" s="1"/>
  <c r="Q415" i="3"/>
  <c r="S415" i="3" s="1"/>
  <c r="K417" i="3"/>
  <c r="M417" i="3" s="1"/>
  <c r="W414" i="3"/>
  <c r="Y414" i="3" s="1"/>
  <c r="Q408" i="3"/>
  <c r="S408" i="3" s="1"/>
  <c r="E407" i="3"/>
  <c r="G407" i="3" s="1"/>
  <c r="Q417" i="3"/>
  <c r="S417" i="3" s="1"/>
  <c r="Q414" i="3"/>
  <c r="K415" i="3"/>
  <c r="M415" i="3" s="1"/>
  <c r="K418" i="3"/>
  <c r="M418" i="3" s="1"/>
  <c r="E414" i="3"/>
  <c r="G414" i="3" s="1"/>
  <c r="E416" i="3"/>
  <c r="G416" i="3" s="1"/>
  <c r="E418" i="3"/>
  <c r="G418" i="3" s="1"/>
  <c r="E419" i="3"/>
  <c r="G419" i="3" s="1"/>
  <c r="E415" i="3"/>
  <c r="G415" i="3" s="1"/>
  <c r="E406" i="3"/>
  <c r="G406" i="3" s="1"/>
  <c r="E408" i="3"/>
  <c r="G408" i="3" s="1"/>
  <c r="E404" i="3"/>
  <c r="E409" i="3"/>
  <c r="G409" i="3" s="1"/>
  <c r="K404" i="3"/>
  <c r="K406" i="3"/>
  <c r="M406" i="3" s="1"/>
  <c r="K407" i="3"/>
  <c r="M407" i="3" s="1"/>
  <c r="K408" i="3"/>
  <c r="M408" i="3" s="1"/>
  <c r="K409" i="3"/>
  <c r="M409" i="3" s="1"/>
  <c r="Q404" i="3"/>
  <c r="Q405" i="3"/>
  <c r="S405" i="3" s="1"/>
  <c r="Q406" i="3"/>
  <c r="S406" i="3" s="1"/>
  <c r="W398" i="3"/>
  <c r="Y398" i="3" s="1"/>
  <c r="Q396" i="3"/>
  <c r="S396" i="3" s="1"/>
  <c r="K398" i="3"/>
  <c r="M398" i="3" s="1"/>
  <c r="K394" i="3"/>
  <c r="M394" i="3" s="1"/>
  <c r="E398" i="3"/>
  <c r="G398" i="3" s="1"/>
  <c r="E394" i="3"/>
  <c r="G394" i="3" s="1"/>
  <c r="W396" i="3"/>
  <c r="Y396" i="3" s="1"/>
  <c r="W397" i="3"/>
  <c r="Y397" i="3" s="1"/>
  <c r="W395" i="3"/>
  <c r="Y395" i="3" s="1"/>
  <c r="Q395" i="3"/>
  <c r="S395" i="3" s="1"/>
  <c r="Q394" i="3"/>
  <c r="Q385" i="3"/>
  <c r="S385" i="3" s="1"/>
  <c r="Q387" i="3"/>
  <c r="S387" i="3" s="1"/>
  <c r="Q388" i="3"/>
  <c r="S388" i="3" s="1"/>
  <c r="Q386" i="3"/>
  <c r="S386" i="3" s="1"/>
  <c r="K395" i="3"/>
  <c r="M395" i="3" s="1"/>
  <c r="E397" i="3"/>
  <c r="G397" i="3" s="1"/>
  <c r="E395" i="3"/>
  <c r="G395" i="3" s="1"/>
  <c r="E389" i="3"/>
  <c r="G389" i="3" s="1"/>
  <c r="E388" i="3"/>
  <c r="G388" i="3" s="1"/>
  <c r="K384" i="3"/>
  <c r="K386" i="3"/>
  <c r="M386" i="3" s="1"/>
  <c r="K387" i="3"/>
  <c r="M387" i="3" s="1"/>
  <c r="W356" i="3"/>
  <c r="K388" i="3"/>
  <c r="M388" i="3" s="1"/>
  <c r="S384" i="3"/>
  <c r="K385" i="3"/>
  <c r="M385" i="3" s="1"/>
  <c r="W357" i="3"/>
  <c r="Y357" i="3" s="1"/>
  <c r="Y394" i="3"/>
  <c r="W344" i="3"/>
  <c r="W384" i="3"/>
  <c r="W385" i="3"/>
  <c r="Y385" i="3" s="1"/>
  <c r="W386" i="3"/>
  <c r="Y386" i="3" s="1"/>
  <c r="W387" i="3"/>
  <c r="Y387" i="3" s="1"/>
  <c r="W345" i="3"/>
  <c r="W348" i="3"/>
  <c r="Y348" i="3" s="1"/>
  <c r="E384" i="3"/>
  <c r="E385" i="3"/>
  <c r="G385" i="3" s="1"/>
  <c r="E386" i="3"/>
  <c r="G386" i="3" s="1"/>
  <c r="Q374" i="3"/>
  <c r="Q376" i="3"/>
  <c r="S376" i="3" s="1"/>
  <c r="Q377" i="3"/>
  <c r="S377" i="3" s="1"/>
  <c r="K374" i="3"/>
  <c r="M374" i="3" s="1"/>
  <c r="K375" i="3"/>
  <c r="M375" i="3" s="1"/>
  <c r="K369" i="3"/>
  <c r="M369" i="3" s="1"/>
  <c r="E364" i="3"/>
  <c r="G364" i="3" s="1"/>
  <c r="E367" i="3"/>
  <c r="G367" i="3" s="1"/>
  <c r="E365" i="3"/>
  <c r="G365" i="3" s="1"/>
  <c r="E366" i="3"/>
  <c r="G366" i="3" s="1"/>
  <c r="E368" i="3"/>
  <c r="G368" i="3" s="1"/>
  <c r="W376" i="3"/>
  <c r="Y376" i="3" s="1"/>
  <c r="W377" i="3"/>
  <c r="Y377" i="3" s="1"/>
  <c r="W374" i="3"/>
  <c r="W375" i="3"/>
  <c r="Y375" i="3" s="1"/>
  <c r="W368" i="3"/>
  <c r="Y368" i="3" s="1"/>
  <c r="Q375" i="3"/>
  <c r="S375" i="3" s="1"/>
  <c r="Q365" i="3"/>
  <c r="S365" i="3" s="1"/>
  <c r="Q368" i="3"/>
  <c r="S368" i="3" s="1"/>
  <c r="Q364" i="3"/>
  <c r="S364" i="3" s="1"/>
  <c r="Q367" i="3"/>
  <c r="S367" i="3" s="1"/>
  <c r="K378" i="3"/>
  <c r="M378" i="3" s="1"/>
  <c r="K377" i="3"/>
  <c r="M377" i="3" s="1"/>
  <c r="K368" i="3"/>
  <c r="M368" i="3" s="1"/>
  <c r="E374" i="3"/>
  <c r="G374" i="3" s="1"/>
  <c r="E376" i="3"/>
  <c r="G376" i="3" s="1"/>
  <c r="E379" i="3"/>
  <c r="G379" i="3" s="1"/>
  <c r="E375" i="3"/>
  <c r="G375" i="3" s="1"/>
  <c r="E378" i="3"/>
  <c r="G378" i="3" s="1"/>
  <c r="K364" i="3"/>
  <c r="K365" i="3"/>
  <c r="M365" i="3" s="1"/>
  <c r="K366" i="3"/>
  <c r="M366" i="3" s="1"/>
  <c r="S374" i="3"/>
  <c r="W346" i="3"/>
  <c r="Y346" i="3" s="1"/>
  <c r="W354" i="3"/>
  <c r="W355" i="3"/>
  <c r="W364" i="3"/>
  <c r="W365" i="3"/>
  <c r="Y365" i="3" s="1"/>
  <c r="W366" i="3"/>
  <c r="Y366" i="3" s="1"/>
  <c r="L360" i="3"/>
  <c r="J360" i="3"/>
  <c r="K358" i="3" s="1"/>
  <c r="M358" i="3" s="1"/>
  <c r="F360" i="3"/>
  <c r="D360" i="3"/>
  <c r="E358" i="3" s="1"/>
  <c r="G358" i="3" s="1"/>
  <c r="R359" i="3"/>
  <c r="P359" i="3"/>
  <c r="Q358" i="3" s="1"/>
  <c r="S358" i="3" s="1"/>
  <c r="A358" i="3"/>
  <c r="L350" i="3"/>
  <c r="J350" i="3"/>
  <c r="K349" i="3" s="1"/>
  <c r="M349" i="3" s="1"/>
  <c r="F350" i="3"/>
  <c r="D350" i="3"/>
  <c r="E345" i="3" s="1"/>
  <c r="G345" i="3" s="1"/>
  <c r="R349" i="3"/>
  <c r="P349" i="3"/>
  <c r="Q348" i="3" s="1"/>
  <c r="S348" i="3" s="1"/>
  <c r="A348" i="3"/>
  <c r="AF4" i="10"/>
  <c r="AF4" i="13"/>
  <c r="R329" i="3"/>
  <c r="L340" i="3"/>
  <c r="J340" i="3"/>
  <c r="K336" i="3" s="1"/>
  <c r="M336" i="3" s="1"/>
  <c r="F340" i="3"/>
  <c r="D340" i="3"/>
  <c r="E339" i="3" s="1"/>
  <c r="G339" i="3" s="1"/>
  <c r="R339" i="3"/>
  <c r="P339" i="3"/>
  <c r="Q335" i="3" s="1"/>
  <c r="S335" i="3" s="1"/>
  <c r="X338" i="3"/>
  <c r="V338" i="3"/>
  <c r="W336" i="3" s="1"/>
  <c r="Y336" i="3" s="1"/>
  <c r="A338" i="3"/>
  <c r="L330" i="3"/>
  <c r="J330" i="3"/>
  <c r="K329" i="3" s="1"/>
  <c r="F330" i="3"/>
  <c r="D330" i="3"/>
  <c r="E324" i="3" s="1"/>
  <c r="P329" i="3"/>
  <c r="Q328" i="3" s="1"/>
  <c r="S328" i="3" s="1"/>
  <c r="X328" i="3"/>
  <c r="V328" i="3"/>
  <c r="W327" i="3" s="1"/>
  <c r="Y327" i="3" s="1"/>
  <c r="A328" i="3"/>
  <c r="AE4" i="10"/>
  <c r="AE4" i="13"/>
  <c r="X318" i="3"/>
  <c r="V318" i="3"/>
  <c r="W317" i="3" s="1"/>
  <c r="Y317" i="3" s="1"/>
  <c r="X308" i="3"/>
  <c r="V308" i="3"/>
  <c r="W306" i="3" s="1"/>
  <c r="L320" i="3"/>
  <c r="J320" i="3"/>
  <c r="K319" i="3" s="1"/>
  <c r="M319" i="3" s="1"/>
  <c r="F320" i="3"/>
  <c r="D320" i="3"/>
  <c r="E317" i="3" s="1"/>
  <c r="G317" i="3" s="1"/>
  <c r="R319" i="3"/>
  <c r="P319" i="3"/>
  <c r="Q316" i="3" s="1"/>
  <c r="S316" i="3" s="1"/>
  <c r="A318" i="3"/>
  <c r="L310" i="3"/>
  <c r="J310" i="3"/>
  <c r="K309" i="3" s="1"/>
  <c r="M309" i="3" s="1"/>
  <c r="F310" i="3"/>
  <c r="D310" i="3"/>
  <c r="E307" i="3" s="1"/>
  <c r="G307" i="3" s="1"/>
  <c r="R309" i="3"/>
  <c r="P309" i="3"/>
  <c r="Q307" i="3" s="1"/>
  <c r="S307" i="3" s="1"/>
  <c r="A308" i="3"/>
  <c r="AD4" i="10"/>
  <c r="AC4" i="10"/>
  <c r="AD4" i="13"/>
  <c r="AC4" i="13"/>
  <c r="AC49" i="14"/>
  <c r="L300" i="3"/>
  <c r="J300" i="3"/>
  <c r="K297" i="3" s="1"/>
  <c r="M297" i="3" s="1"/>
  <c r="F300" i="3"/>
  <c r="D300" i="3"/>
  <c r="E299" i="3" s="1"/>
  <c r="G299" i="3" s="1"/>
  <c r="X299" i="3"/>
  <c r="V299" i="3"/>
  <c r="W298" i="3" s="1"/>
  <c r="Y298" i="3" s="1"/>
  <c r="R299" i="3"/>
  <c r="P299" i="3"/>
  <c r="Q297" i="3" s="1"/>
  <c r="S297" i="3" s="1"/>
  <c r="A298" i="3"/>
  <c r="V289" i="3"/>
  <c r="W287" i="3" s="1"/>
  <c r="Y287" i="3" s="1"/>
  <c r="L290" i="3"/>
  <c r="J290" i="3"/>
  <c r="K288" i="3" s="1"/>
  <c r="M288" i="3" s="1"/>
  <c r="F290" i="3"/>
  <c r="D290" i="3"/>
  <c r="E289" i="3" s="1"/>
  <c r="G289" i="3" s="1"/>
  <c r="R289" i="3"/>
  <c r="P289" i="3"/>
  <c r="Q286" i="3" s="1"/>
  <c r="S286" i="3" s="1"/>
  <c r="X289" i="3"/>
  <c r="A288" i="3"/>
  <c r="AB4" i="12"/>
  <c r="L280" i="3"/>
  <c r="J280" i="3"/>
  <c r="K277" i="3" s="1"/>
  <c r="M277" i="3" s="1"/>
  <c r="F280" i="3"/>
  <c r="D280" i="3"/>
  <c r="E278" i="3" s="1"/>
  <c r="G278" i="3" s="1"/>
  <c r="R279" i="3"/>
  <c r="P279" i="3"/>
  <c r="Q276" i="3" s="1"/>
  <c r="S276" i="3" s="1"/>
  <c r="X278" i="3"/>
  <c r="V278" i="3"/>
  <c r="W274" i="3" s="1"/>
  <c r="A278" i="3"/>
  <c r="R269" i="3"/>
  <c r="L270" i="3"/>
  <c r="J270" i="3"/>
  <c r="K269" i="3" s="1"/>
  <c r="M269" i="3" s="1"/>
  <c r="F270" i="3"/>
  <c r="D270" i="3"/>
  <c r="E268" i="3" s="1"/>
  <c r="G268" i="3" s="1"/>
  <c r="P269" i="3"/>
  <c r="Q265" i="3" s="1"/>
  <c r="S265" i="3" s="1"/>
  <c r="X268" i="3"/>
  <c r="V268" i="3"/>
  <c r="W264" i="3" s="1"/>
  <c r="A268" i="3"/>
  <c r="AD73" i="1"/>
  <c r="AD74" i="1"/>
  <c r="AD72" i="1"/>
  <c r="AD69" i="1"/>
  <c r="AD70" i="1"/>
  <c r="AD68" i="1"/>
  <c r="AB4" i="10"/>
  <c r="AB4" i="13"/>
  <c r="Y599" i="3" l="1"/>
  <c r="E600" i="3"/>
  <c r="Y609" i="3"/>
  <c r="W599" i="3"/>
  <c r="W609" i="3"/>
  <c r="S609" i="3"/>
  <c r="G620" i="3"/>
  <c r="Y569" i="3"/>
  <c r="M594" i="3"/>
  <c r="M600" i="3" s="1"/>
  <c r="G580" i="3"/>
  <c r="S579" i="3"/>
  <c r="Y619" i="3"/>
  <c r="W619" i="3"/>
  <c r="S614" i="3"/>
  <c r="S619" i="3" s="1"/>
  <c r="Q619" i="3"/>
  <c r="Q609" i="3"/>
  <c r="E620" i="3"/>
  <c r="E610" i="3"/>
  <c r="G604" i="3"/>
  <c r="G610" i="3" s="1"/>
  <c r="K610" i="3"/>
  <c r="M604" i="3"/>
  <c r="M610" i="3" s="1"/>
  <c r="S594" i="3"/>
  <c r="S599" i="3" s="1"/>
  <c r="M614" i="3"/>
  <c r="M620" i="3" s="1"/>
  <c r="K620" i="3"/>
  <c r="Y584" i="3"/>
  <c r="Y589" i="3" s="1"/>
  <c r="W589" i="3"/>
  <c r="M584" i="3"/>
  <c r="M590" i="3" s="1"/>
  <c r="K590" i="3"/>
  <c r="G550" i="3"/>
  <c r="S529" i="3"/>
  <c r="Q529" i="3"/>
  <c r="Q589" i="3"/>
  <c r="S584" i="3"/>
  <c r="S589" i="3" s="1"/>
  <c r="E590" i="3"/>
  <c r="G584" i="3"/>
  <c r="G590" i="3" s="1"/>
  <c r="W579" i="3"/>
  <c r="W569" i="3"/>
  <c r="Q579" i="3"/>
  <c r="M580" i="3"/>
  <c r="K580" i="3"/>
  <c r="M570" i="3"/>
  <c r="K570" i="3"/>
  <c r="Y574" i="3"/>
  <c r="Y579" i="3" s="1"/>
  <c r="E580" i="3"/>
  <c r="G570" i="3"/>
  <c r="E570" i="3"/>
  <c r="E550" i="3"/>
  <c r="Q569" i="3"/>
  <c r="S564" i="3"/>
  <c r="S569" i="3" s="1"/>
  <c r="W549" i="3"/>
  <c r="Y544" i="3"/>
  <c r="Y549" i="3" s="1"/>
  <c r="M540" i="3"/>
  <c r="S544" i="3"/>
  <c r="S549" i="3" s="1"/>
  <c r="Q549" i="3"/>
  <c r="S554" i="3"/>
  <c r="S559" i="3" s="1"/>
  <c r="Q559" i="3"/>
  <c r="K550" i="3"/>
  <c r="M544" i="3"/>
  <c r="M550" i="3" s="1"/>
  <c r="G554" i="3"/>
  <c r="G560" i="3" s="1"/>
  <c r="E560" i="3"/>
  <c r="W559" i="3"/>
  <c r="Y554" i="3"/>
  <c r="Y559" i="3" s="1"/>
  <c r="G520" i="3"/>
  <c r="M554" i="3"/>
  <c r="M560" i="3" s="1"/>
  <c r="K560" i="3"/>
  <c r="Y529" i="3"/>
  <c r="W529" i="3"/>
  <c r="W539" i="3"/>
  <c r="Y534" i="3"/>
  <c r="Y539" i="3" s="1"/>
  <c r="W518" i="3"/>
  <c r="Y518" i="3"/>
  <c r="K540" i="3"/>
  <c r="M530" i="3"/>
  <c r="E540" i="3"/>
  <c r="G540" i="3"/>
  <c r="S534" i="3"/>
  <c r="S539" i="3" s="1"/>
  <c r="Q539" i="3"/>
  <c r="K530" i="3"/>
  <c r="G524" i="3"/>
  <c r="G530" i="3" s="1"/>
  <c r="E530" i="3"/>
  <c r="W508" i="3"/>
  <c r="W489" i="3"/>
  <c r="Y504" i="3"/>
  <c r="Y508" i="3" s="1"/>
  <c r="W408" i="3"/>
  <c r="M520" i="3"/>
  <c r="Y499" i="3"/>
  <c r="Q519" i="3"/>
  <c r="Q509" i="3"/>
  <c r="K520" i="3"/>
  <c r="E520" i="3"/>
  <c r="S514" i="3"/>
  <c r="S519" i="3" s="1"/>
  <c r="S504" i="3"/>
  <c r="S509" i="3" s="1"/>
  <c r="Y438" i="3"/>
  <c r="W438" i="3"/>
  <c r="M500" i="3"/>
  <c r="Q499" i="3"/>
  <c r="S459" i="3"/>
  <c r="K470" i="3"/>
  <c r="G470" i="3"/>
  <c r="Y468" i="3"/>
  <c r="K500" i="3"/>
  <c r="Y458" i="3"/>
  <c r="W458" i="3"/>
  <c r="G504" i="3"/>
  <c r="G510" i="3" s="1"/>
  <c r="E510" i="3"/>
  <c r="M504" i="3"/>
  <c r="M510" i="3" s="1"/>
  <c r="K510" i="3"/>
  <c r="W499" i="3"/>
  <c r="S494" i="3"/>
  <c r="S499" i="3" s="1"/>
  <c r="E500" i="3"/>
  <c r="G500" i="3"/>
  <c r="E490" i="3"/>
  <c r="G484" i="3"/>
  <c r="G490" i="3" s="1"/>
  <c r="S484" i="3"/>
  <c r="S489" i="3" s="1"/>
  <c r="Q489" i="3"/>
  <c r="Q419" i="3"/>
  <c r="Q459" i="3"/>
  <c r="G480" i="3"/>
  <c r="Y484" i="3"/>
  <c r="Y489" i="3" s="1"/>
  <c r="M484" i="3"/>
  <c r="M490" i="3" s="1"/>
  <c r="K490" i="3"/>
  <c r="W478" i="3"/>
  <c r="Y478" i="3"/>
  <c r="W468" i="3"/>
  <c r="S469" i="3"/>
  <c r="Q469" i="3"/>
  <c r="M470" i="3"/>
  <c r="E480" i="3"/>
  <c r="E470" i="3"/>
  <c r="S449" i="3"/>
  <c r="K480" i="3"/>
  <c r="M474" i="3"/>
  <c r="M480" i="3" s="1"/>
  <c r="E326" i="3"/>
  <c r="G326" i="3" s="1"/>
  <c r="K420" i="3"/>
  <c r="Q479" i="3"/>
  <c r="S474" i="3"/>
  <c r="S479" i="3" s="1"/>
  <c r="Y448" i="3"/>
  <c r="W448" i="3"/>
  <c r="Q449" i="3"/>
  <c r="K460" i="3"/>
  <c r="M450" i="3"/>
  <c r="M460" i="3"/>
  <c r="K450" i="3"/>
  <c r="E460" i="3"/>
  <c r="G454" i="3"/>
  <c r="G460" i="3" s="1"/>
  <c r="W307" i="3"/>
  <c r="Y307" i="3" s="1"/>
  <c r="Y405" i="3"/>
  <c r="S439" i="3"/>
  <c r="G444" i="3"/>
  <c r="G450" i="3" s="1"/>
  <c r="E450" i="3"/>
  <c r="W305" i="3"/>
  <c r="Y305" i="3" s="1"/>
  <c r="M414" i="3"/>
  <c r="M420" i="3" s="1"/>
  <c r="Q439" i="3"/>
  <c r="Q429" i="3"/>
  <c r="W428" i="3"/>
  <c r="S424" i="3"/>
  <c r="S429" i="3" s="1"/>
  <c r="K440" i="3"/>
  <c r="Y424" i="3"/>
  <c r="Y428" i="3" s="1"/>
  <c r="M434" i="3"/>
  <c r="M440" i="3" s="1"/>
  <c r="E440" i="3"/>
  <c r="G434" i="3"/>
  <c r="G440" i="3" s="1"/>
  <c r="Y418" i="3"/>
  <c r="M424" i="3"/>
  <c r="M430" i="3" s="1"/>
  <c r="K430" i="3"/>
  <c r="E400" i="3"/>
  <c r="G424" i="3"/>
  <c r="G430" i="3" s="1"/>
  <c r="E430" i="3"/>
  <c r="W304" i="3"/>
  <c r="Q399" i="3"/>
  <c r="W418" i="3"/>
  <c r="G420" i="3"/>
  <c r="E410" i="3"/>
  <c r="G404" i="3"/>
  <c r="G410" i="3" s="1"/>
  <c r="S414" i="3"/>
  <c r="S419" i="3" s="1"/>
  <c r="E420" i="3"/>
  <c r="Q409" i="3"/>
  <c r="S404" i="3"/>
  <c r="S409" i="3" s="1"/>
  <c r="M404" i="3"/>
  <c r="M410" i="3" s="1"/>
  <c r="K410" i="3"/>
  <c r="W359" i="3"/>
  <c r="K380" i="3"/>
  <c r="Y404" i="3"/>
  <c r="S379" i="3"/>
  <c r="Y399" i="3"/>
  <c r="W399" i="3"/>
  <c r="S389" i="3"/>
  <c r="Q389" i="3"/>
  <c r="M400" i="3"/>
  <c r="K400" i="3"/>
  <c r="G400" i="3"/>
  <c r="S394" i="3"/>
  <c r="S399" i="3" s="1"/>
  <c r="Y384" i="3"/>
  <c r="Y389" i="3" s="1"/>
  <c r="W389" i="3"/>
  <c r="G370" i="3"/>
  <c r="W349" i="3"/>
  <c r="E390" i="3"/>
  <c r="G384" i="3"/>
  <c r="G390" i="3" s="1"/>
  <c r="S369" i="3"/>
  <c r="M384" i="3"/>
  <c r="M390" i="3" s="1"/>
  <c r="K390" i="3"/>
  <c r="Q379" i="3"/>
  <c r="Q369" i="3"/>
  <c r="M380" i="3"/>
  <c r="G380" i="3"/>
  <c r="E370" i="3"/>
  <c r="Y374" i="3"/>
  <c r="Y379" i="3" s="1"/>
  <c r="W379" i="3"/>
  <c r="E380" i="3"/>
  <c r="M364" i="3"/>
  <c r="M370" i="3" s="1"/>
  <c r="K370" i="3"/>
  <c r="W369" i="3"/>
  <c r="Y364" i="3"/>
  <c r="Y369" i="3" s="1"/>
  <c r="K354" i="3"/>
  <c r="M354" i="3" s="1"/>
  <c r="K355" i="3"/>
  <c r="M355" i="3" s="1"/>
  <c r="K356" i="3"/>
  <c r="M356" i="3" s="1"/>
  <c r="K357" i="3"/>
  <c r="M357" i="3" s="1"/>
  <c r="Y355" i="3"/>
  <c r="Y354" i="3"/>
  <c r="Y356" i="3"/>
  <c r="Y344" i="3"/>
  <c r="Y345" i="3"/>
  <c r="Y347" i="3"/>
  <c r="Q356" i="3"/>
  <c r="S356" i="3" s="1"/>
  <c r="Q354" i="3"/>
  <c r="Q357" i="3"/>
  <c r="S357" i="3" s="1"/>
  <c r="Q355" i="3"/>
  <c r="S355" i="3" s="1"/>
  <c r="K359" i="3"/>
  <c r="M359" i="3" s="1"/>
  <c r="E348" i="3"/>
  <c r="G348" i="3" s="1"/>
  <c r="E349" i="3"/>
  <c r="G349" i="3" s="1"/>
  <c r="E346" i="3"/>
  <c r="G346" i="3" s="1"/>
  <c r="E347" i="3"/>
  <c r="G347" i="3" s="1"/>
  <c r="E344" i="3"/>
  <c r="W314" i="3"/>
  <c r="Y314" i="3" s="1"/>
  <c r="Q338" i="3"/>
  <c r="S338" i="3" s="1"/>
  <c r="K344" i="3"/>
  <c r="K345" i="3"/>
  <c r="M345" i="3" s="1"/>
  <c r="K346" i="3"/>
  <c r="M346" i="3" s="1"/>
  <c r="K347" i="3"/>
  <c r="M347" i="3" s="1"/>
  <c r="K348" i="3"/>
  <c r="M348" i="3" s="1"/>
  <c r="E354" i="3"/>
  <c r="E355" i="3"/>
  <c r="G355" i="3" s="1"/>
  <c r="E356" i="3"/>
  <c r="G356" i="3" s="1"/>
  <c r="E357" i="3"/>
  <c r="G357" i="3" s="1"/>
  <c r="E359" i="3"/>
  <c r="G359" i="3" s="1"/>
  <c r="K318" i="3"/>
  <c r="M318" i="3" s="1"/>
  <c r="W315" i="3"/>
  <c r="Y315" i="3" s="1"/>
  <c r="W316" i="3"/>
  <c r="Y316" i="3" s="1"/>
  <c r="Q344" i="3"/>
  <c r="Q345" i="3"/>
  <c r="S345" i="3" s="1"/>
  <c r="Q346" i="3"/>
  <c r="S346" i="3" s="1"/>
  <c r="Q347" i="3"/>
  <c r="S347" i="3" s="1"/>
  <c r="K298" i="3"/>
  <c r="M298" i="3" s="1"/>
  <c r="W337" i="3"/>
  <c r="Y337" i="3" s="1"/>
  <c r="W334" i="3"/>
  <c r="Y334" i="3" s="1"/>
  <c r="Q334" i="3"/>
  <c r="S334" i="3" s="1"/>
  <c r="Q337" i="3"/>
  <c r="S337" i="3" s="1"/>
  <c r="Q336" i="3"/>
  <c r="S336" i="3" s="1"/>
  <c r="W335" i="3"/>
  <c r="Y335" i="3" s="1"/>
  <c r="Q324" i="3"/>
  <c r="S324" i="3" s="1"/>
  <c r="K337" i="3"/>
  <c r="M337" i="3" s="1"/>
  <c r="K339" i="3"/>
  <c r="M339" i="3" s="1"/>
  <c r="K334" i="3"/>
  <c r="K338" i="3"/>
  <c r="M338" i="3" s="1"/>
  <c r="K335" i="3"/>
  <c r="M335" i="3" s="1"/>
  <c r="K328" i="3"/>
  <c r="M328" i="3" s="1"/>
  <c r="K324" i="3"/>
  <c r="M324" i="3" s="1"/>
  <c r="K325" i="3"/>
  <c r="M325" i="3" s="1"/>
  <c r="K327" i="3"/>
  <c r="M327" i="3" s="1"/>
  <c r="K326" i="3"/>
  <c r="M326" i="3" s="1"/>
  <c r="E335" i="3"/>
  <c r="G335" i="3" s="1"/>
  <c r="E328" i="3"/>
  <c r="G328" i="3" s="1"/>
  <c r="E329" i="3"/>
  <c r="G329" i="3" s="1"/>
  <c r="E325" i="3"/>
  <c r="G325" i="3" s="1"/>
  <c r="E327" i="3"/>
  <c r="G327" i="3" s="1"/>
  <c r="E337" i="3"/>
  <c r="G337" i="3" s="1"/>
  <c r="E338" i="3"/>
  <c r="G338" i="3" s="1"/>
  <c r="E336" i="3"/>
  <c r="G336" i="3" s="1"/>
  <c r="E334" i="3"/>
  <c r="G334" i="3" s="1"/>
  <c r="M329" i="3"/>
  <c r="G324" i="3"/>
  <c r="K294" i="3"/>
  <c r="M294" i="3" s="1"/>
  <c r="W324" i="3"/>
  <c r="W325" i="3"/>
  <c r="Y325" i="3" s="1"/>
  <c r="W326" i="3"/>
  <c r="Y326" i="3" s="1"/>
  <c r="Q325" i="3"/>
  <c r="Q326" i="3"/>
  <c r="S326" i="3" s="1"/>
  <c r="Q327" i="3"/>
  <c r="S327" i="3" s="1"/>
  <c r="K316" i="3"/>
  <c r="M316" i="3" s="1"/>
  <c r="W294" i="3"/>
  <c r="Y294" i="3" s="1"/>
  <c r="K299" i="3"/>
  <c r="M299" i="3" s="1"/>
  <c r="K295" i="3"/>
  <c r="M295" i="3" s="1"/>
  <c r="K296" i="3"/>
  <c r="M296" i="3" s="1"/>
  <c r="W296" i="3"/>
  <c r="Y296" i="3" s="1"/>
  <c r="Q315" i="3"/>
  <c r="S315" i="3" s="1"/>
  <c r="Q317" i="3"/>
  <c r="S317" i="3" s="1"/>
  <c r="Q314" i="3"/>
  <c r="Q318" i="3"/>
  <c r="S318" i="3" s="1"/>
  <c r="Q304" i="3"/>
  <c r="S304" i="3" s="1"/>
  <c r="Q305" i="3"/>
  <c r="S305" i="3" s="1"/>
  <c r="Q306" i="3"/>
  <c r="S306" i="3" s="1"/>
  <c r="Q308" i="3"/>
  <c r="S308" i="3" s="1"/>
  <c r="K314" i="3"/>
  <c r="M314" i="3" s="1"/>
  <c r="K317" i="3"/>
  <c r="M317" i="3" s="1"/>
  <c r="K315" i="3"/>
  <c r="M315" i="3" s="1"/>
  <c r="E318" i="3"/>
  <c r="G318" i="3" s="1"/>
  <c r="E319" i="3"/>
  <c r="G319" i="3" s="1"/>
  <c r="E314" i="3"/>
  <c r="G314" i="3" s="1"/>
  <c r="E316" i="3"/>
  <c r="G316" i="3" s="1"/>
  <c r="E315" i="3"/>
  <c r="G315" i="3" s="1"/>
  <c r="E308" i="3"/>
  <c r="G308" i="3" s="1"/>
  <c r="E309" i="3"/>
  <c r="G309" i="3" s="1"/>
  <c r="K304" i="3"/>
  <c r="K305" i="3"/>
  <c r="M305" i="3" s="1"/>
  <c r="K306" i="3"/>
  <c r="M306" i="3" s="1"/>
  <c r="K307" i="3"/>
  <c r="M307" i="3" s="1"/>
  <c r="K308" i="3"/>
  <c r="M308" i="3" s="1"/>
  <c r="E276" i="3"/>
  <c r="G276" i="3" s="1"/>
  <c r="W297" i="3"/>
  <c r="Y297" i="3" s="1"/>
  <c r="Y306" i="3"/>
  <c r="W295" i="3"/>
  <c r="Y295" i="3" s="1"/>
  <c r="E304" i="3"/>
  <c r="E305" i="3"/>
  <c r="G305" i="3" s="1"/>
  <c r="E306" i="3"/>
  <c r="G306" i="3" s="1"/>
  <c r="E294" i="3"/>
  <c r="E295" i="3"/>
  <c r="G295" i="3" s="1"/>
  <c r="E296" i="3"/>
  <c r="G296" i="3" s="1"/>
  <c r="E297" i="3"/>
  <c r="G297" i="3" s="1"/>
  <c r="E298" i="3"/>
  <c r="G298" i="3" s="1"/>
  <c r="Q298" i="3"/>
  <c r="S298" i="3" s="1"/>
  <c r="Q294" i="3"/>
  <c r="Q295" i="3"/>
  <c r="S295" i="3" s="1"/>
  <c r="Q296" i="3"/>
  <c r="S296" i="3" s="1"/>
  <c r="W286" i="3"/>
  <c r="Y286" i="3" s="1"/>
  <c r="Q288" i="3"/>
  <c r="S288" i="3" s="1"/>
  <c r="W288" i="3"/>
  <c r="Y288" i="3" s="1"/>
  <c r="E264" i="3"/>
  <c r="G264" i="3" s="1"/>
  <c r="K287" i="3"/>
  <c r="M287" i="3" s="1"/>
  <c r="E266" i="3"/>
  <c r="G266" i="3" s="1"/>
  <c r="E267" i="3"/>
  <c r="G267" i="3" s="1"/>
  <c r="E265" i="3"/>
  <c r="G265" i="3" s="1"/>
  <c r="K278" i="3"/>
  <c r="M278" i="3" s="1"/>
  <c r="E274" i="3"/>
  <c r="G274" i="3" s="1"/>
  <c r="K285" i="3"/>
  <c r="M285" i="3" s="1"/>
  <c r="E277" i="3"/>
  <c r="G277" i="3" s="1"/>
  <c r="K286" i="3"/>
  <c r="M286" i="3" s="1"/>
  <c r="E269" i="3"/>
  <c r="G269" i="3" s="1"/>
  <c r="W284" i="3"/>
  <c r="K289" i="3"/>
  <c r="M289" i="3" s="1"/>
  <c r="E286" i="3"/>
  <c r="G286" i="3" s="1"/>
  <c r="E287" i="3"/>
  <c r="G287" i="3" s="1"/>
  <c r="E288" i="3"/>
  <c r="G288" i="3" s="1"/>
  <c r="E284" i="3"/>
  <c r="G284" i="3" s="1"/>
  <c r="W285" i="3"/>
  <c r="Y285" i="3" s="1"/>
  <c r="Q285" i="3"/>
  <c r="S285" i="3" s="1"/>
  <c r="Q287" i="3"/>
  <c r="S287" i="3" s="1"/>
  <c r="Q284" i="3"/>
  <c r="S284" i="3" s="1"/>
  <c r="K284" i="3"/>
  <c r="E285" i="3"/>
  <c r="G285" i="3" s="1"/>
  <c r="K279" i="3"/>
  <c r="M279" i="3" s="1"/>
  <c r="K274" i="3"/>
  <c r="M274" i="3" s="1"/>
  <c r="K276" i="3"/>
  <c r="M276" i="3" s="1"/>
  <c r="K275" i="3"/>
  <c r="M275" i="3" s="1"/>
  <c r="W276" i="3"/>
  <c r="Y276" i="3" s="1"/>
  <c r="W275" i="3"/>
  <c r="Y275" i="3" s="1"/>
  <c r="Q278" i="3"/>
  <c r="S278" i="3" s="1"/>
  <c r="Q275" i="3"/>
  <c r="S275" i="3" s="1"/>
  <c r="Q274" i="3"/>
  <c r="S274" i="3" s="1"/>
  <c r="W277" i="3"/>
  <c r="Y277" i="3" s="1"/>
  <c r="Q277" i="3"/>
  <c r="S277" i="3" s="1"/>
  <c r="E279" i="3"/>
  <c r="G279" i="3" s="1"/>
  <c r="W266" i="3"/>
  <c r="Y266" i="3" s="1"/>
  <c r="E275" i="3"/>
  <c r="G275" i="3" s="1"/>
  <c r="Y274" i="3"/>
  <c r="W267" i="3"/>
  <c r="Y267" i="3" s="1"/>
  <c r="K264" i="3"/>
  <c r="M264" i="3" s="1"/>
  <c r="K267" i="3"/>
  <c r="M267" i="3" s="1"/>
  <c r="K268" i="3"/>
  <c r="M268" i="3" s="1"/>
  <c r="K265" i="3"/>
  <c r="M265" i="3" s="1"/>
  <c r="W265" i="3"/>
  <c r="Y265" i="3" s="1"/>
  <c r="Q264" i="3"/>
  <c r="Q266" i="3"/>
  <c r="S266" i="3" s="1"/>
  <c r="Q267" i="3"/>
  <c r="S267" i="3" s="1"/>
  <c r="Q268" i="3"/>
  <c r="S268" i="3" s="1"/>
  <c r="K266" i="3"/>
  <c r="M266" i="3" s="1"/>
  <c r="Y264" i="3"/>
  <c r="W308" i="3" l="1"/>
  <c r="Y408" i="3"/>
  <c r="M320" i="3"/>
  <c r="Y338" i="3"/>
  <c r="M360" i="3"/>
  <c r="Y349" i="3"/>
  <c r="S339" i="3"/>
  <c r="Y359" i="3"/>
  <c r="Q359" i="3"/>
  <c r="K360" i="3"/>
  <c r="S354" i="3"/>
  <c r="S359" i="3" s="1"/>
  <c r="E350" i="3"/>
  <c r="G344" i="3"/>
  <c r="G350" i="3" s="1"/>
  <c r="M344" i="3"/>
  <c r="M350" i="3" s="1"/>
  <c r="K350" i="3"/>
  <c r="G354" i="3"/>
  <c r="G360" i="3" s="1"/>
  <c r="E360" i="3"/>
  <c r="W318" i="3"/>
  <c r="S344" i="3"/>
  <c r="S349" i="3" s="1"/>
  <c r="Q349" i="3"/>
  <c r="W338" i="3"/>
  <c r="Q339" i="3"/>
  <c r="K330" i="3"/>
  <c r="M330" i="3"/>
  <c r="K340" i="3"/>
  <c r="M334" i="3"/>
  <c r="M340" i="3" s="1"/>
  <c r="E340" i="3"/>
  <c r="G340" i="3"/>
  <c r="G330" i="3"/>
  <c r="E330" i="3"/>
  <c r="Y318" i="3"/>
  <c r="M300" i="3"/>
  <c r="Y324" i="3"/>
  <c r="Y328" i="3" s="1"/>
  <c r="W328" i="3"/>
  <c r="S325" i="3"/>
  <c r="S329" i="3" s="1"/>
  <c r="Q329" i="3"/>
  <c r="G320" i="3"/>
  <c r="K320" i="3"/>
  <c r="K300" i="3"/>
  <c r="Q319" i="3"/>
  <c r="S309" i="3"/>
  <c r="Q309" i="3"/>
  <c r="S314" i="3"/>
  <c r="S319" i="3" s="1"/>
  <c r="E320" i="3"/>
  <c r="E310" i="3"/>
  <c r="G304" i="3"/>
  <c r="G310" i="3" s="1"/>
  <c r="W299" i="3"/>
  <c r="M304" i="3"/>
  <c r="M310" i="3" s="1"/>
  <c r="K310" i="3"/>
  <c r="Y299" i="3"/>
  <c r="Y304" i="3"/>
  <c r="Y308" i="3" s="1"/>
  <c r="Q299" i="3"/>
  <c r="S294" i="3"/>
  <c r="S299" i="3" s="1"/>
  <c r="G294" i="3"/>
  <c r="G300" i="3" s="1"/>
  <c r="E300" i="3"/>
  <c r="K290" i="3"/>
  <c r="W289" i="3"/>
  <c r="G270" i="3"/>
  <c r="E270" i="3"/>
  <c r="Y284" i="3"/>
  <c r="Y289" i="3" s="1"/>
  <c r="K280" i="3"/>
  <c r="S289" i="3"/>
  <c r="E290" i="3"/>
  <c r="G290" i="3"/>
  <c r="Q289" i="3"/>
  <c r="M284" i="3"/>
  <c r="M290" i="3" s="1"/>
  <c r="M280" i="3"/>
  <c r="E280" i="3"/>
  <c r="G280" i="3"/>
  <c r="S279" i="3"/>
  <c r="Q279" i="3"/>
  <c r="Y278" i="3"/>
  <c r="W278" i="3"/>
  <c r="Y268" i="3"/>
  <c r="W268" i="3"/>
  <c r="Q269" i="3"/>
  <c r="M270" i="3"/>
  <c r="K270" i="3"/>
  <c r="S264" i="3"/>
  <c r="S269" i="3" s="1"/>
  <c r="W34" i="14" l="1"/>
  <c r="AA53" i="4"/>
  <c r="AA54" i="4"/>
  <c r="AA55" i="4"/>
  <c r="V47" i="4"/>
  <c r="W35" i="14"/>
  <c r="W36" i="14"/>
  <c r="AB42" i="14"/>
  <c r="L260" i="3"/>
  <c r="J260" i="3"/>
  <c r="K257" i="3" s="1"/>
  <c r="M257" i="3" s="1"/>
  <c r="F260" i="3"/>
  <c r="D260" i="3"/>
  <c r="E258" i="3" s="1"/>
  <c r="G258" i="3" s="1"/>
  <c r="R259" i="3"/>
  <c r="P259" i="3"/>
  <c r="Q256" i="3" s="1"/>
  <c r="S256" i="3" s="1"/>
  <c r="X258" i="3"/>
  <c r="V258" i="3"/>
  <c r="W257" i="3" s="1"/>
  <c r="Y257" i="3" s="1"/>
  <c r="A258" i="3"/>
  <c r="AA4" i="10"/>
  <c r="AA24" i="10" s="1"/>
  <c r="AA4" i="13"/>
  <c r="AA4" i="12"/>
  <c r="Z4" i="10"/>
  <c r="Z4" i="12"/>
  <c r="Z4" i="13"/>
  <c r="L250" i="3"/>
  <c r="J250" i="3"/>
  <c r="K248" i="3" s="1"/>
  <c r="M248" i="3" s="1"/>
  <c r="F250" i="3"/>
  <c r="D250" i="3"/>
  <c r="E249" i="3" s="1"/>
  <c r="G249" i="3" s="1"/>
  <c r="R249" i="3"/>
  <c r="P249" i="3"/>
  <c r="Q246" i="3" s="1"/>
  <c r="S246" i="3" s="1"/>
  <c r="X248" i="3"/>
  <c r="V248" i="3"/>
  <c r="W245" i="3" s="1"/>
  <c r="Y245" i="3" s="1"/>
  <c r="A248" i="3"/>
  <c r="L240" i="3"/>
  <c r="J240" i="3"/>
  <c r="K237" i="3" s="1"/>
  <c r="M237" i="3" s="1"/>
  <c r="F240" i="3"/>
  <c r="D240" i="3"/>
  <c r="E238" i="3" s="1"/>
  <c r="G238" i="3" s="1"/>
  <c r="R239" i="3"/>
  <c r="P239" i="3"/>
  <c r="Q236" i="3" s="1"/>
  <c r="S236" i="3" s="1"/>
  <c r="X238" i="3"/>
  <c r="V238" i="3"/>
  <c r="W235" i="3" s="1"/>
  <c r="Y235" i="3" s="1"/>
  <c r="A238" i="3"/>
  <c r="Y4" i="10"/>
  <c r="Y4" i="13"/>
  <c r="Y4" i="12"/>
  <c r="X4" i="10"/>
  <c r="W4" i="10"/>
  <c r="W24" i="10" s="1"/>
  <c r="X4" i="13"/>
  <c r="X4" i="12"/>
  <c r="L230" i="3"/>
  <c r="J230" i="3"/>
  <c r="K226" i="3" s="1"/>
  <c r="M226" i="3" s="1"/>
  <c r="F230" i="3"/>
  <c r="D230" i="3"/>
  <c r="E228" i="3" s="1"/>
  <c r="G228" i="3" s="1"/>
  <c r="R229" i="3"/>
  <c r="P229" i="3"/>
  <c r="Q227" i="3" s="1"/>
  <c r="S227" i="3" s="1"/>
  <c r="X228" i="3"/>
  <c r="V228" i="3"/>
  <c r="W227" i="3" s="1"/>
  <c r="Y227" i="3" s="1"/>
  <c r="A228" i="3"/>
  <c r="L220" i="3"/>
  <c r="J220" i="3"/>
  <c r="K219" i="3" s="1"/>
  <c r="M219" i="3" s="1"/>
  <c r="F220" i="3"/>
  <c r="D220" i="3"/>
  <c r="E218" i="3" s="1"/>
  <c r="G218" i="3" s="1"/>
  <c r="R219" i="3"/>
  <c r="P219" i="3"/>
  <c r="Q215" i="3" s="1"/>
  <c r="S215" i="3" s="1"/>
  <c r="X218" i="3"/>
  <c r="V218" i="3"/>
  <c r="W217" i="3" s="1"/>
  <c r="Y217" i="3" s="1"/>
  <c r="A218" i="3"/>
  <c r="L210" i="3"/>
  <c r="J210" i="3"/>
  <c r="K209" i="3" s="1"/>
  <c r="M209" i="3" s="1"/>
  <c r="F210" i="3"/>
  <c r="D210" i="3"/>
  <c r="E208" i="3" s="1"/>
  <c r="G208" i="3" s="1"/>
  <c r="R209" i="3"/>
  <c r="P209" i="3"/>
  <c r="Q204" i="3" s="1"/>
  <c r="X208" i="3"/>
  <c r="V208" i="3"/>
  <c r="W205" i="3" s="1"/>
  <c r="Y205" i="3" s="1"/>
  <c r="A208" i="3"/>
  <c r="A198" i="3"/>
  <c r="V198" i="3"/>
  <c r="W194" i="3" s="1"/>
  <c r="X198" i="3"/>
  <c r="P199" i="3"/>
  <c r="Q196" i="3" s="1"/>
  <c r="S196" i="3" s="1"/>
  <c r="R199" i="3"/>
  <c r="D200" i="3"/>
  <c r="E194" i="3" s="1"/>
  <c r="F200" i="3"/>
  <c r="J200" i="3"/>
  <c r="K197" i="3" s="1"/>
  <c r="M197" i="3" s="1"/>
  <c r="L200" i="3"/>
  <c r="V4" i="10"/>
  <c r="V24" i="10" s="1"/>
  <c r="W4" i="13"/>
  <c r="W4" i="12"/>
  <c r="V4" i="13"/>
  <c r="V4" i="12"/>
  <c r="U4" i="10"/>
  <c r="U24" i="10" s="1"/>
  <c r="U4" i="13"/>
  <c r="U4" i="12"/>
  <c r="T4" i="10"/>
  <c r="T4" i="13"/>
  <c r="T4" i="12"/>
  <c r="L190" i="3"/>
  <c r="J190" i="3"/>
  <c r="K188" i="3" s="1"/>
  <c r="M188" i="3" s="1"/>
  <c r="F190" i="3"/>
  <c r="D190" i="3"/>
  <c r="E189" i="3" s="1"/>
  <c r="G189" i="3" s="1"/>
  <c r="R189" i="3"/>
  <c r="P189" i="3"/>
  <c r="Q187" i="3" s="1"/>
  <c r="S187" i="3" s="1"/>
  <c r="X188" i="3"/>
  <c r="V188" i="3"/>
  <c r="W187" i="3" s="1"/>
  <c r="Y187" i="3" s="1"/>
  <c r="A188" i="3"/>
  <c r="L180" i="3"/>
  <c r="J180" i="3"/>
  <c r="K179" i="3" s="1"/>
  <c r="M179" i="3" s="1"/>
  <c r="F180" i="3"/>
  <c r="D180" i="3"/>
  <c r="E177" i="3" s="1"/>
  <c r="G177" i="3" s="1"/>
  <c r="R179" i="3"/>
  <c r="P179" i="3"/>
  <c r="Q177" i="3" s="1"/>
  <c r="S177" i="3" s="1"/>
  <c r="X178" i="3"/>
  <c r="V178" i="3"/>
  <c r="W177" i="3" s="1"/>
  <c r="Y177" i="3" s="1"/>
  <c r="A178" i="3"/>
  <c r="S4" i="10"/>
  <c r="S4" i="13"/>
  <c r="S4" i="12"/>
  <c r="S32" i="12" s="1"/>
  <c r="R4" i="12"/>
  <c r="L170" i="3"/>
  <c r="J170" i="3"/>
  <c r="K165" i="3" s="1"/>
  <c r="M165" i="3" s="1"/>
  <c r="F170" i="3"/>
  <c r="D170" i="3"/>
  <c r="E168" i="3" s="1"/>
  <c r="G168" i="3" s="1"/>
  <c r="R169" i="3"/>
  <c r="P169" i="3"/>
  <c r="Q167" i="3" s="1"/>
  <c r="S167" i="3" s="1"/>
  <c r="X168" i="3"/>
  <c r="V168" i="3"/>
  <c r="W167" i="3" s="1"/>
  <c r="Y167" i="3" s="1"/>
  <c r="A168" i="3"/>
  <c r="R4" i="10"/>
  <c r="R24" i="10" s="1"/>
  <c r="R4" i="13"/>
  <c r="L160" i="3"/>
  <c r="J160" i="3"/>
  <c r="K158" i="3" s="1"/>
  <c r="M158" i="3" s="1"/>
  <c r="F160" i="3"/>
  <c r="D160" i="3"/>
  <c r="E154" i="3" s="1"/>
  <c r="R159" i="3"/>
  <c r="P159" i="3"/>
  <c r="Q158" i="3" s="1"/>
  <c r="S158" i="3" s="1"/>
  <c r="X158" i="3"/>
  <c r="V158" i="3"/>
  <c r="W156" i="3" s="1"/>
  <c r="Y156" i="3" s="1"/>
  <c r="A158" i="3"/>
  <c r="L150" i="3"/>
  <c r="J150" i="3"/>
  <c r="K148" i="3" s="1"/>
  <c r="M148" i="3" s="1"/>
  <c r="F150" i="3"/>
  <c r="D150" i="3"/>
  <c r="E148" i="3" s="1"/>
  <c r="G148" i="3" s="1"/>
  <c r="R149" i="3"/>
  <c r="P149" i="3"/>
  <c r="Q144" i="3" s="1"/>
  <c r="X148" i="3"/>
  <c r="V148" i="3"/>
  <c r="W147" i="3" s="1"/>
  <c r="Y147" i="3" s="1"/>
  <c r="A148" i="3"/>
  <c r="Q4" i="10"/>
  <c r="Q24" i="10" s="1"/>
  <c r="Q4" i="13"/>
  <c r="Q4" i="12"/>
  <c r="P4" i="10"/>
  <c r="P24" i="10" s="1"/>
  <c r="P4" i="13"/>
  <c r="P4" i="12"/>
  <c r="L140" i="3"/>
  <c r="J140" i="3"/>
  <c r="K138" i="3" s="1"/>
  <c r="M138" i="3" s="1"/>
  <c r="F140" i="3"/>
  <c r="D140" i="3"/>
  <c r="E135" i="3" s="1"/>
  <c r="G135" i="3" s="1"/>
  <c r="R139" i="3"/>
  <c r="P139" i="3"/>
  <c r="Q138" i="3" s="1"/>
  <c r="S138" i="3" s="1"/>
  <c r="X138" i="3"/>
  <c r="V138" i="3"/>
  <c r="W137" i="3" s="1"/>
  <c r="Y137" i="3" s="1"/>
  <c r="A138" i="3"/>
  <c r="O4" i="10"/>
  <c r="O24" i="10" s="1"/>
  <c r="O4" i="13"/>
  <c r="O4" i="12"/>
  <c r="O32" i="12" s="1"/>
  <c r="L130" i="3"/>
  <c r="J130" i="3"/>
  <c r="K127" i="3" s="1"/>
  <c r="M127" i="3" s="1"/>
  <c r="F130" i="3"/>
  <c r="D130" i="3"/>
  <c r="E128" i="3" s="1"/>
  <c r="G128" i="3" s="1"/>
  <c r="R129" i="3"/>
  <c r="P129" i="3"/>
  <c r="Q127" i="3" s="1"/>
  <c r="S127" i="3" s="1"/>
  <c r="X128" i="3"/>
  <c r="V128" i="3"/>
  <c r="W124" i="3" s="1"/>
  <c r="W128" i="3" s="1"/>
  <c r="A128" i="3"/>
  <c r="N4" i="10"/>
  <c r="N24" i="10" s="1"/>
  <c r="N4" i="13"/>
  <c r="N4" i="12"/>
  <c r="M4" i="10"/>
  <c r="M24" i="10" s="1"/>
  <c r="AN24" i="10"/>
  <c r="C4" i="13"/>
  <c r="D4" i="13"/>
  <c r="E4" i="13"/>
  <c r="F4" i="13"/>
  <c r="G4" i="13"/>
  <c r="H4" i="13"/>
  <c r="I4" i="13"/>
  <c r="J4" i="13"/>
  <c r="K4" i="13"/>
  <c r="L4" i="13"/>
  <c r="M4" i="13"/>
  <c r="B4" i="13"/>
  <c r="B32" i="13" s="1"/>
  <c r="C4" i="12"/>
  <c r="D4" i="12"/>
  <c r="E4" i="12"/>
  <c r="F4" i="12"/>
  <c r="G4" i="12"/>
  <c r="G32" i="12" s="1"/>
  <c r="H4" i="12"/>
  <c r="I4" i="12"/>
  <c r="J4" i="12"/>
  <c r="K4" i="12"/>
  <c r="K32" i="12" s="1"/>
  <c r="L4" i="12"/>
  <c r="M4" i="12"/>
  <c r="X32" i="12"/>
  <c r="AB32" i="12"/>
  <c r="AF32" i="12"/>
  <c r="AK32" i="12"/>
  <c r="AO32" i="12"/>
  <c r="AT32" i="12"/>
  <c r="AX32" i="12"/>
  <c r="B4" i="12"/>
  <c r="B32" i="12" s="1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C32" i="14"/>
  <c r="D32" i="14"/>
  <c r="B32" i="14"/>
  <c r="B4" i="14"/>
  <c r="L120" i="3"/>
  <c r="J120" i="3"/>
  <c r="K118" i="3" s="1"/>
  <c r="M118" i="3" s="1"/>
  <c r="F120" i="3"/>
  <c r="D120" i="3"/>
  <c r="E118" i="3" s="1"/>
  <c r="G118" i="3" s="1"/>
  <c r="R119" i="3"/>
  <c r="P119" i="3"/>
  <c r="Q118" i="3" s="1"/>
  <c r="S118" i="3" s="1"/>
  <c r="X118" i="3"/>
  <c r="V118" i="3"/>
  <c r="W117" i="3" s="1"/>
  <c r="Y117" i="3" s="1"/>
  <c r="A118" i="3"/>
  <c r="L110" i="3"/>
  <c r="J110" i="3"/>
  <c r="K108" i="3" s="1"/>
  <c r="M108" i="3" s="1"/>
  <c r="F110" i="3"/>
  <c r="D110" i="3"/>
  <c r="E108" i="3" s="1"/>
  <c r="G108" i="3" s="1"/>
  <c r="R109" i="3"/>
  <c r="P109" i="3"/>
  <c r="Q108" i="3" s="1"/>
  <c r="S108" i="3" s="1"/>
  <c r="X108" i="3"/>
  <c r="V108" i="3"/>
  <c r="W107" i="3" s="1"/>
  <c r="Y107" i="3" s="1"/>
  <c r="A108" i="3"/>
  <c r="C24" i="10"/>
  <c r="D24" i="10"/>
  <c r="E24" i="10"/>
  <c r="F24" i="10"/>
  <c r="K24" i="10"/>
  <c r="L24" i="10"/>
  <c r="S24" i="10"/>
  <c r="T24" i="10"/>
  <c r="X24" i="10"/>
  <c r="Y24" i="10"/>
  <c r="Z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24" i="10"/>
  <c r="C4" i="10"/>
  <c r="D4" i="10"/>
  <c r="E4" i="10"/>
  <c r="F4" i="10"/>
  <c r="G4" i="10"/>
  <c r="G24" i="10" s="1"/>
  <c r="H4" i="10"/>
  <c r="H24" i="10" s="1"/>
  <c r="I4" i="10"/>
  <c r="I24" i="10" s="1"/>
  <c r="J4" i="10"/>
  <c r="J24" i="10" s="1"/>
  <c r="K4" i="10"/>
  <c r="L4" i="10"/>
  <c r="B4" i="10"/>
  <c r="L100" i="3"/>
  <c r="J100" i="3"/>
  <c r="K99" i="3" s="1"/>
  <c r="M99" i="3" s="1"/>
  <c r="F100" i="3"/>
  <c r="D100" i="3"/>
  <c r="E97" i="3" s="1"/>
  <c r="G97" i="3" s="1"/>
  <c r="R99" i="3"/>
  <c r="P99" i="3"/>
  <c r="Q96" i="3" s="1"/>
  <c r="S96" i="3" s="1"/>
  <c r="X98" i="3"/>
  <c r="V98" i="3"/>
  <c r="W96" i="3" s="1"/>
  <c r="Y96" i="3" s="1"/>
  <c r="A98" i="3"/>
  <c r="L90" i="3"/>
  <c r="J90" i="3"/>
  <c r="K88" i="3" s="1"/>
  <c r="M88" i="3" s="1"/>
  <c r="F90" i="3"/>
  <c r="D90" i="3"/>
  <c r="E87" i="3" s="1"/>
  <c r="G87" i="3" s="1"/>
  <c r="R89" i="3"/>
  <c r="P89" i="3"/>
  <c r="Q85" i="3" s="1"/>
  <c r="S85" i="3" s="1"/>
  <c r="X88" i="3"/>
  <c r="V88" i="3"/>
  <c r="W85" i="3" s="1"/>
  <c r="Y85" i="3" s="1"/>
  <c r="A88" i="3"/>
  <c r="L80" i="3"/>
  <c r="J80" i="3"/>
  <c r="K74" i="3" s="1"/>
  <c r="K80" i="3" s="1"/>
  <c r="F80" i="3"/>
  <c r="D80" i="3"/>
  <c r="E78" i="3" s="1"/>
  <c r="G78" i="3" s="1"/>
  <c r="R79" i="3"/>
  <c r="P79" i="3"/>
  <c r="Q76" i="3" s="1"/>
  <c r="S76" i="3" s="1"/>
  <c r="X78" i="3"/>
  <c r="V78" i="3"/>
  <c r="W75" i="3" s="1"/>
  <c r="Y75" i="3" s="1"/>
  <c r="A78" i="3"/>
  <c r="G7" i="2"/>
  <c r="V68" i="3"/>
  <c r="W67" i="3" s="1"/>
  <c r="Y67" i="3" s="1"/>
  <c r="J70" i="3"/>
  <c r="K68" i="3" s="1"/>
  <c r="M68" i="3" s="1"/>
  <c r="L70" i="3"/>
  <c r="F70" i="3"/>
  <c r="D70" i="3"/>
  <c r="E68" i="3" s="1"/>
  <c r="G68" i="3" s="1"/>
  <c r="R69" i="3"/>
  <c r="P69" i="3"/>
  <c r="Q67" i="3" s="1"/>
  <c r="S67" i="3" s="1"/>
  <c r="X68" i="3"/>
  <c r="A68" i="3"/>
  <c r="K166" i="3" l="1"/>
  <c r="M166" i="3" s="1"/>
  <c r="K236" i="3"/>
  <c r="M236" i="3" s="1"/>
  <c r="K107" i="3"/>
  <c r="M107" i="3" s="1"/>
  <c r="Q247" i="3"/>
  <c r="S247" i="3" s="1"/>
  <c r="K175" i="3"/>
  <c r="M175" i="3" s="1"/>
  <c r="K234" i="3"/>
  <c r="Q214" i="3"/>
  <c r="S214" i="3" s="1"/>
  <c r="S219" i="3" s="1"/>
  <c r="K97" i="3"/>
  <c r="M97" i="3" s="1"/>
  <c r="Q248" i="3"/>
  <c r="S248" i="3" s="1"/>
  <c r="Q218" i="3"/>
  <c r="S218" i="3" s="1"/>
  <c r="Q224" i="3"/>
  <c r="Q229" i="3" s="1"/>
  <c r="Q228" i="3"/>
  <c r="S228" i="3" s="1"/>
  <c r="K259" i="3"/>
  <c r="M259" i="3" s="1"/>
  <c r="W247" i="3"/>
  <c r="Y247" i="3" s="1"/>
  <c r="W254" i="3"/>
  <c r="W255" i="3"/>
  <c r="Y255" i="3" s="1"/>
  <c r="W256" i="3"/>
  <c r="Y256" i="3" s="1"/>
  <c r="Q257" i="3"/>
  <c r="S257" i="3" s="1"/>
  <c r="Q258" i="3"/>
  <c r="S258" i="3" s="1"/>
  <c r="Q254" i="3"/>
  <c r="S254" i="3" s="1"/>
  <c r="Q255" i="3"/>
  <c r="S255" i="3" s="1"/>
  <c r="K258" i="3"/>
  <c r="M258" i="3" s="1"/>
  <c r="E259" i="3"/>
  <c r="G259" i="3" s="1"/>
  <c r="E254" i="3"/>
  <c r="E255" i="3"/>
  <c r="G255" i="3" s="1"/>
  <c r="E256" i="3"/>
  <c r="G256" i="3" s="1"/>
  <c r="E257" i="3"/>
  <c r="G257" i="3" s="1"/>
  <c r="K254" i="3"/>
  <c r="K255" i="3"/>
  <c r="M255" i="3" s="1"/>
  <c r="K256" i="3"/>
  <c r="M256" i="3" s="1"/>
  <c r="W246" i="3"/>
  <c r="Y246" i="3" s="1"/>
  <c r="Q244" i="3"/>
  <c r="W244" i="3"/>
  <c r="Q245" i="3"/>
  <c r="S245" i="3" s="1"/>
  <c r="K249" i="3"/>
  <c r="M249" i="3" s="1"/>
  <c r="K245" i="3"/>
  <c r="M245" i="3" s="1"/>
  <c r="K247" i="3"/>
  <c r="M247" i="3" s="1"/>
  <c r="K244" i="3"/>
  <c r="K246" i="3"/>
  <c r="M246" i="3" s="1"/>
  <c r="E248" i="3"/>
  <c r="G248" i="3" s="1"/>
  <c r="E245" i="3"/>
  <c r="G245" i="3" s="1"/>
  <c r="E247" i="3"/>
  <c r="G247" i="3" s="1"/>
  <c r="E244" i="3"/>
  <c r="G244" i="3" s="1"/>
  <c r="E246" i="3"/>
  <c r="G246" i="3" s="1"/>
  <c r="Q184" i="3"/>
  <c r="Q189" i="3" s="1"/>
  <c r="W214" i="3"/>
  <c r="W218" i="3" s="1"/>
  <c r="Q225" i="3"/>
  <c r="S225" i="3" s="1"/>
  <c r="Q188" i="3"/>
  <c r="S188" i="3" s="1"/>
  <c r="W215" i="3"/>
  <c r="Y215" i="3" s="1"/>
  <c r="Q226" i="3"/>
  <c r="S226" i="3" s="1"/>
  <c r="W216" i="3"/>
  <c r="Y216" i="3" s="1"/>
  <c r="Q217" i="3"/>
  <c r="S217" i="3" s="1"/>
  <c r="W234" i="3"/>
  <c r="W236" i="3"/>
  <c r="Y236" i="3" s="1"/>
  <c r="W237" i="3"/>
  <c r="Y237" i="3" s="1"/>
  <c r="Q234" i="3"/>
  <c r="Q237" i="3"/>
  <c r="S237" i="3" s="1"/>
  <c r="Q235" i="3"/>
  <c r="S235" i="3" s="1"/>
  <c r="Q238" i="3"/>
  <c r="S238" i="3" s="1"/>
  <c r="K235" i="3"/>
  <c r="M235" i="3" s="1"/>
  <c r="K238" i="3"/>
  <c r="M238" i="3" s="1"/>
  <c r="K239" i="3"/>
  <c r="M239" i="3" s="1"/>
  <c r="M234" i="3"/>
  <c r="E229" i="3"/>
  <c r="G229" i="3" s="1"/>
  <c r="E239" i="3"/>
  <c r="G239" i="3" s="1"/>
  <c r="Q195" i="3"/>
  <c r="S195" i="3" s="1"/>
  <c r="W224" i="3"/>
  <c r="W228" i="3" s="1"/>
  <c r="K228" i="3"/>
  <c r="M228" i="3" s="1"/>
  <c r="Q186" i="3"/>
  <c r="S186" i="3" s="1"/>
  <c r="K225" i="3"/>
  <c r="M225" i="3" s="1"/>
  <c r="W226" i="3"/>
  <c r="Y226" i="3" s="1"/>
  <c r="K218" i="3"/>
  <c r="M218" i="3" s="1"/>
  <c r="K227" i="3"/>
  <c r="M227" i="3" s="1"/>
  <c r="K224" i="3"/>
  <c r="E234" i="3"/>
  <c r="E235" i="3"/>
  <c r="G235" i="3" s="1"/>
  <c r="E236" i="3"/>
  <c r="G236" i="3" s="1"/>
  <c r="E237" i="3"/>
  <c r="G237" i="3" s="1"/>
  <c r="Q216" i="3"/>
  <c r="S216" i="3" s="1"/>
  <c r="W225" i="3"/>
  <c r="Y225" i="3" s="1"/>
  <c r="K229" i="3"/>
  <c r="M229" i="3" s="1"/>
  <c r="K215" i="3"/>
  <c r="M215" i="3" s="1"/>
  <c r="W127" i="3"/>
  <c r="Y127" i="3" s="1"/>
  <c r="Q185" i="3"/>
  <c r="S185" i="3" s="1"/>
  <c r="K216" i="3"/>
  <c r="M216" i="3" s="1"/>
  <c r="K214" i="3"/>
  <c r="K204" i="3"/>
  <c r="K210" i="3" s="1"/>
  <c r="K208" i="3"/>
  <c r="M208" i="3" s="1"/>
  <c r="K154" i="3"/>
  <c r="K160" i="3" s="1"/>
  <c r="W204" i="3"/>
  <c r="W208" i="3" s="1"/>
  <c r="K205" i="3"/>
  <c r="M205" i="3" s="1"/>
  <c r="K206" i="3"/>
  <c r="M206" i="3" s="1"/>
  <c r="W184" i="3"/>
  <c r="W188" i="3" s="1"/>
  <c r="W206" i="3"/>
  <c r="Y206" i="3" s="1"/>
  <c r="K217" i="3"/>
  <c r="M217" i="3" s="1"/>
  <c r="E224" i="3"/>
  <c r="E225" i="3"/>
  <c r="G225" i="3" s="1"/>
  <c r="E226" i="3"/>
  <c r="G226" i="3" s="1"/>
  <c r="E227" i="3"/>
  <c r="G227" i="3" s="1"/>
  <c r="K207" i="3"/>
  <c r="M207" i="3" s="1"/>
  <c r="K196" i="3"/>
  <c r="M196" i="3" s="1"/>
  <c r="W207" i="3"/>
  <c r="Y207" i="3" s="1"/>
  <c r="E136" i="3"/>
  <c r="G136" i="3" s="1"/>
  <c r="K186" i="3"/>
  <c r="M186" i="3" s="1"/>
  <c r="K189" i="3"/>
  <c r="M189" i="3" s="1"/>
  <c r="E214" i="3"/>
  <c r="E215" i="3"/>
  <c r="G215" i="3" s="1"/>
  <c r="E216" i="3"/>
  <c r="G216" i="3" s="1"/>
  <c r="E217" i="3"/>
  <c r="G217" i="3" s="1"/>
  <c r="E219" i="3"/>
  <c r="G219" i="3" s="1"/>
  <c r="K185" i="3"/>
  <c r="M185" i="3" s="1"/>
  <c r="K187" i="3"/>
  <c r="M187" i="3" s="1"/>
  <c r="Q198" i="3"/>
  <c r="S198" i="3" s="1"/>
  <c r="K184" i="3"/>
  <c r="K190" i="3" s="1"/>
  <c r="Q209" i="3"/>
  <c r="S204" i="3"/>
  <c r="S209" i="3" s="1"/>
  <c r="Q206" i="3"/>
  <c r="S206" i="3" s="1"/>
  <c r="K198" i="3"/>
  <c r="M198" i="3" s="1"/>
  <c r="Q194" i="3"/>
  <c r="S194" i="3" s="1"/>
  <c r="S199" i="3" s="1"/>
  <c r="Q208" i="3"/>
  <c r="S208" i="3" s="1"/>
  <c r="K167" i="3"/>
  <c r="M167" i="3" s="1"/>
  <c r="K177" i="3"/>
  <c r="M177" i="3" s="1"/>
  <c r="K194" i="3"/>
  <c r="K200" i="3" s="1"/>
  <c r="Q205" i="3"/>
  <c r="S205" i="3" s="1"/>
  <c r="K195" i="3"/>
  <c r="M195" i="3" s="1"/>
  <c r="Q197" i="3"/>
  <c r="S197" i="3" s="1"/>
  <c r="K168" i="3"/>
  <c r="M168" i="3" s="1"/>
  <c r="K178" i="3"/>
  <c r="M178" i="3" s="1"/>
  <c r="W186" i="3"/>
  <c r="Y186" i="3" s="1"/>
  <c r="K199" i="3"/>
  <c r="M199" i="3" s="1"/>
  <c r="Q207" i="3"/>
  <c r="S207" i="3" s="1"/>
  <c r="E209" i="3"/>
  <c r="G209" i="3" s="1"/>
  <c r="Y194" i="3"/>
  <c r="Y198" i="3" s="1"/>
  <c r="W198" i="3"/>
  <c r="G194" i="3"/>
  <c r="W185" i="3"/>
  <c r="Y185" i="3" s="1"/>
  <c r="E199" i="3"/>
  <c r="G199" i="3" s="1"/>
  <c r="E198" i="3"/>
  <c r="G198" i="3" s="1"/>
  <c r="E197" i="3"/>
  <c r="G197" i="3" s="1"/>
  <c r="E196" i="3"/>
  <c r="G196" i="3" s="1"/>
  <c r="E195" i="3"/>
  <c r="G195" i="3" s="1"/>
  <c r="W176" i="3"/>
  <c r="Y176" i="3" s="1"/>
  <c r="E204" i="3"/>
  <c r="E205" i="3"/>
  <c r="G205" i="3" s="1"/>
  <c r="E206" i="3"/>
  <c r="G206" i="3" s="1"/>
  <c r="E207" i="3"/>
  <c r="G207" i="3" s="1"/>
  <c r="K115" i="3"/>
  <c r="M115" i="3" s="1"/>
  <c r="W175" i="3"/>
  <c r="Y175" i="3" s="1"/>
  <c r="K164" i="3"/>
  <c r="K170" i="3" s="1"/>
  <c r="W197" i="3"/>
  <c r="Y197" i="3" s="1"/>
  <c r="W196" i="3"/>
  <c r="Y196" i="3" s="1"/>
  <c r="W195" i="3"/>
  <c r="Y195" i="3" s="1"/>
  <c r="W174" i="3"/>
  <c r="Q168" i="3"/>
  <c r="S168" i="3" s="1"/>
  <c r="W165" i="3"/>
  <c r="Y165" i="3" s="1"/>
  <c r="K169" i="3"/>
  <c r="M169" i="3" s="1"/>
  <c r="E184" i="3"/>
  <c r="G184" i="3" s="1"/>
  <c r="E188" i="3"/>
  <c r="G188" i="3" s="1"/>
  <c r="E185" i="3"/>
  <c r="G185" i="3" s="1"/>
  <c r="E187" i="3"/>
  <c r="G187" i="3" s="1"/>
  <c r="E186" i="3"/>
  <c r="G186" i="3" s="1"/>
  <c r="K144" i="3"/>
  <c r="K150" i="3" s="1"/>
  <c r="K174" i="3"/>
  <c r="K176" i="3"/>
  <c r="M176" i="3" s="1"/>
  <c r="W126" i="3"/>
  <c r="Y126" i="3" s="1"/>
  <c r="W164" i="3"/>
  <c r="W168" i="3" s="1"/>
  <c r="Q174" i="3"/>
  <c r="Q179" i="3" s="1"/>
  <c r="Q176" i="3"/>
  <c r="S176" i="3" s="1"/>
  <c r="Q178" i="3"/>
  <c r="S178" i="3" s="1"/>
  <c r="E149" i="3"/>
  <c r="G149" i="3" s="1"/>
  <c r="Q154" i="3"/>
  <c r="Q159" i="3" s="1"/>
  <c r="E155" i="3"/>
  <c r="G155" i="3" s="1"/>
  <c r="W166" i="3"/>
  <c r="Y166" i="3" s="1"/>
  <c r="Q175" i="3"/>
  <c r="S175" i="3" s="1"/>
  <c r="Q155" i="3"/>
  <c r="S155" i="3" s="1"/>
  <c r="E178" i="3"/>
  <c r="G178" i="3" s="1"/>
  <c r="W144" i="3"/>
  <c r="Y144" i="3" s="1"/>
  <c r="Y148" i="3" s="1"/>
  <c r="K145" i="3"/>
  <c r="M145" i="3" s="1"/>
  <c r="E179" i="3"/>
  <c r="G179" i="3" s="1"/>
  <c r="W145" i="3"/>
  <c r="Y145" i="3" s="1"/>
  <c r="K149" i="3"/>
  <c r="M149" i="3" s="1"/>
  <c r="W146" i="3"/>
  <c r="Y146" i="3" s="1"/>
  <c r="K147" i="3"/>
  <c r="M147" i="3" s="1"/>
  <c r="K157" i="3"/>
  <c r="M157" i="3" s="1"/>
  <c r="Q157" i="3"/>
  <c r="S157" i="3" s="1"/>
  <c r="E174" i="3"/>
  <c r="E175" i="3"/>
  <c r="G175" i="3" s="1"/>
  <c r="E176" i="3"/>
  <c r="G176" i="3" s="1"/>
  <c r="K156" i="3"/>
  <c r="M156" i="3" s="1"/>
  <c r="K159" i="3"/>
  <c r="M159" i="3" s="1"/>
  <c r="Q164" i="3"/>
  <c r="Q165" i="3"/>
  <c r="S165" i="3" s="1"/>
  <c r="Q166" i="3"/>
  <c r="S166" i="3" s="1"/>
  <c r="E169" i="3"/>
  <c r="G169" i="3" s="1"/>
  <c r="W115" i="3"/>
  <c r="Y115" i="3" s="1"/>
  <c r="W154" i="3"/>
  <c r="W157" i="3"/>
  <c r="Y157" i="3" s="1"/>
  <c r="W116" i="3"/>
  <c r="Y116" i="3" s="1"/>
  <c r="K146" i="3"/>
  <c r="M146" i="3" s="1"/>
  <c r="Q156" i="3"/>
  <c r="S156" i="3" s="1"/>
  <c r="W114" i="3"/>
  <c r="W118" i="3" s="1"/>
  <c r="W155" i="3"/>
  <c r="Y155" i="3" s="1"/>
  <c r="K155" i="3"/>
  <c r="M155" i="3" s="1"/>
  <c r="Q134" i="3"/>
  <c r="Q139" i="3" s="1"/>
  <c r="Q146" i="3"/>
  <c r="S146" i="3" s="1"/>
  <c r="E164" i="3"/>
  <c r="E165" i="3"/>
  <c r="G165" i="3" s="1"/>
  <c r="E166" i="3"/>
  <c r="G166" i="3" s="1"/>
  <c r="E167" i="3"/>
  <c r="G167" i="3" s="1"/>
  <c r="E158" i="3"/>
  <c r="G158" i="3" s="1"/>
  <c r="E157" i="3"/>
  <c r="G157" i="3" s="1"/>
  <c r="E159" i="3"/>
  <c r="G159" i="3" s="1"/>
  <c r="G154" i="3"/>
  <c r="E156" i="3"/>
  <c r="G156" i="3" s="1"/>
  <c r="Q149" i="3"/>
  <c r="S144" i="3"/>
  <c r="S149" i="3" s="1"/>
  <c r="Q148" i="3"/>
  <c r="S148" i="3" s="1"/>
  <c r="Q136" i="3"/>
  <c r="S136" i="3" s="1"/>
  <c r="Q145" i="3"/>
  <c r="S145" i="3" s="1"/>
  <c r="W84" i="3"/>
  <c r="W88" i="3" s="1"/>
  <c r="Q137" i="3"/>
  <c r="S137" i="3" s="1"/>
  <c r="Q87" i="3"/>
  <c r="S87" i="3" s="1"/>
  <c r="Q147" i="3"/>
  <c r="S147" i="3" s="1"/>
  <c r="W87" i="3"/>
  <c r="Y87" i="3" s="1"/>
  <c r="Q105" i="3"/>
  <c r="S105" i="3" s="1"/>
  <c r="Q117" i="3"/>
  <c r="S117" i="3" s="1"/>
  <c r="Q104" i="3"/>
  <c r="Q109" i="3" s="1"/>
  <c r="Q128" i="3"/>
  <c r="S128" i="3" s="1"/>
  <c r="E144" i="3"/>
  <c r="E145" i="3"/>
  <c r="G145" i="3" s="1"/>
  <c r="E146" i="3"/>
  <c r="G146" i="3" s="1"/>
  <c r="E147" i="3"/>
  <c r="G147" i="3" s="1"/>
  <c r="W76" i="3"/>
  <c r="Y76" i="3" s="1"/>
  <c r="Q114" i="3"/>
  <c r="Q119" i="3" s="1"/>
  <c r="K116" i="3"/>
  <c r="M116" i="3" s="1"/>
  <c r="W74" i="3"/>
  <c r="W78" i="3" s="1"/>
  <c r="K136" i="3"/>
  <c r="M136" i="3" s="1"/>
  <c r="W135" i="3"/>
  <c r="Y135" i="3" s="1"/>
  <c r="K114" i="3"/>
  <c r="K117" i="3"/>
  <c r="M117" i="3" s="1"/>
  <c r="K119" i="3"/>
  <c r="M119" i="3" s="1"/>
  <c r="K137" i="3"/>
  <c r="M137" i="3" s="1"/>
  <c r="K134" i="3"/>
  <c r="K140" i="3" s="1"/>
  <c r="Q115" i="3"/>
  <c r="S115" i="3" s="1"/>
  <c r="W125" i="3"/>
  <c r="Y125" i="3" s="1"/>
  <c r="K129" i="3"/>
  <c r="M129" i="3" s="1"/>
  <c r="Q135" i="3"/>
  <c r="S135" i="3" s="1"/>
  <c r="W136" i="3"/>
  <c r="Y136" i="3" s="1"/>
  <c r="E98" i="3"/>
  <c r="G98" i="3" s="1"/>
  <c r="Q106" i="3"/>
  <c r="S106" i="3" s="1"/>
  <c r="K98" i="3"/>
  <c r="M98" i="3" s="1"/>
  <c r="Q116" i="3"/>
  <c r="S116" i="3" s="1"/>
  <c r="W134" i="3"/>
  <c r="K85" i="3"/>
  <c r="M85" i="3" s="1"/>
  <c r="K94" i="3"/>
  <c r="M94" i="3" s="1"/>
  <c r="M100" i="3" s="1"/>
  <c r="Q107" i="3"/>
  <c r="S107" i="3" s="1"/>
  <c r="K139" i="3"/>
  <c r="M139" i="3" s="1"/>
  <c r="K86" i="3"/>
  <c r="M86" i="3" s="1"/>
  <c r="K89" i="3"/>
  <c r="M89" i="3" s="1"/>
  <c r="E95" i="3"/>
  <c r="G95" i="3" s="1"/>
  <c r="K135" i="3"/>
  <c r="M135" i="3" s="1"/>
  <c r="W86" i="3"/>
  <c r="Y86" i="3" s="1"/>
  <c r="K95" i="3"/>
  <c r="M95" i="3" s="1"/>
  <c r="K87" i="3"/>
  <c r="M87" i="3" s="1"/>
  <c r="K96" i="3"/>
  <c r="M96" i="3" s="1"/>
  <c r="E126" i="3"/>
  <c r="G126" i="3" s="1"/>
  <c r="E134" i="3"/>
  <c r="G134" i="3" s="1"/>
  <c r="E137" i="3"/>
  <c r="G137" i="3" s="1"/>
  <c r="E138" i="3"/>
  <c r="G138" i="3" s="1"/>
  <c r="E139" i="3"/>
  <c r="G139" i="3" s="1"/>
  <c r="E124" i="3"/>
  <c r="G124" i="3" s="1"/>
  <c r="E127" i="3"/>
  <c r="G127" i="3" s="1"/>
  <c r="E125" i="3"/>
  <c r="G125" i="3" s="1"/>
  <c r="E129" i="3"/>
  <c r="G129" i="3" s="1"/>
  <c r="K128" i="3"/>
  <c r="M128" i="3" s="1"/>
  <c r="Y124" i="3"/>
  <c r="Y128" i="3" s="1"/>
  <c r="Q124" i="3"/>
  <c r="Q125" i="3"/>
  <c r="S125" i="3" s="1"/>
  <c r="Q126" i="3"/>
  <c r="S126" i="3" s="1"/>
  <c r="K124" i="3"/>
  <c r="K125" i="3"/>
  <c r="M125" i="3" s="1"/>
  <c r="K126" i="3"/>
  <c r="M126" i="3" s="1"/>
  <c r="E116" i="3"/>
  <c r="G116" i="3" s="1"/>
  <c r="E119" i="3"/>
  <c r="G119" i="3" s="1"/>
  <c r="E115" i="3"/>
  <c r="G115" i="3" s="1"/>
  <c r="E114" i="3"/>
  <c r="G114" i="3" s="1"/>
  <c r="E117" i="3"/>
  <c r="G117" i="3" s="1"/>
  <c r="E107" i="3"/>
  <c r="G107" i="3" s="1"/>
  <c r="W94" i="3"/>
  <c r="Y94" i="3" s="1"/>
  <c r="Y98" i="3" s="1"/>
  <c r="W104" i="3"/>
  <c r="W108" i="3" s="1"/>
  <c r="W106" i="3"/>
  <c r="Y106" i="3" s="1"/>
  <c r="K105" i="3"/>
  <c r="M105" i="3" s="1"/>
  <c r="W95" i="3"/>
  <c r="Y95" i="3" s="1"/>
  <c r="Q84" i="3"/>
  <c r="Q89" i="3" s="1"/>
  <c r="W105" i="3"/>
  <c r="Y105" i="3" s="1"/>
  <c r="K109" i="3"/>
  <c r="M109" i="3" s="1"/>
  <c r="K104" i="3"/>
  <c r="K110" i="3" s="1"/>
  <c r="K106" i="3"/>
  <c r="M106" i="3" s="1"/>
  <c r="W97" i="3"/>
  <c r="Y97" i="3" s="1"/>
  <c r="Q94" i="3"/>
  <c r="Q99" i="3" s="1"/>
  <c r="E105" i="3"/>
  <c r="G105" i="3" s="1"/>
  <c r="E104" i="3"/>
  <c r="G104" i="3" s="1"/>
  <c r="E106" i="3"/>
  <c r="G106" i="3" s="1"/>
  <c r="E109" i="3"/>
  <c r="G109" i="3" s="1"/>
  <c r="Q98" i="3"/>
  <c r="S98" i="3" s="1"/>
  <c r="K78" i="3"/>
  <c r="M78" i="3" s="1"/>
  <c r="Q86" i="3"/>
  <c r="S86" i="3" s="1"/>
  <c r="Q88" i="3"/>
  <c r="S88" i="3" s="1"/>
  <c r="K84" i="3"/>
  <c r="K90" i="3" s="1"/>
  <c r="Q95" i="3"/>
  <c r="S95" i="3" s="1"/>
  <c r="Q97" i="3"/>
  <c r="S97" i="3" s="1"/>
  <c r="E94" i="3"/>
  <c r="G94" i="3" s="1"/>
  <c r="E96" i="3"/>
  <c r="G96" i="3" s="1"/>
  <c r="E99" i="3"/>
  <c r="G99" i="3" s="1"/>
  <c r="K75" i="3"/>
  <c r="M75" i="3" s="1"/>
  <c r="K76" i="3"/>
  <c r="M76" i="3" s="1"/>
  <c r="K79" i="3"/>
  <c r="M79" i="3" s="1"/>
  <c r="K77" i="3"/>
  <c r="M77" i="3" s="1"/>
  <c r="W77" i="3"/>
  <c r="Y77" i="3" s="1"/>
  <c r="E85" i="3"/>
  <c r="G85" i="3" s="1"/>
  <c r="E89" i="3"/>
  <c r="G89" i="3" s="1"/>
  <c r="E84" i="3"/>
  <c r="G84" i="3" s="1"/>
  <c r="E86" i="3"/>
  <c r="G86" i="3" s="1"/>
  <c r="E88" i="3"/>
  <c r="G88" i="3" s="1"/>
  <c r="Q74" i="3"/>
  <c r="Q79" i="3" s="1"/>
  <c r="W64" i="3"/>
  <c r="Y64" i="3" s="1"/>
  <c r="W65" i="3"/>
  <c r="Y65" i="3" s="1"/>
  <c r="W66" i="3"/>
  <c r="Y66" i="3" s="1"/>
  <c r="Q75" i="3"/>
  <c r="S75" i="3" s="1"/>
  <c r="Q77" i="3"/>
  <c r="S77" i="3" s="1"/>
  <c r="Q78" i="3"/>
  <c r="S78" i="3" s="1"/>
  <c r="M74" i="3"/>
  <c r="M80" i="3" s="1"/>
  <c r="E79" i="3"/>
  <c r="G79" i="3" s="1"/>
  <c r="E74" i="3"/>
  <c r="E75" i="3"/>
  <c r="G75" i="3" s="1"/>
  <c r="E76" i="3"/>
  <c r="G76" i="3" s="1"/>
  <c r="E77" i="3"/>
  <c r="G77" i="3" s="1"/>
  <c r="Q64" i="3"/>
  <c r="Q65" i="3"/>
  <c r="S65" i="3" s="1"/>
  <c r="Q66" i="3"/>
  <c r="S66" i="3" s="1"/>
  <c r="Q68" i="3"/>
  <c r="S68" i="3" s="1"/>
  <c r="K67" i="3"/>
  <c r="M67" i="3" s="1"/>
  <c r="K69" i="3"/>
  <c r="M69" i="3" s="1"/>
  <c r="K66" i="3"/>
  <c r="M66" i="3" s="1"/>
  <c r="K65" i="3"/>
  <c r="M65" i="3" s="1"/>
  <c r="K64" i="3"/>
  <c r="E69" i="3"/>
  <c r="G69" i="3" s="1"/>
  <c r="E64" i="3"/>
  <c r="E65" i="3"/>
  <c r="G65" i="3" s="1"/>
  <c r="E66" i="3"/>
  <c r="G66" i="3" s="1"/>
  <c r="E67" i="3"/>
  <c r="G67" i="3" s="1"/>
  <c r="Q219" i="3" l="1"/>
  <c r="M154" i="3"/>
  <c r="M160" i="3" s="1"/>
  <c r="S224" i="3"/>
  <c r="S229" i="3" s="1"/>
  <c r="K240" i="3"/>
  <c r="W248" i="3"/>
  <c r="Y224" i="3"/>
  <c r="Y228" i="3" s="1"/>
  <c r="S184" i="3"/>
  <c r="S189" i="3" s="1"/>
  <c r="M144" i="3"/>
  <c r="M150" i="3" s="1"/>
  <c r="S114" i="3"/>
  <c r="S119" i="3" s="1"/>
  <c r="W258" i="3"/>
  <c r="Y254" i="3"/>
  <c r="Y258" i="3" s="1"/>
  <c r="S259" i="3"/>
  <c r="Q259" i="3"/>
  <c r="K260" i="3"/>
  <c r="M254" i="3"/>
  <c r="M260" i="3" s="1"/>
  <c r="G254" i="3"/>
  <c r="G260" i="3" s="1"/>
  <c r="E260" i="3"/>
  <c r="Q249" i="3"/>
  <c r="S244" i="3"/>
  <c r="S249" i="3" s="1"/>
  <c r="K250" i="3"/>
  <c r="Y244" i="3"/>
  <c r="Y248" i="3" s="1"/>
  <c r="M244" i="3"/>
  <c r="M250" i="3" s="1"/>
  <c r="G250" i="3"/>
  <c r="E250" i="3"/>
  <c r="Y214" i="3"/>
  <c r="Y218" i="3" s="1"/>
  <c r="W238" i="3"/>
  <c r="Y204" i="3"/>
  <c r="Y208" i="3" s="1"/>
  <c r="Y234" i="3"/>
  <c r="Y238" i="3" s="1"/>
  <c r="Q239" i="3"/>
  <c r="S234" i="3"/>
  <c r="S239" i="3" s="1"/>
  <c r="M240" i="3"/>
  <c r="M204" i="3"/>
  <c r="M210" i="3" s="1"/>
  <c r="S174" i="3"/>
  <c r="S179" i="3" s="1"/>
  <c r="K230" i="3"/>
  <c r="M224" i="3"/>
  <c r="M230" i="3" s="1"/>
  <c r="G234" i="3"/>
  <c r="G240" i="3" s="1"/>
  <c r="E240" i="3"/>
  <c r="W148" i="3"/>
  <c r="K220" i="3"/>
  <c r="M214" i="3"/>
  <c r="M220" i="3" s="1"/>
  <c r="Y184" i="3"/>
  <c r="Y188" i="3" s="1"/>
  <c r="G224" i="3"/>
  <c r="G230" i="3" s="1"/>
  <c r="E230" i="3"/>
  <c r="G214" i="3"/>
  <c r="G220" i="3" s="1"/>
  <c r="E220" i="3"/>
  <c r="M184" i="3"/>
  <c r="M190" i="3" s="1"/>
  <c r="S104" i="3"/>
  <c r="S109" i="3" s="1"/>
  <c r="Q199" i="3"/>
  <c r="M164" i="3"/>
  <c r="M170" i="3" s="1"/>
  <c r="M194" i="3"/>
  <c r="M200" i="3" s="1"/>
  <c r="G204" i="3"/>
  <c r="G210" i="3" s="1"/>
  <c r="E210" i="3"/>
  <c r="G200" i="3"/>
  <c r="E200" i="3"/>
  <c r="Y174" i="3"/>
  <c r="Y178" i="3" s="1"/>
  <c r="W178" i="3"/>
  <c r="G190" i="3"/>
  <c r="E190" i="3"/>
  <c r="Y74" i="3"/>
  <c r="Y78" i="3" s="1"/>
  <c r="Y164" i="3"/>
  <c r="Y168" i="3" s="1"/>
  <c r="K180" i="3"/>
  <c r="M174" i="3"/>
  <c r="M180" i="3" s="1"/>
  <c r="M134" i="3"/>
  <c r="M140" i="3" s="1"/>
  <c r="S154" i="3"/>
  <c r="S159" i="3" s="1"/>
  <c r="G174" i="3"/>
  <c r="G180" i="3" s="1"/>
  <c r="E180" i="3"/>
  <c r="S94" i="3"/>
  <c r="S99" i="3" s="1"/>
  <c r="Y114" i="3"/>
  <c r="Y118" i="3" s="1"/>
  <c r="G164" i="3"/>
  <c r="G170" i="3" s="1"/>
  <c r="E170" i="3"/>
  <c r="M84" i="3"/>
  <c r="M90" i="3" s="1"/>
  <c r="Q169" i="3"/>
  <c r="S164" i="3"/>
  <c r="S169" i="3" s="1"/>
  <c r="Y154" i="3"/>
  <c r="Y158" i="3" s="1"/>
  <c r="W158" i="3"/>
  <c r="Y84" i="3"/>
  <c r="Y88" i="3" s="1"/>
  <c r="S134" i="3"/>
  <c r="S139" i="3" s="1"/>
  <c r="G160" i="3"/>
  <c r="E160" i="3"/>
  <c r="G144" i="3"/>
  <c r="G150" i="3" s="1"/>
  <c r="E150" i="3"/>
  <c r="K120" i="3"/>
  <c r="M114" i="3"/>
  <c r="M120" i="3" s="1"/>
  <c r="S84" i="3"/>
  <c r="S89" i="3" s="1"/>
  <c r="K100" i="3"/>
  <c r="W138" i="3"/>
  <c r="Y134" i="3"/>
  <c r="Y138" i="3" s="1"/>
  <c r="M104" i="3"/>
  <c r="M110" i="3" s="1"/>
  <c r="G130" i="3"/>
  <c r="G140" i="3"/>
  <c r="E140" i="3"/>
  <c r="E130" i="3"/>
  <c r="K130" i="3"/>
  <c r="M124" i="3"/>
  <c r="M130" i="3" s="1"/>
  <c r="Q129" i="3"/>
  <c r="S124" i="3"/>
  <c r="S129" i="3" s="1"/>
  <c r="G120" i="3"/>
  <c r="E120" i="3"/>
  <c r="G110" i="3"/>
  <c r="G100" i="3"/>
  <c r="E110" i="3"/>
  <c r="W98" i="3"/>
  <c r="Y104" i="3"/>
  <c r="Y108" i="3" s="1"/>
  <c r="G90" i="3"/>
  <c r="S74" i="3"/>
  <c r="S79" i="3" s="1"/>
  <c r="E100" i="3"/>
  <c r="E90" i="3"/>
  <c r="G74" i="3"/>
  <c r="G80" i="3" s="1"/>
  <c r="E80" i="3"/>
  <c r="Y68" i="3"/>
  <c r="W68" i="3"/>
  <c r="Q69" i="3"/>
  <c r="K70" i="3"/>
  <c r="S64" i="3"/>
  <c r="S69" i="3" s="1"/>
  <c r="M64" i="3"/>
  <c r="M70" i="3" s="1"/>
  <c r="G64" i="3"/>
  <c r="G70" i="3" s="1"/>
  <c r="E70" i="3"/>
  <c r="J50" i="3" l="1"/>
  <c r="K48" i="3" s="1"/>
  <c r="M48" i="3" s="1"/>
  <c r="L60" i="3"/>
  <c r="J60" i="3"/>
  <c r="K54" i="3" s="1"/>
  <c r="F60" i="3"/>
  <c r="D60" i="3"/>
  <c r="E58" i="3" s="1"/>
  <c r="G58" i="3" s="1"/>
  <c r="R59" i="3"/>
  <c r="P59" i="3"/>
  <c r="Q57" i="3" s="1"/>
  <c r="S57" i="3" s="1"/>
  <c r="X58" i="3"/>
  <c r="V58" i="3"/>
  <c r="W56" i="3" s="1"/>
  <c r="Y56" i="3" s="1"/>
  <c r="A58" i="3"/>
  <c r="L50" i="3"/>
  <c r="F50" i="3"/>
  <c r="D50" i="3"/>
  <c r="E47" i="3" s="1"/>
  <c r="G47" i="3" s="1"/>
  <c r="R49" i="3"/>
  <c r="P49" i="3"/>
  <c r="Q47" i="3" s="1"/>
  <c r="S47" i="3" s="1"/>
  <c r="X48" i="3"/>
  <c r="V48" i="3"/>
  <c r="W46" i="3" s="1"/>
  <c r="Y46" i="3" s="1"/>
  <c r="A48" i="3"/>
  <c r="E59" i="3" l="1"/>
  <c r="G59" i="3" s="1"/>
  <c r="K59" i="3"/>
  <c r="M59" i="3" s="1"/>
  <c r="K57" i="3"/>
  <c r="M57" i="3" s="1"/>
  <c r="K58" i="3"/>
  <c r="M58" i="3" s="1"/>
  <c r="K55" i="3"/>
  <c r="M55" i="3" s="1"/>
  <c r="K56" i="3"/>
  <c r="M56" i="3" s="1"/>
  <c r="Q58" i="3"/>
  <c r="S58" i="3" s="1"/>
  <c r="Q55" i="3"/>
  <c r="S55" i="3" s="1"/>
  <c r="Q56" i="3"/>
  <c r="S56" i="3" s="1"/>
  <c r="Q54" i="3"/>
  <c r="W55" i="3"/>
  <c r="Y55" i="3" s="1"/>
  <c r="W57" i="3"/>
  <c r="Y57" i="3" s="1"/>
  <c r="W54" i="3"/>
  <c r="Y54" i="3" s="1"/>
  <c r="W45" i="3"/>
  <c r="Y45" i="3" s="1"/>
  <c r="Q48" i="3"/>
  <c r="S48" i="3" s="1"/>
  <c r="Q45" i="3"/>
  <c r="S45" i="3" s="1"/>
  <c r="Q44" i="3"/>
  <c r="S44" i="3" s="1"/>
  <c r="Q46" i="3"/>
  <c r="S46" i="3" s="1"/>
  <c r="K47" i="3"/>
  <c r="M47" i="3" s="1"/>
  <c r="E45" i="3"/>
  <c r="G45" i="3" s="1"/>
  <c r="E46" i="3"/>
  <c r="G46" i="3" s="1"/>
  <c r="M54" i="3"/>
  <c r="W44" i="3"/>
  <c r="K46" i="3"/>
  <c r="M46" i="3" s="1"/>
  <c r="K45" i="3"/>
  <c r="M45" i="3" s="1"/>
  <c r="E49" i="3"/>
  <c r="G49" i="3" s="1"/>
  <c r="E44" i="3"/>
  <c r="G44" i="3" s="1"/>
  <c r="K49" i="3"/>
  <c r="M49" i="3" s="1"/>
  <c r="W47" i="3"/>
  <c r="Y47" i="3" s="1"/>
  <c r="K44" i="3"/>
  <c r="E48" i="3"/>
  <c r="G48" i="3" s="1"/>
  <c r="E54" i="3"/>
  <c r="E55" i="3"/>
  <c r="G55" i="3" s="1"/>
  <c r="E56" i="3"/>
  <c r="G56" i="3" s="1"/>
  <c r="E57" i="3"/>
  <c r="G57" i="3" s="1"/>
  <c r="Y58" i="3" l="1"/>
  <c r="W58" i="3"/>
  <c r="S49" i="3"/>
  <c r="Q49" i="3"/>
  <c r="M60" i="3"/>
  <c r="K60" i="3"/>
  <c r="Q59" i="3"/>
  <c r="S54" i="3"/>
  <c r="S59" i="3" s="1"/>
  <c r="G50" i="3"/>
  <c r="G54" i="3"/>
  <c r="G60" i="3" s="1"/>
  <c r="E60" i="3"/>
  <c r="E50" i="3"/>
  <c r="M44" i="3"/>
  <c r="M50" i="3" s="1"/>
  <c r="K50" i="3"/>
  <c r="Y44" i="3"/>
  <c r="Y48" i="3" s="1"/>
  <c r="W48" i="3"/>
  <c r="F53" i="1" l="1"/>
  <c r="B50" i="14"/>
  <c r="B49" i="14"/>
  <c r="B48" i="14"/>
  <c r="B47" i="14"/>
  <c r="B46" i="14"/>
  <c r="B44" i="14"/>
  <c r="B43" i="14"/>
  <c r="B42" i="14"/>
  <c r="B41" i="14"/>
  <c r="B40" i="14"/>
  <c r="B39" i="14"/>
  <c r="B38" i="14"/>
  <c r="B36" i="14"/>
  <c r="B35" i="14"/>
  <c r="B34" i="14"/>
  <c r="B33" i="14"/>
  <c r="C33" i="14"/>
  <c r="L40" i="3"/>
  <c r="J40" i="3"/>
  <c r="K39" i="3" s="1"/>
  <c r="M39" i="3" s="1"/>
  <c r="L30" i="3"/>
  <c r="J30" i="3"/>
  <c r="K28" i="3" s="1"/>
  <c r="M28" i="3" s="1"/>
  <c r="L20" i="3"/>
  <c r="J20" i="3"/>
  <c r="K18" i="3" s="1"/>
  <c r="M18" i="3" s="1"/>
  <c r="L10" i="3"/>
  <c r="J10" i="3"/>
  <c r="K8" i="3" s="1"/>
  <c r="M8" i="3" s="1"/>
  <c r="F40" i="3"/>
  <c r="D40" i="3"/>
  <c r="E37" i="3" s="1"/>
  <c r="G37" i="3" s="1"/>
  <c r="R39" i="3"/>
  <c r="P39" i="3"/>
  <c r="Q34" i="3" s="1"/>
  <c r="X38" i="3"/>
  <c r="V38" i="3"/>
  <c r="W35" i="3" s="1"/>
  <c r="Y35" i="3" s="1"/>
  <c r="A38" i="3"/>
  <c r="B50" i="13"/>
  <c r="B49" i="13"/>
  <c r="B48" i="13"/>
  <c r="B47" i="13"/>
  <c r="B46" i="13"/>
  <c r="B44" i="13"/>
  <c r="B43" i="13"/>
  <c r="B42" i="13"/>
  <c r="B41" i="13"/>
  <c r="C40" i="13"/>
  <c r="B40" i="13"/>
  <c r="B39" i="13"/>
  <c r="B38" i="13"/>
  <c r="B36" i="13"/>
  <c r="B35" i="13"/>
  <c r="B34" i="13"/>
  <c r="B33" i="13"/>
  <c r="C1" i="13"/>
  <c r="C44" i="13" s="1"/>
  <c r="B55" i="11"/>
  <c r="B54" i="11"/>
  <c r="B53" i="11"/>
  <c r="B51" i="11"/>
  <c r="B49" i="11"/>
  <c r="B48" i="11"/>
  <c r="B47" i="11"/>
  <c r="B45" i="11"/>
  <c r="B44" i="11"/>
  <c r="B43" i="11"/>
  <c r="B41" i="11"/>
  <c r="B40" i="11"/>
  <c r="B39" i="11"/>
  <c r="B37" i="11"/>
  <c r="B36" i="11"/>
  <c r="B35" i="11"/>
  <c r="C1" i="11"/>
  <c r="C55" i="11" s="1"/>
  <c r="O33" i="12"/>
  <c r="S33" i="12"/>
  <c r="X33" i="12"/>
  <c r="AB33" i="12"/>
  <c r="AF33" i="12"/>
  <c r="AK33" i="12"/>
  <c r="AO33" i="12"/>
  <c r="AT33" i="12"/>
  <c r="AX33" i="12"/>
  <c r="O34" i="12"/>
  <c r="S34" i="12"/>
  <c r="X34" i="12"/>
  <c r="AB34" i="12"/>
  <c r="AF34" i="12"/>
  <c r="AK34" i="12"/>
  <c r="AO34" i="12"/>
  <c r="AT34" i="12"/>
  <c r="AX34" i="12"/>
  <c r="O35" i="12"/>
  <c r="S35" i="12"/>
  <c r="X35" i="12"/>
  <c r="AB35" i="12"/>
  <c r="AF35" i="12"/>
  <c r="AK35" i="12"/>
  <c r="AO35" i="12"/>
  <c r="AT35" i="12"/>
  <c r="AX35" i="12"/>
  <c r="O36" i="12"/>
  <c r="S36" i="12"/>
  <c r="X36" i="12"/>
  <c r="AB36" i="12"/>
  <c r="AF36" i="12"/>
  <c r="AK36" i="12"/>
  <c r="AO36" i="12"/>
  <c r="AT36" i="12"/>
  <c r="AX36" i="12"/>
  <c r="O38" i="12"/>
  <c r="S38" i="12"/>
  <c r="X38" i="12"/>
  <c r="AB38" i="12"/>
  <c r="AF38" i="12"/>
  <c r="AK38" i="12"/>
  <c r="AO38" i="12"/>
  <c r="AT38" i="12"/>
  <c r="AX38" i="12"/>
  <c r="O39" i="12"/>
  <c r="S39" i="12"/>
  <c r="X39" i="12"/>
  <c r="AB39" i="12"/>
  <c r="AF39" i="12"/>
  <c r="AK39" i="12"/>
  <c r="AO39" i="12"/>
  <c r="AT39" i="12"/>
  <c r="AX39" i="12"/>
  <c r="O40" i="12"/>
  <c r="S40" i="12"/>
  <c r="X40" i="12"/>
  <c r="AB40" i="12"/>
  <c r="AF40" i="12"/>
  <c r="AK40" i="12"/>
  <c r="AO40" i="12"/>
  <c r="AT40" i="12"/>
  <c r="AX40" i="12"/>
  <c r="O41" i="12"/>
  <c r="S41" i="12"/>
  <c r="X41" i="12"/>
  <c r="AB41" i="12"/>
  <c r="AF41" i="12"/>
  <c r="AK41" i="12"/>
  <c r="AO41" i="12"/>
  <c r="AT41" i="12"/>
  <c r="AX41" i="12"/>
  <c r="O42" i="12"/>
  <c r="S42" i="12"/>
  <c r="X42" i="12"/>
  <c r="AB42" i="12"/>
  <c r="AF42" i="12"/>
  <c r="AK42" i="12"/>
  <c r="AO42" i="12"/>
  <c r="AT42" i="12"/>
  <c r="AX42" i="12"/>
  <c r="O43" i="12"/>
  <c r="S43" i="12"/>
  <c r="X43" i="12"/>
  <c r="AB43" i="12"/>
  <c r="AF43" i="12"/>
  <c r="AK43" i="12"/>
  <c r="AO43" i="12"/>
  <c r="AT43" i="12"/>
  <c r="AX43" i="12"/>
  <c r="O44" i="12"/>
  <c r="S44" i="12"/>
  <c r="X44" i="12"/>
  <c r="AB44" i="12"/>
  <c r="AF44" i="12"/>
  <c r="AK44" i="12"/>
  <c r="AO44" i="12"/>
  <c r="AT44" i="12"/>
  <c r="AX44" i="12"/>
  <c r="O46" i="12"/>
  <c r="S46" i="12"/>
  <c r="X46" i="12"/>
  <c r="AB46" i="12"/>
  <c r="AF46" i="12"/>
  <c r="AK46" i="12"/>
  <c r="AO46" i="12"/>
  <c r="AT46" i="12"/>
  <c r="AX46" i="12"/>
  <c r="O47" i="12"/>
  <c r="S47" i="12"/>
  <c r="X47" i="12"/>
  <c r="AB47" i="12"/>
  <c r="AF47" i="12"/>
  <c r="AK47" i="12"/>
  <c r="AO47" i="12"/>
  <c r="AT47" i="12"/>
  <c r="AX47" i="12"/>
  <c r="O48" i="12"/>
  <c r="S48" i="12"/>
  <c r="X48" i="12"/>
  <c r="AB48" i="12"/>
  <c r="AF48" i="12"/>
  <c r="AK48" i="12"/>
  <c r="AO48" i="12"/>
  <c r="AT48" i="12"/>
  <c r="AX48" i="12"/>
  <c r="O49" i="12"/>
  <c r="S49" i="12"/>
  <c r="X49" i="12"/>
  <c r="AB49" i="12"/>
  <c r="AF49" i="12"/>
  <c r="AK49" i="12"/>
  <c r="AO49" i="12"/>
  <c r="AT49" i="12"/>
  <c r="AX49" i="12"/>
  <c r="O50" i="12"/>
  <c r="S50" i="12"/>
  <c r="X50" i="12"/>
  <c r="AB50" i="12"/>
  <c r="AF50" i="12"/>
  <c r="AK50" i="12"/>
  <c r="AO50" i="12"/>
  <c r="AT50" i="12"/>
  <c r="AX50" i="12"/>
  <c r="K50" i="12"/>
  <c r="G50" i="12"/>
  <c r="B50" i="12"/>
  <c r="K49" i="12"/>
  <c r="G49" i="12"/>
  <c r="B49" i="12"/>
  <c r="K48" i="12"/>
  <c r="G48" i="12"/>
  <c r="B48" i="12"/>
  <c r="K47" i="12"/>
  <c r="G47" i="12"/>
  <c r="B47" i="12"/>
  <c r="K46" i="12"/>
  <c r="G46" i="12"/>
  <c r="B46" i="12"/>
  <c r="K44" i="12"/>
  <c r="G44" i="12"/>
  <c r="B44" i="12"/>
  <c r="K43" i="12"/>
  <c r="G43" i="12"/>
  <c r="B43" i="12"/>
  <c r="K42" i="12"/>
  <c r="G42" i="12"/>
  <c r="B42" i="12"/>
  <c r="K41" i="12"/>
  <c r="G41" i="12"/>
  <c r="B41" i="12"/>
  <c r="K40" i="12"/>
  <c r="G40" i="12"/>
  <c r="B40" i="12"/>
  <c r="K39" i="12"/>
  <c r="G39" i="12"/>
  <c r="B39" i="12"/>
  <c r="K38" i="12"/>
  <c r="G38" i="12"/>
  <c r="B38" i="12"/>
  <c r="K36" i="12"/>
  <c r="G36" i="12"/>
  <c r="B36" i="12"/>
  <c r="K35" i="12"/>
  <c r="G35" i="12"/>
  <c r="B35" i="12"/>
  <c r="K34" i="12"/>
  <c r="G34" i="12"/>
  <c r="B34" i="12"/>
  <c r="K33" i="12"/>
  <c r="G33" i="12"/>
  <c r="B33" i="12"/>
  <c r="AY1" i="12"/>
  <c r="AU1" i="12"/>
  <c r="AP1" i="12"/>
  <c r="AL1" i="12"/>
  <c r="AG1" i="12"/>
  <c r="AC1" i="12"/>
  <c r="Y1" i="12"/>
  <c r="T1" i="12"/>
  <c r="P1" i="12"/>
  <c r="L1" i="12"/>
  <c r="H1" i="12"/>
  <c r="C1" i="12"/>
  <c r="AY1" i="5"/>
  <c r="AZ1" i="5" s="1"/>
  <c r="BA1" i="5" s="1"/>
  <c r="AV1" i="5"/>
  <c r="AW1" i="5" s="1"/>
  <c r="AU1" i="5"/>
  <c r="AP1" i="5"/>
  <c r="AQ1" i="5" s="1"/>
  <c r="AR1" i="5" s="1"/>
  <c r="AS1" i="5" s="1"/>
  <c r="AL1" i="5"/>
  <c r="AM1" i="5" s="1"/>
  <c r="AN1" i="5" s="1"/>
  <c r="AH1" i="5"/>
  <c r="AI1" i="5" s="1"/>
  <c r="AJ1" i="5" s="1"/>
  <c r="AG1" i="5"/>
  <c r="AC1" i="5"/>
  <c r="AD1" i="5" s="1"/>
  <c r="AE1" i="5" s="1"/>
  <c r="Y1" i="5"/>
  <c r="Z1" i="5" s="1"/>
  <c r="AA1" i="5" s="1"/>
  <c r="T1" i="5"/>
  <c r="U1" i="5" s="1"/>
  <c r="V1" i="5" s="1"/>
  <c r="W1" i="5" s="1"/>
  <c r="P1" i="5"/>
  <c r="Q1" i="5" s="1"/>
  <c r="R1" i="5" s="1"/>
  <c r="L1" i="5"/>
  <c r="M1" i="5" s="1"/>
  <c r="N1" i="5" s="1"/>
  <c r="H1" i="5"/>
  <c r="I1" i="5" s="1"/>
  <c r="J1" i="5" s="1"/>
  <c r="D1" i="5"/>
  <c r="E1" i="5" s="1"/>
  <c r="F1" i="5" s="1"/>
  <c r="C1" i="5"/>
  <c r="C42" i="13" l="1"/>
  <c r="C32" i="13"/>
  <c r="D1" i="11"/>
  <c r="D1" i="12"/>
  <c r="D35" i="12" s="1"/>
  <c r="C32" i="12"/>
  <c r="I1" i="12"/>
  <c r="H32" i="12"/>
  <c r="L50" i="12"/>
  <c r="L32" i="12"/>
  <c r="L49" i="12"/>
  <c r="L47" i="12"/>
  <c r="L44" i="12"/>
  <c r="L42" i="12"/>
  <c r="L40" i="12"/>
  <c r="L38" i="12"/>
  <c r="L35" i="12"/>
  <c r="L33" i="12"/>
  <c r="Q1" i="12"/>
  <c r="P32" i="12"/>
  <c r="P33" i="12"/>
  <c r="P34" i="12"/>
  <c r="P35" i="12"/>
  <c r="P36" i="12"/>
  <c r="P38" i="12"/>
  <c r="P39" i="12"/>
  <c r="P40" i="12"/>
  <c r="P41" i="12"/>
  <c r="P42" i="12"/>
  <c r="P43" i="12"/>
  <c r="P44" i="12"/>
  <c r="P46" i="12"/>
  <c r="P47" i="12"/>
  <c r="P48" i="12"/>
  <c r="P49" i="12"/>
  <c r="P50" i="12"/>
  <c r="U1" i="12"/>
  <c r="T32" i="12"/>
  <c r="T33" i="12"/>
  <c r="T34" i="12"/>
  <c r="T35" i="12"/>
  <c r="T36" i="12"/>
  <c r="T38" i="12"/>
  <c r="T39" i="12"/>
  <c r="T40" i="12"/>
  <c r="T41" i="12"/>
  <c r="T42" i="12"/>
  <c r="T43" i="12"/>
  <c r="T44" i="12"/>
  <c r="T46" i="12"/>
  <c r="T47" i="12"/>
  <c r="T48" i="12"/>
  <c r="T49" i="12"/>
  <c r="T50" i="12"/>
  <c r="Z1" i="12"/>
  <c r="Y32" i="12"/>
  <c r="Y33" i="12"/>
  <c r="Y34" i="12"/>
  <c r="Y35" i="12"/>
  <c r="Y36" i="12"/>
  <c r="Y38" i="12"/>
  <c r="Y39" i="12"/>
  <c r="Y40" i="12"/>
  <c r="Y41" i="12"/>
  <c r="Y42" i="12"/>
  <c r="Y43" i="12"/>
  <c r="Y44" i="12"/>
  <c r="Y46" i="12"/>
  <c r="Y47" i="12"/>
  <c r="Y48" i="12"/>
  <c r="Y49" i="12"/>
  <c r="Y50" i="12"/>
  <c r="AD1" i="12"/>
  <c r="AC32" i="12"/>
  <c r="AC33" i="12"/>
  <c r="AC34" i="12"/>
  <c r="AC35" i="12"/>
  <c r="AC36" i="12"/>
  <c r="AC38" i="12"/>
  <c r="AC39" i="12"/>
  <c r="AC40" i="12"/>
  <c r="AC41" i="12"/>
  <c r="AC42" i="12"/>
  <c r="AC43" i="12"/>
  <c r="AC44" i="12"/>
  <c r="AC46" i="12"/>
  <c r="AC47" i="12"/>
  <c r="AC48" i="12"/>
  <c r="AC49" i="12"/>
  <c r="AC50" i="12"/>
  <c r="AH1" i="12"/>
  <c r="AG32" i="12"/>
  <c r="AG33" i="12"/>
  <c r="AG34" i="12"/>
  <c r="AG35" i="12"/>
  <c r="AG36" i="12"/>
  <c r="AG38" i="12"/>
  <c r="AG39" i="12"/>
  <c r="AG40" i="12"/>
  <c r="AG41" i="12"/>
  <c r="AG42" i="12"/>
  <c r="AG43" i="12"/>
  <c r="AG44" i="12"/>
  <c r="AG46" i="12"/>
  <c r="AG47" i="12"/>
  <c r="AG48" i="12"/>
  <c r="AG49" i="12"/>
  <c r="AG50" i="12"/>
  <c r="AM1" i="12"/>
  <c r="AL32" i="12"/>
  <c r="AL33" i="12"/>
  <c r="AL34" i="12"/>
  <c r="AL35" i="12"/>
  <c r="AL36" i="12"/>
  <c r="AL38" i="12"/>
  <c r="AL39" i="12"/>
  <c r="AL40" i="12"/>
  <c r="AL41" i="12"/>
  <c r="AL42" i="12"/>
  <c r="AL43" i="12"/>
  <c r="AL44" i="12"/>
  <c r="AL46" i="12"/>
  <c r="AL47" i="12"/>
  <c r="AL48" i="12"/>
  <c r="AL49" i="12"/>
  <c r="AL50" i="12"/>
  <c r="AQ1" i="12"/>
  <c r="AP32" i="12"/>
  <c r="AP33" i="12"/>
  <c r="AP34" i="12"/>
  <c r="AP35" i="12"/>
  <c r="AP36" i="12"/>
  <c r="AP38" i="12"/>
  <c r="AP39" i="12"/>
  <c r="AP40" i="12"/>
  <c r="AP41" i="12"/>
  <c r="AP42" i="12"/>
  <c r="AP43" i="12"/>
  <c r="AP44" i="12"/>
  <c r="AP46" i="12"/>
  <c r="AP47" i="12"/>
  <c r="AP48" i="12"/>
  <c r="AP49" i="12"/>
  <c r="AP50" i="12"/>
  <c r="AV1" i="12"/>
  <c r="AU32" i="12"/>
  <c r="AU33" i="12"/>
  <c r="AU34" i="12"/>
  <c r="AU35" i="12"/>
  <c r="AU36" i="12"/>
  <c r="AU38" i="12"/>
  <c r="AU39" i="12"/>
  <c r="AU40" i="12"/>
  <c r="AU41" i="12"/>
  <c r="AU42" i="12"/>
  <c r="AU43" i="12"/>
  <c r="AU44" i="12"/>
  <c r="AU46" i="12"/>
  <c r="AU47" i="12"/>
  <c r="AU48" i="12"/>
  <c r="AU49" i="12"/>
  <c r="AU50" i="12"/>
  <c r="AZ1" i="12"/>
  <c r="AY32" i="12"/>
  <c r="AY33" i="12"/>
  <c r="AY34" i="12"/>
  <c r="AY35" i="12"/>
  <c r="AY36" i="12"/>
  <c r="AY38" i="12"/>
  <c r="AY39" i="12"/>
  <c r="AY40" i="12"/>
  <c r="AY41" i="12"/>
  <c r="AY42" i="12"/>
  <c r="AY43" i="12"/>
  <c r="AY44" i="12"/>
  <c r="AY46" i="12"/>
  <c r="AY47" i="12"/>
  <c r="AY48" i="12"/>
  <c r="AY49" i="12"/>
  <c r="AY50" i="12"/>
  <c r="Q38" i="3"/>
  <c r="S38" i="3" s="1"/>
  <c r="K19" i="3"/>
  <c r="M19" i="3" s="1"/>
  <c r="C50" i="14"/>
  <c r="C48" i="14"/>
  <c r="C46" i="14"/>
  <c r="C43" i="14"/>
  <c r="C41" i="14"/>
  <c r="C39" i="14"/>
  <c r="C36" i="14"/>
  <c r="C49" i="14"/>
  <c r="C47" i="14"/>
  <c r="C44" i="14"/>
  <c r="C42" i="14"/>
  <c r="C40" i="14"/>
  <c r="C38" i="14"/>
  <c r="C34" i="14"/>
  <c r="C35" i="14"/>
  <c r="K35" i="3"/>
  <c r="M35" i="3" s="1"/>
  <c r="K36" i="3"/>
  <c r="M36" i="3" s="1"/>
  <c r="K37" i="3"/>
  <c r="M37" i="3" s="1"/>
  <c r="K25" i="3"/>
  <c r="M25" i="3" s="1"/>
  <c r="K26" i="3"/>
  <c r="M26" i="3" s="1"/>
  <c r="K27" i="3"/>
  <c r="M27" i="3" s="1"/>
  <c r="K29" i="3"/>
  <c r="M29" i="3" s="1"/>
  <c r="K15" i="3"/>
  <c r="M15" i="3" s="1"/>
  <c r="K16" i="3"/>
  <c r="M16" i="3" s="1"/>
  <c r="K17" i="3"/>
  <c r="M17" i="3" s="1"/>
  <c r="K9" i="3"/>
  <c r="M9" i="3" s="1"/>
  <c r="K5" i="3"/>
  <c r="M5" i="3" s="1"/>
  <c r="K7" i="3"/>
  <c r="M7" i="3" s="1"/>
  <c r="K6" i="3"/>
  <c r="M6" i="3" s="1"/>
  <c r="K4" i="3"/>
  <c r="K14" i="3"/>
  <c r="K24" i="3"/>
  <c r="K34" i="3"/>
  <c r="K38" i="3"/>
  <c r="M38" i="3" s="1"/>
  <c r="W36" i="3"/>
  <c r="Y36" i="3" s="1"/>
  <c r="W34" i="3"/>
  <c r="Y34" i="3" s="1"/>
  <c r="E35" i="3"/>
  <c r="G35" i="3" s="1"/>
  <c r="E38" i="3"/>
  <c r="G38" i="3" s="1"/>
  <c r="E39" i="3"/>
  <c r="G39" i="3" s="1"/>
  <c r="E34" i="3"/>
  <c r="G34" i="3" s="1"/>
  <c r="E36" i="3"/>
  <c r="G36" i="3" s="1"/>
  <c r="S34" i="3"/>
  <c r="Q37" i="3"/>
  <c r="S37" i="3" s="1"/>
  <c r="Q36" i="3"/>
  <c r="S36" i="3" s="1"/>
  <c r="W37" i="3"/>
  <c r="Y37" i="3" s="1"/>
  <c r="Q35" i="3"/>
  <c r="S35" i="3" s="1"/>
  <c r="C33" i="13"/>
  <c r="C47" i="13"/>
  <c r="C35" i="13"/>
  <c r="C50" i="13"/>
  <c r="C48" i="13"/>
  <c r="C46" i="13"/>
  <c r="C43" i="13"/>
  <c r="C41" i="13"/>
  <c r="C39" i="13"/>
  <c r="C36" i="13"/>
  <c r="C34" i="13"/>
  <c r="C49" i="13"/>
  <c r="D1" i="13"/>
  <c r="C38" i="13"/>
  <c r="C35" i="11"/>
  <c r="C37" i="11"/>
  <c r="C40" i="11"/>
  <c r="C43" i="11"/>
  <c r="C45" i="11"/>
  <c r="C48" i="11"/>
  <c r="C51" i="11"/>
  <c r="C54" i="11"/>
  <c r="D35" i="11"/>
  <c r="D37" i="11"/>
  <c r="D40" i="11"/>
  <c r="D43" i="11"/>
  <c r="D45" i="11"/>
  <c r="D48" i="11"/>
  <c r="D51" i="11"/>
  <c r="D54" i="11"/>
  <c r="C36" i="11"/>
  <c r="C39" i="11"/>
  <c r="C41" i="11"/>
  <c r="C44" i="11"/>
  <c r="C47" i="11"/>
  <c r="C49" i="11"/>
  <c r="C53" i="11"/>
  <c r="D44" i="11"/>
  <c r="D47" i="11"/>
  <c r="D49" i="11"/>
  <c r="D53" i="11"/>
  <c r="C33" i="12"/>
  <c r="C35" i="12"/>
  <c r="C38" i="12"/>
  <c r="C40" i="12"/>
  <c r="C42" i="12"/>
  <c r="C44" i="12"/>
  <c r="C47" i="12"/>
  <c r="C49" i="12"/>
  <c r="D33" i="12"/>
  <c r="H34" i="12"/>
  <c r="H36" i="12"/>
  <c r="D38" i="12"/>
  <c r="H39" i="12"/>
  <c r="D40" i="12"/>
  <c r="H41" i="12"/>
  <c r="D42" i="12"/>
  <c r="H43" i="12"/>
  <c r="D44" i="12"/>
  <c r="H46" i="12"/>
  <c r="D47" i="12"/>
  <c r="H48" i="12"/>
  <c r="D49" i="12"/>
  <c r="H50" i="12"/>
  <c r="I34" i="12"/>
  <c r="I36" i="12"/>
  <c r="I39" i="12"/>
  <c r="I41" i="12"/>
  <c r="I43" i="12"/>
  <c r="I46" i="12"/>
  <c r="I48" i="12"/>
  <c r="I50" i="12"/>
  <c r="C34" i="12"/>
  <c r="C36" i="12"/>
  <c r="C39" i="12"/>
  <c r="C41" i="12"/>
  <c r="C43" i="12"/>
  <c r="C46" i="12"/>
  <c r="C48" i="12"/>
  <c r="C50" i="12"/>
  <c r="M1" i="12"/>
  <c r="M32" i="12" s="1"/>
  <c r="H33" i="12"/>
  <c r="D34" i="12"/>
  <c r="L34" i="12"/>
  <c r="H35" i="12"/>
  <c r="D36" i="12"/>
  <c r="L36" i="12"/>
  <c r="H38" i="12"/>
  <c r="D39" i="12"/>
  <c r="L39" i="12"/>
  <c r="H40" i="12"/>
  <c r="D41" i="12"/>
  <c r="L41" i="12"/>
  <c r="H42" i="12"/>
  <c r="D43" i="12"/>
  <c r="L43" i="12"/>
  <c r="H44" i="12"/>
  <c r="D46" i="12"/>
  <c r="L46" i="12"/>
  <c r="H47" i="12"/>
  <c r="D48" i="12"/>
  <c r="L48" i="12"/>
  <c r="H49" i="12"/>
  <c r="D50" i="12"/>
  <c r="I33" i="12"/>
  <c r="I35" i="12"/>
  <c r="I38" i="12"/>
  <c r="I40" i="12"/>
  <c r="I42" i="12"/>
  <c r="I44" i="12"/>
  <c r="I47" i="12"/>
  <c r="I49" i="12"/>
  <c r="D32" i="13" l="1"/>
  <c r="E1" i="13"/>
  <c r="D55" i="11"/>
  <c r="D36" i="11"/>
  <c r="D39" i="11"/>
  <c r="D41" i="11"/>
  <c r="E1" i="11"/>
  <c r="F1" i="11" s="1"/>
  <c r="G1" i="11" s="1"/>
  <c r="BA1" i="12"/>
  <c r="AZ32" i="12"/>
  <c r="AZ33" i="12"/>
  <c r="AZ34" i="12"/>
  <c r="AZ35" i="12"/>
  <c r="AZ36" i="12"/>
  <c r="AZ38" i="12"/>
  <c r="AZ39" i="12"/>
  <c r="AZ40" i="12"/>
  <c r="AZ41" i="12"/>
  <c r="AZ42" i="12"/>
  <c r="AZ43" i="12"/>
  <c r="AZ44" i="12"/>
  <c r="AZ46" i="12"/>
  <c r="AZ47" i="12"/>
  <c r="AZ48" i="12"/>
  <c r="AZ49" i="12"/>
  <c r="AZ50" i="12"/>
  <c r="AW1" i="12"/>
  <c r="AV32" i="12"/>
  <c r="AV33" i="12"/>
  <c r="AV34" i="12"/>
  <c r="AV35" i="12"/>
  <c r="AV36" i="12"/>
  <c r="AV38" i="12"/>
  <c r="AV39" i="12"/>
  <c r="AV40" i="12"/>
  <c r="AV41" i="12"/>
  <c r="AV42" i="12"/>
  <c r="AV43" i="12"/>
  <c r="AV44" i="12"/>
  <c r="AV46" i="12"/>
  <c r="AV47" i="12"/>
  <c r="AV48" i="12"/>
  <c r="AV49" i="12"/>
  <c r="AV50" i="12"/>
  <c r="AR1" i="12"/>
  <c r="AQ32" i="12"/>
  <c r="AQ33" i="12"/>
  <c r="AQ34" i="12"/>
  <c r="AQ35" i="12"/>
  <c r="AQ36" i="12"/>
  <c r="AQ38" i="12"/>
  <c r="AQ39" i="12"/>
  <c r="AQ40" i="12"/>
  <c r="AQ41" i="12"/>
  <c r="AQ42" i="12"/>
  <c r="AQ43" i="12"/>
  <c r="AQ44" i="12"/>
  <c r="AQ46" i="12"/>
  <c r="AQ47" i="12"/>
  <c r="AQ48" i="12"/>
  <c r="AQ49" i="12"/>
  <c r="AQ50" i="12"/>
  <c r="AN1" i="12"/>
  <c r="AM32" i="12"/>
  <c r="AM33" i="12"/>
  <c r="AM34" i="12"/>
  <c r="AM35" i="12"/>
  <c r="AM36" i="12"/>
  <c r="AM38" i="12"/>
  <c r="AM39" i="12"/>
  <c r="AM40" i="12"/>
  <c r="AM41" i="12"/>
  <c r="AM42" i="12"/>
  <c r="AM43" i="12"/>
  <c r="AM44" i="12"/>
  <c r="AM46" i="12"/>
  <c r="AM47" i="12"/>
  <c r="AM48" i="12"/>
  <c r="AM49" i="12"/>
  <c r="AM50" i="12"/>
  <c r="AI1" i="12"/>
  <c r="AH32" i="12"/>
  <c r="AH33" i="12"/>
  <c r="AH34" i="12"/>
  <c r="AH35" i="12"/>
  <c r="AH36" i="12"/>
  <c r="AH38" i="12"/>
  <c r="AH39" i="12"/>
  <c r="AH40" i="12"/>
  <c r="AH41" i="12"/>
  <c r="AH42" i="12"/>
  <c r="AH43" i="12"/>
  <c r="AH44" i="12"/>
  <c r="AH46" i="12"/>
  <c r="AH47" i="12"/>
  <c r="AH48" i="12"/>
  <c r="AH49" i="12"/>
  <c r="AH50" i="12"/>
  <c r="AE1" i="12"/>
  <c r="AD32" i="12"/>
  <c r="AD33" i="12"/>
  <c r="AD34" i="12"/>
  <c r="AD35" i="12"/>
  <c r="AD36" i="12"/>
  <c r="AD38" i="12"/>
  <c r="AD39" i="12"/>
  <c r="AD40" i="12"/>
  <c r="AD41" i="12"/>
  <c r="AD42" i="12"/>
  <c r="AD43" i="12"/>
  <c r="AD44" i="12"/>
  <c r="AD46" i="12"/>
  <c r="AD47" i="12"/>
  <c r="AD48" i="12"/>
  <c r="AD49" i="12"/>
  <c r="AD50" i="12"/>
  <c r="AA1" i="12"/>
  <c r="Z32" i="12"/>
  <c r="Z33" i="12"/>
  <c r="Z34" i="12"/>
  <c r="Z35" i="12"/>
  <c r="Z36" i="12"/>
  <c r="Z38" i="12"/>
  <c r="Z39" i="12"/>
  <c r="Z40" i="12"/>
  <c r="Z41" i="12"/>
  <c r="Z42" i="12"/>
  <c r="Z43" i="12"/>
  <c r="Z44" i="12"/>
  <c r="Z46" i="12"/>
  <c r="Z47" i="12"/>
  <c r="Z48" i="12"/>
  <c r="Z49" i="12"/>
  <c r="Z50" i="12"/>
  <c r="V1" i="12"/>
  <c r="U32" i="12"/>
  <c r="U33" i="12"/>
  <c r="U34" i="12"/>
  <c r="U35" i="12"/>
  <c r="U36" i="12"/>
  <c r="U38" i="12"/>
  <c r="U39" i="12"/>
  <c r="U40" i="12"/>
  <c r="U41" i="12"/>
  <c r="U42" i="12"/>
  <c r="U43" i="12"/>
  <c r="U44" i="12"/>
  <c r="U46" i="12"/>
  <c r="U47" i="12"/>
  <c r="U48" i="12"/>
  <c r="U49" i="12"/>
  <c r="U50" i="12"/>
  <c r="R1" i="12"/>
  <c r="Q32" i="12"/>
  <c r="Q33" i="12"/>
  <c r="Q34" i="12"/>
  <c r="Q35" i="12"/>
  <c r="Q36" i="12"/>
  <c r="Q38" i="12"/>
  <c r="Q39" i="12"/>
  <c r="Q40" i="12"/>
  <c r="Q41" i="12"/>
  <c r="Q42" i="12"/>
  <c r="Q43" i="12"/>
  <c r="Q44" i="12"/>
  <c r="Q46" i="12"/>
  <c r="Q47" i="12"/>
  <c r="Q48" i="12"/>
  <c r="Q49" i="12"/>
  <c r="Q50" i="12"/>
  <c r="J1" i="12"/>
  <c r="I32" i="12"/>
  <c r="E1" i="12"/>
  <c r="D32" i="12"/>
  <c r="Y38" i="3"/>
  <c r="D50" i="14"/>
  <c r="D48" i="14"/>
  <c r="D46" i="14"/>
  <c r="D43" i="14"/>
  <c r="D41" i="14"/>
  <c r="D39" i="14"/>
  <c r="D36" i="14"/>
  <c r="D49" i="14"/>
  <c r="D47" i="14"/>
  <c r="D44" i="14"/>
  <c r="D42" i="14"/>
  <c r="D40" i="14"/>
  <c r="D38" i="14"/>
  <c r="D34" i="14"/>
  <c r="D33" i="14"/>
  <c r="D35" i="14"/>
  <c r="K40" i="3"/>
  <c r="M34" i="3"/>
  <c r="M40" i="3" s="1"/>
  <c r="M4" i="3"/>
  <c r="M10" i="3" s="1"/>
  <c r="K10" i="3"/>
  <c r="G40" i="3"/>
  <c r="M24" i="3"/>
  <c r="M30" i="3" s="1"/>
  <c r="K30" i="3"/>
  <c r="M14" i="3"/>
  <c r="M20" i="3" s="1"/>
  <c r="K20" i="3"/>
  <c r="E40" i="3"/>
  <c r="S39" i="3"/>
  <c r="Q39" i="3"/>
  <c r="W38" i="3"/>
  <c r="D50" i="13"/>
  <c r="D48" i="13"/>
  <c r="D46" i="13"/>
  <c r="D43" i="13"/>
  <c r="D41" i="13"/>
  <c r="D39" i="13"/>
  <c r="D36" i="13"/>
  <c r="D34" i="13"/>
  <c r="D49" i="13"/>
  <c r="D44" i="13"/>
  <c r="D42" i="13"/>
  <c r="D35" i="13"/>
  <c r="D47" i="13"/>
  <c r="D33" i="13"/>
  <c r="D40" i="13"/>
  <c r="D38" i="13"/>
  <c r="E49" i="11"/>
  <c r="E44" i="11"/>
  <c r="E41" i="11"/>
  <c r="E39" i="11"/>
  <c r="E36" i="11"/>
  <c r="E35" i="11"/>
  <c r="E54" i="11"/>
  <c r="E40" i="11"/>
  <c r="N1" i="12"/>
  <c r="M50" i="12"/>
  <c r="M48" i="12"/>
  <c r="M46" i="12"/>
  <c r="M43" i="12"/>
  <c r="M41" i="12"/>
  <c r="M39" i="12"/>
  <c r="M36" i="12"/>
  <c r="M34" i="12"/>
  <c r="M49" i="12"/>
  <c r="M47" i="12"/>
  <c r="M44" i="12"/>
  <c r="M42" i="12"/>
  <c r="M40" i="12"/>
  <c r="M38" i="12"/>
  <c r="M35" i="12"/>
  <c r="M33" i="12"/>
  <c r="G35" i="11" l="1"/>
  <c r="G45" i="11"/>
  <c r="G55" i="11"/>
  <c r="H1" i="11"/>
  <c r="G54" i="11"/>
  <c r="G37" i="11"/>
  <c r="G36" i="11"/>
  <c r="G44" i="11"/>
  <c r="G49" i="11"/>
  <c r="G47" i="11"/>
  <c r="G41" i="11"/>
  <c r="G51" i="11"/>
  <c r="G48" i="11"/>
  <c r="G40" i="11"/>
  <c r="G39" i="11"/>
  <c r="G53" i="11"/>
  <c r="G43" i="11"/>
  <c r="E37" i="11"/>
  <c r="E47" i="11"/>
  <c r="E53" i="11"/>
  <c r="E45" i="11"/>
  <c r="AA39" i="12"/>
  <c r="AA40" i="12"/>
  <c r="AA41" i="12"/>
  <c r="AA42" i="12"/>
  <c r="AA43" i="12"/>
  <c r="AA44" i="12"/>
  <c r="E43" i="11"/>
  <c r="E55" i="11"/>
  <c r="E48" i="11"/>
  <c r="F1" i="13"/>
  <c r="E32" i="13"/>
  <c r="E51" i="11"/>
  <c r="N32" i="12"/>
  <c r="N33" i="12"/>
  <c r="N34" i="12"/>
  <c r="N35" i="12"/>
  <c r="N36" i="12"/>
  <c r="N38" i="12"/>
  <c r="N39" i="12"/>
  <c r="N40" i="12"/>
  <c r="N41" i="12"/>
  <c r="N42" i="12"/>
  <c r="N43" i="12"/>
  <c r="N44" i="12"/>
  <c r="N46" i="12"/>
  <c r="N47" i="12"/>
  <c r="N48" i="12"/>
  <c r="N49" i="12"/>
  <c r="N50" i="12"/>
  <c r="F1" i="12"/>
  <c r="E32" i="12"/>
  <c r="E33" i="12"/>
  <c r="E35" i="12"/>
  <c r="E38" i="12"/>
  <c r="E40" i="12"/>
  <c r="E42" i="12"/>
  <c r="E44" i="12"/>
  <c r="E47" i="12"/>
  <c r="E49" i="12"/>
  <c r="E34" i="12"/>
  <c r="E36" i="12"/>
  <c r="E39" i="12"/>
  <c r="E41" i="12"/>
  <c r="E43" i="12"/>
  <c r="E46" i="12"/>
  <c r="E48" i="12"/>
  <c r="E50" i="12"/>
  <c r="J50" i="12"/>
  <c r="J32" i="12"/>
  <c r="J33" i="12"/>
  <c r="J35" i="12"/>
  <c r="J38" i="12"/>
  <c r="J40" i="12"/>
  <c r="J42" i="12"/>
  <c r="J44" i="12"/>
  <c r="J47" i="12"/>
  <c r="J49" i="12"/>
  <c r="J34" i="12"/>
  <c r="J36" i="12"/>
  <c r="J39" i="12"/>
  <c r="J41" i="12"/>
  <c r="J43" i="12"/>
  <c r="J46" i="12"/>
  <c r="J48" i="12"/>
  <c r="R32" i="12"/>
  <c r="R33" i="12"/>
  <c r="R34" i="12"/>
  <c r="R35" i="12"/>
  <c r="R36" i="12"/>
  <c r="R38" i="12"/>
  <c r="R39" i="12"/>
  <c r="R40" i="12"/>
  <c r="R41" i="12"/>
  <c r="R42" i="12"/>
  <c r="R43" i="12"/>
  <c r="R44" i="12"/>
  <c r="R46" i="12"/>
  <c r="R47" i="12"/>
  <c r="R48" i="12"/>
  <c r="R49" i="12"/>
  <c r="R50" i="12"/>
  <c r="W1" i="12"/>
  <c r="V32" i="12"/>
  <c r="V33" i="12"/>
  <c r="V34" i="12"/>
  <c r="V35" i="12"/>
  <c r="V36" i="12"/>
  <c r="V38" i="12"/>
  <c r="V39" i="12"/>
  <c r="V40" i="12"/>
  <c r="V41" i="12"/>
  <c r="V42" i="12"/>
  <c r="V43" i="12"/>
  <c r="V44" i="12"/>
  <c r="V46" i="12"/>
  <c r="V47" i="12"/>
  <c r="V48" i="12"/>
  <c r="V49" i="12"/>
  <c r="V50" i="12"/>
  <c r="AA32" i="12"/>
  <c r="AA33" i="12"/>
  <c r="AA34" i="12"/>
  <c r="AA35" i="12"/>
  <c r="AA36" i="12"/>
  <c r="AA38" i="12"/>
  <c r="AA46" i="12"/>
  <c r="AA47" i="12"/>
  <c r="AA48" i="12"/>
  <c r="AA49" i="12"/>
  <c r="AA50" i="12"/>
  <c r="AE32" i="12"/>
  <c r="AE33" i="12"/>
  <c r="AE34" i="12"/>
  <c r="AE35" i="12"/>
  <c r="AE36" i="12"/>
  <c r="AE38" i="12"/>
  <c r="AE39" i="12"/>
  <c r="AE40" i="12"/>
  <c r="AE41" i="12"/>
  <c r="AE42" i="12"/>
  <c r="AE43" i="12"/>
  <c r="AE44" i="12"/>
  <c r="AE46" i="12"/>
  <c r="AE47" i="12"/>
  <c r="AE48" i="12"/>
  <c r="AE49" i="12"/>
  <c r="AE50" i="12"/>
  <c r="AJ1" i="12"/>
  <c r="AI32" i="12"/>
  <c r="AI33" i="12"/>
  <c r="AI34" i="12"/>
  <c r="AI35" i="12"/>
  <c r="AI36" i="12"/>
  <c r="AI38" i="12"/>
  <c r="AI39" i="12"/>
  <c r="AI40" i="12"/>
  <c r="AI41" i="12"/>
  <c r="AI42" i="12"/>
  <c r="AI43" i="12"/>
  <c r="AI44" i="12"/>
  <c r="AI46" i="12"/>
  <c r="AI47" i="12"/>
  <c r="AI48" i="12"/>
  <c r="AI49" i="12"/>
  <c r="AI50" i="12"/>
  <c r="AN32" i="12"/>
  <c r="AN33" i="12"/>
  <c r="AN34" i="12"/>
  <c r="AN35" i="12"/>
  <c r="AN36" i="12"/>
  <c r="AN38" i="12"/>
  <c r="AN39" i="12"/>
  <c r="AN40" i="12"/>
  <c r="AN41" i="12"/>
  <c r="AN42" i="12"/>
  <c r="AN43" i="12"/>
  <c r="AN44" i="12"/>
  <c r="AN46" i="12"/>
  <c r="AN47" i="12"/>
  <c r="AN48" i="12"/>
  <c r="AN49" i="12"/>
  <c r="AN50" i="12"/>
  <c r="AS1" i="12"/>
  <c r="AR32" i="12"/>
  <c r="AR33" i="12"/>
  <c r="AR34" i="12"/>
  <c r="AR35" i="12"/>
  <c r="AR36" i="12"/>
  <c r="AR38" i="12"/>
  <c r="AR39" i="12"/>
  <c r="AR40" i="12"/>
  <c r="AR41" i="12"/>
  <c r="AR42" i="12"/>
  <c r="AR43" i="12"/>
  <c r="AR44" i="12"/>
  <c r="AR46" i="12"/>
  <c r="AR47" i="12"/>
  <c r="AR48" i="12"/>
  <c r="AR49" i="12"/>
  <c r="AR50" i="12"/>
  <c r="AW32" i="12"/>
  <c r="AW33" i="12"/>
  <c r="AW34" i="12"/>
  <c r="AW35" i="12"/>
  <c r="AW36" i="12"/>
  <c r="AW38" i="12"/>
  <c r="AW39" i="12"/>
  <c r="AW40" i="12"/>
  <c r="AW41" i="12"/>
  <c r="AW42" i="12"/>
  <c r="AW43" i="12"/>
  <c r="AW44" i="12"/>
  <c r="AW46" i="12"/>
  <c r="AW47" i="12"/>
  <c r="AW48" i="12"/>
  <c r="AW49" i="12"/>
  <c r="AW50" i="12"/>
  <c r="BA32" i="12"/>
  <c r="BA33" i="12"/>
  <c r="BA34" i="12"/>
  <c r="BA35" i="12"/>
  <c r="BA36" i="12"/>
  <c r="BA38" i="12"/>
  <c r="BA39" i="12"/>
  <c r="BA40" i="12"/>
  <c r="BA41" i="12"/>
  <c r="BA42" i="12"/>
  <c r="BA43" i="12"/>
  <c r="BA44" i="12"/>
  <c r="BA46" i="12"/>
  <c r="BA47" i="12"/>
  <c r="BA48" i="12"/>
  <c r="BA49" i="12"/>
  <c r="BA50" i="12"/>
  <c r="E50" i="14"/>
  <c r="E48" i="14"/>
  <c r="E46" i="14"/>
  <c r="E43" i="14"/>
  <c r="E41" i="14"/>
  <c r="E39" i="14"/>
  <c r="E36" i="14"/>
  <c r="E49" i="14"/>
  <c r="E47" i="14"/>
  <c r="E44" i="14"/>
  <c r="E42" i="14"/>
  <c r="E40" i="14"/>
  <c r="E38" i="14"/>
  <c r="E34" i="14"/>
  <c r="E33" i="14"/>
  <c r="E35" i="14"/>
  <c r="E50" i="13"/>
  <c r="E48" i="13"/>
  <c r="E46" i="13"/>
  <c r="E43" i="13"/>
  <c r="E41" i="13"/>
  <c r="E39" i="13"/>
  <c r="E36" i="13"/>
  <c r="E34" i="13"/>
  <c r="E49" i="13"/>
  <c r="E47" i="13"/>
  <c r="E44" i="13"/>
  <c r="E42" i="13"/>
  <c r="E40" i="13"/>
  <c r="E38" i="13"/>
  <c r="E35" i="13"/>
  <c r="E33" i="13"/>
  <c r="F54" i="11"/>
  <c r="F51" i="11"/>
  <c r="F48" i="11"/>
  <c r="F45" i="11"/>
  <c r="F43" i="11"/>
  <c r="F40" i="11"/>
  <c r="F37" i="11"/>
  <c r="F35" i="11"/>
  <c r="F55" i="11"/>
  <c r="F53" i="11"/>
  <c r="F49" i="11"/>
  <c r="F47" i="11"/>
  <c r="F44" i="11"/>
  <c r="F41" i="11"/>
  <c r="F39" i="11"/>
  <c r="F36" i="11"/>
  <c r="H39" i="11" l="1"/>
  <c r="H55" i="11"/>
  <c r="H53" i="11"/>
  <c r="H45" i="11"/>
  <c r="H41" i="11"/>
  <c r="H35" i="11"/>
  <c r="H43" i="11"/>
  <c r="H48" i="11"/>
  <c r="H49" i="11"/>
  <c r="H37" i="11"/>
  <c r="H44" i="11"/>
  <c r="H51" i="11"/>
  <c r="H36" i="11"/>
  <c r="H47" i="11"/>
  <c r="H40" i="11"/>
  <c r="I1" i="11"/>
  <c r="H54" i="11"/>
  <c r="G1" i="13"/>
  <c r="F32" i="13"/>
  <c r="AS32" i="12"/>
  <c r="AS33" i="12"/>
  <c r="AS34" i="12"/>
  <c r="AS35" i="12"/>
  <c r="AS36" i="12"/>
  <c r="AS38" i="12"/>
  <c r="AS39" i="12"/>
  <c r="AS40" i="12"/>
  <c r="AS41" i="12"/>
  <c r="AS42" i="12"/>
  <c r="AS43" i="12"/>
  <c r="AS44" i="12"/>
  <c r="AS46" i="12"/>
  <c r="AS47" i="12"/>
  <c r="AS48" i="12"/>
  <c r="AS49" i="12"/>
  <c r="AS50" i="12"/>
  <c r="AJ32" i="12"/>
  <c r="AJ33" i="12"/>
  <c r="AJ34" i="12"/>
  <c r="AJ35" i="12"/>
  <c r="AJ36" i="12"/>
  <c r="AJ38" i="12"/>
  <c r="AJ39" i="12"/>
  <c r="AJ40" i="12"/>
  <c r="AJ41" i="12"/>
  <c r="AJ42" i="12"/>
  <c r="AJ43" i="12"/>
  <c r="AJ44" i="12"/>
  <c r="AJ46" i="12"/>
  <c r="AJ47" i="12"/>
  <c r="AJ48" i="12"/>
  <c r="AJ49" i="12"/>
  <c r="AJ50" i="12"/>
  <c r="W32" i="12"/>
  <c r="W33" i="12"/>
  <c r="W34" i="12"/>
  <c r="W35" i="12"/>
  <c r="W36" i="12"/>
  <c r="W38" i="12"/>
  <c r="W39" i="12"/>
  <c r="W40" i="12"/>
  <c r="W41" i="12"/>
  <c r="W42" i="12"/>
  <c r="W43" i="12"/>
  <c r="W44" i="12"/>
  <c r="W46" i="12"/>
  <c r="W47" i="12"/>
  <c r="W48" i="12"/>
  <c r="W49" i="12"/>
  <c r="W50" i="12"/>
  <c r="F49" i="12"/>
  <c r="F32" i="12"/>
  <c r="F34" i="12"/>
  <c r="F36" i="12"/>
  <c r="F39" i="12"/>
  <c r="F41" i="12"/>
  <c r="F43" i="12"/>
  <c r="F46" i="12"/>
  <c r="F48" i="12"/>
  <c r="F50" i="12"/>
  <c r="F33" i="12"/>
  <c r="F35" i="12"/>
  <c r="F38" i="12"/>
  <c r="F40" i="12"/>
  <c r="F42" i="12"/>
  <c r="F44" i="12"/>
  <c r="F47" i="12"/>
  <c r="F49" i="14"/>
  <c r="F47" i="14"/>
  <c r="F44" i="14"/>
  <c r="F42" i="14"/>
  <c r="F40" i="14"/>
  <c r="F38" i="14"/>
  <c r="F35" i="14"/>
  <c r="F50" i="14"/>
  <c r="F48" i="14"/>
  <c r="F46" i="14"/>
  <c r="F43" i="14"/>
  <c r="F41" i="14"/>
  <c r="F39" i="14"/>
  <c r="F36" i="14"/>
  <c r="F33" i="14"/>
  <c r="F34" i="14"/>
  <c r="F49" i="13"/>
  <c r="F47" i="13"/>
  <c r="F44" i="13"/>
  <c r="F42" i="13"/>
  <c r="F40" i="13"/>
  <c r="F38" i="13"/>
  <c r="F35" i="13"/>
  <c r="F33" i="13"/>
  <c r="F50" i="13"/>
  <c r="F48" i="13"/>
  <c r="F46" i="13"/>
  <c r="F43" i="13"/>
  <c r="F41" i="13"/>
  <c r="F39" i="13"/>
  <c r="F36" i="13"/>
  <c r="F34" i="13"/>
  <c r="G32" i="13" l="1"/>
  <c r="G40" i="13"/>
  <c r="G36" i="13"/>
  <c r="G39" i="13"/>
  <c r="G34" i="13"/>
  <c r="G48" i="13"/>
  <c r="G42" i="13"/>
  <c r="G46" i="13"/>
  <c r="G33" i="13"/>
  <c r="G50" i="13"/>
  <c r="G38" i="13"/>
  <c r="G49" i="13"/>
  <c r="G41" i="13"/>
  <c r="G35" i="13"/>
  <c r="G43" i="13"/>
  <c r="H1" i="13"/>
  <c r="G44" i="13"/>
  <c r="G47" i="13"/>
  <c r="J1" i="11"/>
  <c r="I35" i="11"/>
  <c r="I36" i="11"/>
  <c r="I41" i="11"/>
  <c r="I37" i="11"/>
  <c r="I45" i="11"/>
  <c r="I44" i="11"/>
  <c r="I49" i="11"/>
  <c r="I48" i="11"/>
  <c r="I40" i="11"/>
  <c r="I51" i="11"/>
  <c r="I55" i="11"/>
  <c r="I39" i="11"/>
  <c r="I53" i="11"/>
  <c r="I47" i="11"/>
  <c r="I43" i="11"/>
  <c r="I54" i="11"/>
  <c r="G49" i="14"/>
  <c r="G47" i="14"/>
  <c r="G44" i="14"/>
  <c r="G42" i="14"/>
  <c r="G40" i="14"/>
  <c r="G38" i="14"/>
  <c r="G50" i="14"/>
  <c r="G48" i="14"/>
  <c r="G46" i="14"/>
  <c r="G43" i="14"/>
  <c r="G41" i="14"/>
  <c r="G39" i="14"/>
  <c r="G36" i="14"/>
  <c r="G33" i="14"/>
  <c r="G35" i="14"/>
  <c r="G34" i="14"/>
  <c r="K1" i="11" l="1"/>
  <c r="J53" i="11"/>
  <c r="J40" i="11"/>
  <c r="J36" i="11"/>
  <c r="J54" i="11"/>
  <c r="J51" i="11"/>
  <c r="J48" i="11"/>
  <c r="J45" i="11"/>
  <c r="J55" i="11"/>
  <c r="J49" i="11"/>
  <c r="J37" i="11"/>
  <c r="J41" i="11"/>
  <c r="J43" i="11"/>
  <c r="J47" i="11"/>
  <c r="J35" i="11"/>
  <c r="J44" i="11"/>
  <c r="J39" i="11"/>
  <c r="H32" i="13"/>
  <c r="H40" i="13"/>
  <c r="H43" i="13"/>
  <c r="H38" i="13"/>
  <c r="H35" i="13"/>
  <c r="H46" i="13"/>
  <c r="H39" i="13"/>
  <c r="H47" i="13"/>
  <c r="H33" i="13"/>
  <c r="H41" i="13"/>
  <c r="H49" i="13"/>
  <c r="H42" i="13"/>
  <c r="H36" i="13"/>
  <c r="H44" i="13"/>
  <c r="H48" i="13"/>
  <c r="I1" i="13"/>
  <c r="H34" i="13"/>
  <c r="H50" i="13"/>
  <c r="H49" i="14"/>
  <c r="H47" i="14"/>
  <c r="H44" i="14"/>
  <c r="H42" i="14"/>
  <c r="H40" i="14"/>
  <c r="H38" i="14"/>
  <c r="H50" i="14"/>
  <c r="H48" i="14"/>
  <c r="H46" i="14"/>
  <c r="H43" i="14"/>
  <c r="H41" i="14"/>
  <c r="H39" i="14"/>
  <c r="H36" i="14"/>
  <c r="H33" i="14"/>
  <c r="H35" i="14"/>
  <c r="H34" i="14"/>
  <c r="J1" i="13" l="1"/>
  <c r="I32" i="13"/>
  <c r="I43" i="13"/>
  <c r="I47" i="13"/>
  <c r="I34" i="13"/>
  <c r="I40" i="13"/>
  <c r="I41" i="13"/>
  <c r="I39" i="13"/>
  <c r="I44" i="13"/>
  <c r="I38" i="13"/>
  <c r="I50" i="13"/>
  <c r="I48" i="13"/>
  <c r="I46" i="13"/>
  <c r="I49" i="13"/>
  <c r="I36" i="13"/>
  <c r="I35" i="13"/>
  <c r="I42" i="13"/>
  <c r="I33" i="13"/>
  <c r="K37" i="11"/>
  <c r="K51" i="11"/>
  <c r="K36" i="11"/>
  <c r="L1" i="11"/>
  <c r="K48" i="11"/>
  <c r="K49" i="11"/>
  <c r="K44" i="11"/>
  <c r="K35" i="11"/>
  <c r="K54" i="11"/>
  <c r="K39" i="11"/>
  <c r="K43" i="11"/>
  <c r="K55" i="11"/>
  <c r="K53" i="11"/>
  <c r="K40" i="11"/>
  <c r="K41" i="11"/>
  <c r="K45" i="11"/>
  <c r="K47" i="11"/>
  <c r="I49" i="14"/>
  <c r="I47" i="14"/>
  <c r="I44" i="14"/>
  <c r="I42" i="14"/>
  <c r="I40" i="14"/>
  <c r="I38" i="14"/>
  <c r="I50" i="14"/>
  <c r="I48" i="14"/>
  <c r="I46" i="14"/>
  <c r="I43" i="14"/>
  <c r="I41" i="14"/>
  <c r="I39" i="14"/>
  <c r="I36" i="14"/>
  <c r="I33" i="14"/>
  <c r="I35" i="14"/>
  <c r="I34" i="14"/>
  <c r="L53" i="11" l="1"/>
  <c r="L49" i="11"/>
  <c r="M1" i="11"/>
  <c r="L45" i="11"/>
  <c r="L48" i="11"/>
  <c r="L44" i="11"/>
  <c r="L55" i="11"/>
  <c r="L40" i="11"/>
  <c r="L43" i="11"/>
  <c r="L39" i="11"/>
  <c r="L41" i="11"/>
  <c r="L54" i="11"/>
  <c r="L37" i="11"/>
  <c r="L35" i="11"/>
  <c r="L47" i="11"/>
  <c r="L36" i="11"/>
  <c r="L51" i="11"/>
  <c r="K1" i="13"/>
  <c r="J32" i="13"/>
  <c r="J41" i="13"/>
  <c r="J42" i="13"/>
  <c r="J40" i="13"/>
  <c r="J38" i="13"/>
  <c r="J39" i="13"/>
  <c r="J34" i="13"/>
  <c r="J48" i="13"/>
  <c r="J33" i="13"/>
  <c r="J36" i="13"/>
  <c r="J47" i="13"/>
  <c r="J44" i="13"/>
  <c r="J35" i="13"/>
  <c r="J49" i="13"/>
  <c r="J43" i="13"/>
  <c r="J50" i="13"/>
  <c r="J46" i="13"/>
  <c r="J50" i="14"/>
  <c r="J48" i="14"/>
  <c r="J46" i="14"/>
  <c r="J43" i="14"/>
  <c r="J41" i="14"/>
  <c r="J39" i="14"/>
  <c r="J36" i="14"/>
  <c r="J49" i="14"/>
  <c r="J47" i="14"/>
  <c r="J44" i="14"/>
  <c r="J42" i="14"/>
  <c r="J40" i="14"/>
  <c r="J38" i="14"/>
  <c r="J35" i="14"/>
  <c r="J34" i="14"/>
  <c r="J33" i="14"/>
  <c r="K32" i="13" l="1"/>
  <c r="K49" i="13"/>
  <c r="K46" i="13"/>
  <c r="K50" i="13"/>
  <c r="K36" i="13"/>
  <c r="K47" i="13"/>
  <c r="K34" i="13"/>
  <c r="K38" i="13"/>
  <c r="K44" i="13"/>
  <c r="L1" i="13"/>
  <c r="K40" i="13"/>
  <c r="K35" i="13"/>
  <c r="K42" i="13"/>
  <c r="K33" i="13"/>
  <c r="K41" i="13"/>
  <c r="K39" i="13"/>
  <c r="K43" i="13"/>
  <c r="K48" i="13"/>
  <c r="M43" i="11"/>
  <c r="M36" i="11"/>
  <c r="M53" i="11"/>
  <c r="M49" i="11"/>
  <c r="M51" i="11"/>
  <c r="M35" i="11"/>
  <c r="M39" i="11"/>
  <c r="M37" i="11"/>
  <c r="M54" i="11"/>
  <c r="M45" i="11"/>
  <c r="M41" i="11"/>
  <c r="M47" i="11"/>
  <c r="M55" i="11"/>
  <c r="M48" i="11"/>
  <c r="M40" i="11"/>
  <c r="N1" i="11"/>
  <c r="M44" i="11"/>
  <c r="K50" i="14"/>
  <c r="K48" i="14"/>
  <c r="K46" i="14"/>
  <c r="K43" i="14"/>
  <c r="K41" i="14"/>
  <c r="K39" i="14"/>
  <c r="K36" i="14"/>
  <c r="K49" i="14"/>
  <c r="K47" i="14"/>
  <c r="K44" i="14"/>
  <c r="K42" i="14"/>
  <c r="K40" i="14"/>
  <c r="K38" i="14"/>
  <c r="K35" i="14"/>
  <c r="K34" i="14"/>
  <c r="K33" i="14"/>
  <c r="N37" i="11" l="1"/>
  <c r="N51" i="11"/>
  <c r="N53" i="11"/>
  <c r="N48" i="11"/>
  <c r="N43" i="11"/>
  <c r="N45" i="11"/>
  <c r="N55" i="11"/>
  <c r="N40" i="11"/>
  <c r="O1" i="11"/>
  <c r="N47" i="11"/>
  <c r="N36" i="11"/>
  <c r="N41" i="11"/>
  <c r="N44" i="11"/>
  <c r="N39" i="11"/>
  <c r="N49" i="11"/>
  <c r="N35" i="11"/>
  <c r="N54" i="11"/>
  <c r="L32" i="13"/>
  <c r="L33" i="13"/>
  <c r="L34" i="13"/>
  <c r="M1" i="13"/>
  <c r="L39" i="13"/>
  <c r="L38" i="13"/>
  <c r="L48" i="13"/>
  <c r="L46" i="13"/>
  <c r="L40" i="13"/>
  <c r="L36" i="13"/>
  <c r="L44" i="13"/>
  <c r="L50" i="13"/>
  <c r="L47" i="13"/>
  <c r="L49" i="13"/>
  <c r="L35" i="13"/>
  <c r="L43" i="13"/>
  <c r="L42" i="13"/>
  <c r="L41" i="13"/>
  <c r="L50" i="14"/>
  <c r="L48" i="14"/>
  <c r="L46" i="14"/>
  <c r="L43" i="14"/>
  <c r="L41" i="14"/>
  <c r="L39" i="14"/>
  <c r="L36" i="14"/>
  <c r="L49" i="14"/>
  <c r="L47" i="14"/>
  <c r="L44" i="14"/>
  <c r="L42" i="14"/>
  <c r="L40" i="14"/>
  <c r="L38" i="14"/>
  <c r="L35" i="14"/>
  <c r="L34" i="14"/>
  <c r="L33" i="14"/>
  <c r="O35" i="11" l="1"/>
  <c r="O45" i="11"/>
  <c r="O54" i="11"/>
  <c r="O48" i="11"/>
  <c r="O41" i="11"/>
  <c r="P1" i="11"/>
  <c r="O39" i="11"/>
  <c r="O40" i="11"/>
  <c r="O43" i="11"/>
  <c r="O55" i="11"/>
  <c r="O47" i="11"/>
  <c r="O49" i="11"/>
  <c r="O37" i="11"/>
  <c r="O51" i="11"/>
  <c r="O53" i="11"/>
  <c r="O44" i="11"/>
  <c r="O36" i="11"/>
  <c r="M32" i="13"/>
  <c r="M46" i="13"/>
  <c r="M43" i="13"/>
  <c r="N1" i="13"/>
  <c r="M39" i="13"/>
  <c r="M38" i="13"/>
  <c r="M42" i="13"/>
  <c r="M40" i="13"/>
  <c r="M50" i="13"/>
  <c r="M49" i="13"/>
  <c r="M47" i="13"/>
  <c r="M44" i="13"/>
  <c r="M41" i="13"/>
  <c r="M34" i="13"/>
  <c r="M33" i="13"/>
  <c r="M36" i="13"/>
  <c r="M35" i="13"/>
  <c r="M48" i="13"/>
  <c r="M50" i="14"/>
  <c r="M48" i="14"/>
  <c r="M46" i="14"/>
  <c r="M43" i="14"/>
  <c r="M41" i="14"/>
  <c r="M39" i="14"/>
  <c r="M36" i="14"/>
  <c r="M49" i="14"/>
  <c r="M47" i="14"/>
  <c r="M44" i="14"/>
  <c r="M42" i="14"/>
  <c r="M40" i="14"/>
  <c r="M38" i="14"/>
  <c r="M35" i="14"/>
  <c r="M34" i="14"/>
  <c r="M33" i="14"/>
  <c r="N32" i="13" l="1"/>
  <c r="N50" i="13"/>
  <c r="O1" i="13"/>
  <c r="N38" i="13"/>
  <c r="N40" i="13"/>
  <c r="N42" i="13"/>
  <c r="N41" i="13"/>
  <c r="N39" i="13"/>
  <c r="N44" i="13"/>
  <c r="N34" i="13"/>
  <c r="N49" i="13"/>
  <c r="N47" i="13"/>
  <c r="N35" i="13"/>
  <c r="N36" i="13"/>
  <c r="N33" i="13"/>
  <c r="N48" i="13"/>
  <c r="N46" i="13"/>
  <c r="N43" i="13"/>
  <c r="P37" i="11"/>
  <c r="P53" i="11"/>
  <c r="P35" i="11"/>
  <c r="P49" i="11"/>
  <c r="P47" i="11"/>
  <c r="P36" i="11"/>
  <c r="P51" i="11"/>
  <c r="Q1" i="11"/>
  <c r="P48" i="11"/>
  <c r="P44" i="11"/>
  <c r="P40" i="11"/>
  <c r="P45" i="11"/>
  <c r="P43" i="11"/>
  <c r="P55" i="11"/>
  <c r="P41" i="11"/>
  <c r="P39" i="11"/>
  <c r="P54" i="11"/>
  <c r="N49" i="14"/>
  <c r="N47" i="14"/>
  <c r="N44" i="14"/>
  <c r="N42" i="14"/>
  <c r="N40" i="14"/>
  <c r="N38" i="14"/>
  <c r="N35" i="14"/>
  <c r="N50" i="14"/>
  <c r="N48" i="14"/>
  <c r="N46" i="14"/>
  <c r="N43" i="14"/>
  <c r="N41" i="14"/>
  <c r="N39" i="14"/>
  <c r="N36" i="14"/>
  <c r="N33" i="14"/>
  <c r="N34" i="14"/>
  <c r="O32" i="13" l="1"/>
  <c r="O39" i="13"/>
  <c r="O33" i="13"/>
  <c r="O47" i="13"/>
  <c r="O46" i="13"/>
  <c r="O42" i="13"/>
  <c r="O36" i="13"/>
  <c r="O35" i="13"/>
  <c r="O48" i="13"/>
  <c r="O38" i="13"/>
  <c r="O50" i="13"/>
  <c r="O44" i="13"/>
  <c r="O34" i="13"/>
  <c r="O41" i="13"/>
  <c r="O43" i="13"/>
  <c r="O40" i="13"/>
  <c r="O49" i="13"/>
  <c r="P1" i="13"/>
  <c r="Q51" i="11"/>
  <c r="Q43" i="11"/>
  <c r="Q37" i="11"/>
  <c r="Q45" i="11"/>
  <c r="Q44" i="11"/>
  <c r="Q36" i="11"/>
  <c r="Q47" i="11"/>
  <c r="Q55" i="11"/>
  <c r="Q48" i="11"/>
  <c r="Q53" i="11"/>
  <c r="Q40" i="11"/>
  <c r="Q54" i="11"/>
  <c r="R1" i="11"/>
  <c r="Q49" i="11"/>
  <c r="Q41" i="11"/>
  <c r="Q35" i="11"/>
  <c r="Q39" i="11"/>
  <c r="O49" i="14"/>
  <c r="O47" i="14"/>
  <c r="O44" i="14"/>
  <c r="O42" i="14"/>
  <c r="O40" i="14"/>
  <c r="O38" i="14"/>
  <c r="O50" i="14"/>
  <c r="O48" i="14"/>
  <c r="O46" i="14"/>
  <c r="O43" i="14"/>
  <c r="O41" i="14"/>
  <c r="O39" i="14"/>
  <c r="O36" i="14"/>
  <c r="O33" i="14"/>
  <c r="O34" i="14"/>
  <c r="O35" i="14"/>
  <c r="R53" i="11" l="1"/>
  <c r="R36" i="11"/>
  <c r="R49" i="11"/>
  <c r="R43" i="11"/>
  <c r="R51" i="11"/>
  <c r="R48" i="11"/>
  <c r="R47" i="11"/>
  <c r="R37" i="11"/>
  <c r="R55" i="11"/>
  <c r="R35" i="11"/>
  <c r="R41" i="11"/>
  <c r="R39" i="11"/>
  <c r="R45" i="11"/>
  <c r="S1" i="11"/>
  <c r="R54" i="11"/>
  <c r="R44" i="11"/>
  <c r="R40" i="11"/>
  <c r="P32" i="13"/>
  <c r="P46" i="13"/>
  <c r="Q1" i="13"/>
  <c r="P39" i="13"/>
  <c r="P42" i="13"/>
  <c r="P41" i="13"/>
  <c r="P36" i="13"/>
  <c r="P50" i="13"/>
  <c r="P40" i="13"/>
  <c r="P49" i="13"/>
  <c r="P38" i="13"/>
  <c r="P33" i="13"/>
  <c r="P35" i="13"/>
  <c r="P48" i="13"/>
  <c r="P47" i="13"/>
  <c r="P34" i="13"/>
  <c r="P43" i="13"/>
  <c r="P44" i="13"/>
  <c r="P49" i="14"/>
  <c r="P47" i="14"/>
  <c r="P44" i="14"/>
  <c r="P42" i="14"/>
  <c r="P40" i="14"/>
  <c r="P38" i="14"/>
  <c r="P50" i="14"/>
  <c r="P48" i="14"/>
  <c r="P46" i="14"/>
  <c r="P43" i="14"/>
  <c r="P41" i="14"/>
  <c r="P39" i="14"/>
  <c r="P36" i="14"/>
  <c r="P33" i="14"/>
  <c r="P34" i="14"/>
  <c r="P35" i="14"/>
  <c r="Q32" i="13" l="1"/>
  <c r="Q42" i="13"/>
  <c r="Q40" i="13"/>
  <c r="Q39" i="13"/>
  <c r="R1" i="13"/>
  <c r="Q38" i="13"/>
  <c r="Q36" i="13"/>
  <c r="Q48" i="13"/>
  <c r="Q35" i="13"/>
  <c r="Q47" i="13"/>
  <c r="Q41" i="13"/>
  <c r="Q33" i="13"/>
  <c r="Q49" i="13"/>
  <c r="Q44" i="13"/>
  <c r="Q46" i="13"/>
  <c r="Q50" i="13"/>
  <c r="Q34" i="13"/>
  <c r="Q43" i="13"/>
  <c r="S41" i="11"/>
  <c r="S35" i="11"/>
  <c r="S55" i="11"/>
  <c r="S49" i="11"/>
  <c r="S44" i="11"/>
  <c r="S54" i="11"/>
  <c r="S48" i="11"/>
  <c r="S51" i="11"/>
  <c r="S45" i="11"/>
  <c r="S37" i="11"/>
  <c r="T1" i="11"/>
  <c r="S53" i="11"/>
  <c r="S40" i="11"/>
  <c r="S36" i="11"/>
  <c r="S43" i="11"/>
  <c r="S39" i="11"/>
  <c r="S47" i="11"/>
  <c r="Q49" i="14"/>
  <c r="Q47" i="14"/>
  <c r="Q44" i="14"/>
  <c r="Q42" i="14"/>
  <c r="Q40" i="14"/>
  <c r="Q38" i="14"/>
  <c r="Q50" i="14"/>
  <c r="Q48" i="14"/>
  <c r="Q46" i="14"/>
  <c r="Q43" i="14"/>
  <c r="Q41" i="14"/>
  <c r="Q39" i="14"/>
  <c r="Q36" i="14"/>
  <c r="Q33" i="14"/>
  <c r="Q34" i="14"/>
  <c r="Q35" i="14"/>
  <c r="T39" i="11" l="1"/>
  <c r="T44" i="11"/>
  <c r="T54" i="11"/>
  <c r="T48" i="11"/>
  <c r="T40" i="11"/>
  <c r="T37" i="11"/>
  <c r="T35" i="11"/>
  <c r="T36" i="11"/>
  <c r="T51" i="11"/>
  <c r="T53" i="11"/>
  <c r="T45" i="11"/>
  <c r="T47" i="11"/>
  <c r="U1" i="11"/>
  <c r="T49" i="11"/>
  <c r="T41" i="11"/>
  <c r="T55" i="11"/>
  <c r="T43" i="11"/>
  <c r="R32" i="13"/>
  <c r="R36" i="13"/>
  <c r="R38" i="13"/>
  <c r="R46" i="13"/>
  <c r="R49" i="13"/>
  <c r="R43" i="13"/>
  <c r="R48" i="13"/>
  <c r="R33" i="13"/>
  <c r="R39" i="13"/>
  <c r="S1" i="13"/>
  <c r="R50" i="13"/>
  <c r="R44" i="13"/>
  <c r="R47" i="13"/>
  <c r="R35" i="13"/>
  <c r="R41" i="13"/>
  <c r="R42" i="13"/>
  <c r="R40" i="13"/>
  <c r="R34" i="13"/>
  <c r="R50" i="14"/>
  <c r="R48" i="14"/>
  <c r="R46" i="14"/>
  <c r="R43" i="14"/>
  <c r="R41" i="14"/>
  <c r="R39" i="14"/>
  <c r="R36" i="14"/>
  <c r="R49" i="14"/>
  <c r="R47" i="14"/>
  <c r="R44" i="14"/>
  <c r="R42" i="14"/>
  <c r="R40" i="14"/>
  <c r="R38" i="14"/>
  <c r="R35" i="14"/>
  <c r="R34" i="14"/>
  <c r="R33" i="14"/>
  <c r="S32" i="13" l="1"/>
  <c r="S48" i="13"/>
  <c r="S34" i="13"/>
  <c r="S50" i="13"/>
  <c r="S40" i="13"/>
  <c r="S49" i="13"/>
  <c r="S38" i="13"/>
  <c r="S36" i="13"/>
  <c r="S46" i="13"/>
  <c r="S47" i="13"/>
  <c r="S41" i="13"/>
  <c r="S35" i="13"/>
  <c r="S42" i="13"/>
  <c r="T1" i="13"/>
  <c r="S43" i="13"/>
  <c r="S44" i="13"/>
  <c r="S33" i="13"/>
  <c r="S39" i="13"/>
  <c r="U39" i="11"/>
  <c r="U45" i="11"/>
  <c r="U36" i="11"/>
  <c r="U54" i="11"/>
  <c r="U48" i="11"/>
  <c r="U35" i="11"/>
  <c r="U41" i="11"/>
  <c r="U53" i="11"/>
  <c r="U44" i="11"/>
  <c r="V1" i="11"/>
  <c r="U40" i="11"/>
  <c r="U55" i="11"/>
  <c r="U51" i="11"/>
  <c r="U49" i="11"/>
  <c r="U37" i="11"/>
  <c r="U47" i="11"/>
  <c r="U43" i="11"/>
  <c r="S50" i="14"/>
  <c r="S48" i="14"/>
  <c r="S46" i="14"/>
  <c r="S43" i="14"/>
  <c r="S41" i="14"/>
  <c r="S39" i="14"/>
  <c r="S36" i="14"/>
  <c r="S49" i="14"/>
  <c r="S47" i="14"/>
  <c r="S44" i="14"/>
  <c r="S42" i="14"/>
  <c r="S40" i="14"/>
  <c r="S38" i="14"/>
  <c r="S34" i="14"/>
  <c r="S35" i="14"/>
  <c r="S33" i="14"/>
  <c r="V40" i="11" l="1"/>
  <c r="V48" i="11"/>
  <c r="V36" i="11"/>
  <c r="V35" i="11"/>
  <c r="V54" i="11"/>
  <c r="V37" i="11"/>
  <c r="V51" i="11"/>
  <c r="V44" i="11"/>
  <c r="V43" i="11"/>
  <c r="V53" i="11"/>
  <c r="V41" i="11"/>
  <c r="V55" i="11"/>
  <c r="V39" i="11"/>
  <c r="V47" i="11"/>
  <c r="W1" i="11"/>
  <c r="V45" i="11"/>
  <c r="V49" i="11"/>
  <c r="T32" i="13"/>
  <c r="T34" i="13"/>
  <c r="T40" i="13"/>
  <c r="T35" i="13"/>
  <c r="T41" i="13"/>
  <c r="T39" i="13"/>
  <c r="T44" i="13"/>
  <c r="T46" i="13"/>
  <c r="T48" i="13"/>
  <c r="T43" i="13"/>
  <c r="T33" i="13"/>
  <c r="T50" i="13"/>
  <c r="U1" i="13"/>
  <c r="T42" i="13"/>
  <c r="T47" i="13"/>
  <c r="T49" i="13"/>
  <c r="T38" i="13"/>
  <c r="T36" i="13"/>
  <c r="T50" i="14"/>
  <c r="T48" i="14"/>
  <c r="T46" i="14"/>
  <c r="T43" i="14"/>
  <c r="T41" i="14"/>
  <c r="T39" i="14"/>
  <c r="T36" i="14"/>
  <c r="T49" i="14"/>
  <c r="T47" i="14"/>
  <c r="T44" i="14"/>
  <c r="T42" i="14"/>
  <c r="T40" i="14"/>
  <c r="T38" i="14"/>
  <c r="T34" i="14"/>
  <c r="T35" i="14"/>
  <c r="T33" i="14"/>
  <c r="W35" i="11" l="1"/>
  <c r="W41" i="11"/>
  <c r="W51" i="11"/>
  <c r="W43" i="11"/>
  <c r="W48" i="11"/>
  <c r="W40" i="11"/>
  <c r="W45" i="11"/>
  <c r="W53" i="11"/>
  <c r="W36" i="11"/>
  <c r="W55" i="11"/>
  <c r="W49" i="11"/>
  <c r="W44" i="11"/>
  <c r="W54" i="11"/>
  <c r="W47" i="11"/>
  <c r="W37" i="11"/>
  <c r="W39" i="11"/>
  <c r="X1" i="11"/>
  <c r="U32" i="13"/>
  <c r="U39" i="13"/>
  <c r="U34" i="13"/>
  <c r="U38" i="13"/>
  <c r="U35" i="13"/>
  <c r="V1" i="13"/>
  <c r="U46" i="13"/>
  <c r="U44" i="13"/>
  <c r="U50" i="13"/>
  <c r="U33" i="13"/>
  <c r="U40" i="13"/>
  <c r="U49" i="13"/>
  <c r="U48" i="13"/>
  <c r="U43" i="13"/>
  <c r="U47" i="13"/>
  <c r="U42" i="13"/>
  <c r="U36" i="13"/>
  <c r="U41" i="13"/>
  <c r="U50" i="14"/>
  <c r="U48" i="14"/>
  <c r="U46" i="14"/>
  <c r="U43" i="14"/>
  <c r="U41" i="14"/>
  <c r="U39" i="14"/>
  <c r="U36" i="14"/>
  <c r="U49" i="14"/>
  <c r="U47" i="14"/>
  <c r="U44" i="14"/>
  <c r="U42" i="14"/>
  <c r="U40" i="14"/>
  <c r="U38" i="14"/>
  <c r="U34" i="14"/>
  <c r="U35" i="14"/>
  <c r="U33" i="14"/>
  <c r="V32" i="13" l="1"/>
  <c r="V34" i="13"/>
  <c r="W1" i="13"/>
  <c r="V43" i="13"/>
  <c r="V42" i="13"/>
  <c r="V49" i="13"/>
  <c r="V40" i="13"/>
  <c r="V41" i="13"/>
  <c r="V46" i="13"/>
  <c r="V50" i="13"/>
  <c r="V47" i="13"/>
  <c r="V36" i="13"/>
  <c r="V44" i="13"/>
  <c r="V38" i="13"/>
  <c r="V33" i="13"/>
  <c r="V39" i="13"/>
  <c r="V35" i="13"/>
  <c r="V48" i="13"/>
  <c r="X51" i="11"/>
  <c r="X43" i="11"/>
  <c r="X35" i="11"/>
  <c r="X37" i="11"/>
  <c r="X49" i="11"/>
  <c r="X54" i="11"/>
  <c r="X45" i="11"/>
  <c r="X36" i="11"/>
  <c r="X39" i="11"/>
  <c r="X41" i="11"/>
  <c r="X48" i="11"/>
  <c r="Y1" i="11"/>
  <c r="X53" i="11"/>
  <c r="X47" i="11"/>
  <c r="X55" i="11"/>
  <c r="X44" i="11"/>
  <c r="X40" i="11"/>
  <c r="V49" i="14"/>
  <c r="V47" i="14"/>
  <c r="V44" i="14"/>
  <c r="V42" i="14"/>
  <c r="V40" i="14"/>
  <c r="V38" i="14"/>
  <c r="V35" i="14"/>
  <c r="V50" i="14"/>
  <c r="V48" i="14"/>
  <c r="V46" i="14"/>
  <c r="V43" i="14"/>
  <c r="V41" i="14"/>
  <c r="V39" i="14"/>
  <c r="V36" i="14"/>
  <c r="V33" i="14"/>
  <c r="V34" i="14"/>
  <c r="Y35" i="11" l="1"/>
  <c r="Y53" i="11"/>
  <c r="Y37" i="11"/>
  <c r="Y55" i="11"/>
  <c r="Y39" i="11"/>
  <c r="Y43" i="11"/>
  <c r="Z1" i="11"/>
  <c r="Y40" i="11"/>
  <c r="Y48" i="11"/>
  <c r="Y47" i="11"/>
  <c r="Y51" i="11"/>
  <c r="Y49" i="11"/>
  <c r="Y54" i="11"/>
  <c r="Y41" i="11"/>
  <c r="Y36" i="11"/>
  <c r="Y44" i="11"/>
  <c r="Y45" i="11"/>
  <c r="W32" i="13"/>
  <c r="W41" i="13"/>
  <c r="W34" i="13"/>
  <c r="W33" i="13"/>
  <c r="W48" i="13"/>
  <c r="W36" i="13"/>
  <c r="W35" i="13"/>
  <c r="W42" i="13"/>
  <c r="X1" i="13"/>
  <c r="W40" i="13"/>
  <c r="W46" i="13"/>
  <c r="W39" i="13"/>
  <c r="W44" i="13"/>
  <c r="W49" i="13"/>
  <c r="W38" i="13"/>
  <c r="W47" i="13"/>
  <c r="W50" i="13"/>
  <c r="W43" i="13"/>
  <c r="W49" i="14"/>
  <c r="W47" i="14"/>
  <c r="W44" i="14"/>
  <c r="W42" i="14"/>
  <c r="W40" i="14"/>
  <c r="W38" i="14"/>
  <c r="W50" i="14"/>
  <c r="W48" i="14"/>
  <c r="W46" i="14"/>
  <c r="W43" i="14"/>
  <c r="W41" i="14"/>
  <c r="W39" i="14"/>
  <c r="W33" i="14"/>
  <c r="Z51" i="11" l="1"/>
  <c r="Z35" i="11"/>
  <c r="Z41" i="11"/>
  <c r="Z49" i="11"/>
  <c r="Z36" i="11"/>
  <c r="Z45" i="11"/>
  <c r="Z44" i="11"/>
  <c r="Z53" i="11"/>
  <c r="Z48" i="11"/>
  <c r="Z37" i="11"/>
  <c r="Z54" i="11"/>
  <c r="Z47" i="11"/>
  <c r="Z40" i="11"/>
  <c r="AA1" i="11"/>
  <c r="Z55" i="11"/>
  <c r="Z43" i="11"/>
  <c r="Z39" i="11"/>
  <c r="X32" i="13"/>
  <c r="X34" i="13"/>
  <c r="Y1" i="13"/>
  <c r="X42" i="13"/>
  <c r="X47" i="13"/>
  <c r="X35" i="13"/>
  <c r="X40" i="13"/>
  <c r="X41" i="13"/>
  <c r="X49" i="13"/>
  <c r="X38" i="13"/>
  <c r="X33" i="13"/>
  <c r="X50" i="13"/>
  <c r="X48" i="13"/>
  <c r="X43" i="13"/>
  <c r="X39" i="13"/>
  <c r="X36" i="13"/>
  <c r="X44" i="13"/>
  <c r="X46" i="13"/>
  <c r="X49" i="14"/>
  <c r="X47" i="14"/>
  <c r="X44" i="14"/>
  <c r="X42" i="14"/>
  <c r="X40" i="14"/>
  <c r="X38" i="14"/>
  <c r="X50" i="14"/>
  <c r="X48" i="14"/>
  <c r="X46" i="14"/>
  <c r="X43" i="14"/>
  <c r="X41" i="14"/>
  <c r="X39" i="14"/>
  <c r="X36" i="14"/>
  <c r="X35" i="14"/>
  <c r="X33" i="14"/>
  <c r="X34" i="14"/>
  <c r="AA37" i="11" l="1"/>
  <c r="AA49" i="11"/>
  <c r="AA35" i="11"/>
  <c r="AA47" i="11"/>
  <c r="AA55" i="11"/>
  <c r="AA51" i="11"/>
  <c r="AA44" i="11"/>
  <c r="AA43" i="11"/>
  <c r="AA39" i="11"/>
  <c r="AA41" i="11"/>
  <c r="AA40" i="11"/>
  <c r="AA48" i="11"/>
  <c r="AB1" i="11"/>
  <c r="AA54" i="11"/>
  <c r="AA53" i="11"/>
  <c r="AA36" i="11"/>
  <c r="AA45" i="11"/>
  <c r="Y32" i="13"/>
  <c r="Y50" i="13"/>
  <c r="Y48" i="13"/>
  <c r="Z1" i="13"/>
  <c r="Y39" i="13"/>
  <c r="Y49" i="13"/>
  <c r="Y33" i="13"/>
  <c r="Y38" i="13"/>
  <c r="Y44" i="13"/>
  <c r="Y47" i="13"/>
  <c r="Y40" i="13"/>
  <c r="Y46" i="13"/>
  <c r="Y43" i="13"/>
  <c r="Y34" i="13"/>
  <c r="Y42" i="13"/>
  <c r="Y41" i="13"/>
  <c r="Y36" i="13"/>
  <c r="Y35" i="13"/>
  <c r="Y49" i="14"/>
  <c r="Y47" i="14"/>
  <c r="Y44" i="14"/>
  <c r="Y42" i="14"/>
  <c r="Y40" i="14"/>
  <c r="Y38" i="14"/>
  <c r="Y50" i="14"/>
  <c r="Y48" i="14"/>
  <c r="Y46" i="14"/>
  <c r="Y43" i="14"/>
  <c r="Y41" i="14"/>
  <c r="Y39" i="14"/>
  <c r="Y36" i="14"/>
  <c r="Y33" i="14"/>
  <c r="Y34" i="14"/>
  <c r="Y35" i="14"/>
  <c r="Z32" i="13" l="1"/>
  <c r="Z42" i="13"/>
  <c r="Z39" i="13"/>
  <c r="Z38" i="13"/>
  <c r="Z33" i="13"/>
  <c r="Z46" i="13"/>
  <c r="Z41" i="13"/>
  <c r="Z40" i="13"/>
  <c r="Z49" i="13"/>
  <c r="Z36" i="13"/>
  <c r="Z47" i="13"/>
  <c r="Z44" i="13"/>
  <c r="AA1" i="13"/>
  <c r="Z50" i="13"/>
  <c r="Z35" i="13"/>
  <c r="Z34" i="13"/>
  <c r="Z48" i="13"/>
  <c r="Z43" i="13"/>
  <c r="AB51" i="11"/>
  <c r="AB41" i="11"/>
  <c r="AB45" i="11"/>
  <c r="AB36" i="11"/>
  <c r="AB55" i="11"/>
  <c r="AB37" i="11"/>
  <c r="AB53" i="11"/>
  <c r="AB47" i="11"/>
  <c r="AB44" i="11"/>
  <c r="AB35" i="11"/>
  <c r="AB40" i="11"/>
  <c r="AC1" i="11"/>
  <c r="AB39" i="11"/>
  <c r="AB49" i="11"/>
  <c r="AB43" i="11"/>
  <c r="AB54" i="11"/>
  <c r="AB48" i="11"/>
  <c r="Z50" i="14"/>
  <c r="Z48" i="14"/>
  <c r="Z46" i="14"/>
  <c r="Z43" i="14"/>
  <c r="Z41" i="14"/>
  <c r="Z39" i="14"/>
  <c r="Z36" i="14"/>
  <c r="Z49" i="14"/>
  <c r="Z47" i="14"/>
  <c r="Z44" i="14"/>
  <c r="Z42" i="14"/>
  <c r="Z40" i="14"/>
  <c r="Z38" i="14"/>
  <c r="Z35" i="14"/>
  <c r="Z34" i="14"/>
  <c r="Z33" i="14"/>
  <c r="AC49" i="11" l="1"/>
  <c r="AC35" i="11"/>
  <c r="AC43" i="11"/>
  <c r="AC41" i="11"/>
  <c r="AC55" i="11"/>
  <c r="AC44" i="11"/>
  <c r="AC36" i="11"/>
  <c r="AC51" i="11"/>
  <c r="AC47" i="11"/>
  <c r="AC45" i="11"/>
  <c r="AC54" i="11"/>
  <c r="AD1" i="11"/>
  <c r="AC40" i="11"/>
  <c r="AC48" i="11"/>
  <c r="AC39" i="11"/>
  <c r="AC53" i="11"/>
  <c r="AC37" i="11"/>
  <c r="AA32" i="13"/>
  <c r="AA34" i="13"/>
  <c r="AA33" i="13"/>
  <c r="AA41" i="13"/>
  <c r="AA46" i="13"/>
  <c r="AA49" i="13"/>
  <c r="AA38" i="13"/>
  <c r="AB1" i="13"/>
  <c r="AA50" i="13"/>
  <c r="AA48" i="13"/>
  <c r="AA42" i="13"/>
  <c r="AA39" i="13"/>
  <c r="AA35" i="13"/>
  <c r="AA43" i="13"/>
  <c r="AA36" i="13"/>
  <c r="AA44" i="13"/>
  <c r="AA47" i="13"/>
  <c r="AA40" i="13"/>
  <c r="AA50" i="14"/>
  <c r="AA48" i="14"/>
  <c r="AA46" i="14"/>
  <c r="AA43" i="14"/>
  <c r="AA41" i="14"/>
  <c r="AA39" i="14"/>
  <c r="AA36" i="14"/>
  <c r="AA49" i="14"/>
  <c r="AA47" i="14"/>
  <c r="AA44" i="14"/>
  <c r="AA42" i="14"/>
  <c r="AA40" i="14"/>
  <c r="AA38" i="14"/>
  <c r="AA34" i="14"/>
  <c r="AA35" i="14"/>
  <c r="AA33" i="14"/>
  <c r="AD55" i="11" l="1"/>
  <c r="AD39" i="11"/>
  <c r="AD51" i="11"/>
  <c r="AD48" i="11"/>
  <c r="AD45" i="11"/>
  <c r="AD44" i="11"/>
  <c r="AD53" i="11"/>
  <c r="AD49" i="11"/>
  <c r="AD47" i="11"/>
  <c r="AD40" i="11"/>
  <c r="AE1" i="11"/>
  <c r="AD36" i="11"/>
  <c r="AD41" i="11"/>
  <c r="AD54" i="11"/>
  <c r="AD43" i="11"/>
  <c r="AD35" i="11"/>
  <c r="AD37" i="11"/>
  <c r="AB32" i="13"/>
  <c r="AB43" i="13"/>
  <c r="AB38" i="13"/>
  <c r="AB50" i="13"/>
  <c r="AB49" i="13"/>
  <c r="AC1" i="13"/>
  <c r="AB35" i="13"/>
  <c r="AB39" i="13"/>
  <c r="AB36" i="13"/>
  <c r="AB47" i="13"/>
  <c r="AB42" i="13"/>
  <c r="AB44" i="13"/>
  <c r="AB48" i="13"/>
  <c r="AB41" i="13"/>
  <c r="AB46" i="13"/>
  <c r="AB40" i="13"/>
  <c r="AB33" i="13"/>
  <c r="AB34" i="13"/>
  <c r="AB50" i="14"/>
  <c r="AB48" i="14"/>
  <c r="AB46" i="14"/>
  <c r="AB43" i="14"/>
  <c r="AB41" i="14"/>
  <c r="AB39" i="14"/>
  <c r="AB36" i="14"/>
  <c r="AB49" i="14"/>
  <c r="AB47" i="14"/>
  <c r="AB44" i="14"/>
  <c r="AB40" i="14"/>
  <c r="AB38" i="14"/>
  <c r="AB34" i="14"/>
  <c r="AB35" i="14"/>
  <c r="AB33" i="14"/>
  <c r="AE53" i="11" l="1"/>
  <c r="AE37" i="11"/>
  <c r="AE35" i="11"/>
  <c r="AE49" i="11"/>
  <c r="AE43" i="11"/>
  <c r="AE39" i="11"/>
  <c r="AF1" i="11"/>
  <c r="AE47" i="11"/>
  <c r="AE51" i="11"/>
  <c r="AE48" i="11"/>
  <c r="AE40" i="11"/>
  <c r="AE45" i="11"/>
  <c r="AE55" i="11"/>
  <c r="AE54" i="11"/>
  <c r="AE41" i="11"/>
  <c r="AE36" i="11"/>
  <c r="AE44" i="11"/>
  <c r="AC32" i="13"/>
  <c r="AD1" i="13"/>
  <c r="AC49" i="13"/>
  <c r="AC40" i="13"/>
  <c r="AC46" i="13"/>
  <c r="AC43" i="13"/>
  <c r="AC33" i="13"/>
  <c r="AC41" i="13"/>
  <c r="AC48" i="13"/>
  <c r="AC39" i="13"/>
  <c r="AC38" i="13"/>
  <c r="AC47" i="13"/>
  <c r="AC44" i="13"/>
  <c r="AC36" i="13"/>
  <c r="AC35" i="13"/>
  <c r="AC34" i="13"/>
  <c r="AC42" i="13"/>
  <c r="AC50" i="13"/>
  <c r="AC50" i="14"/>
  <c r="AC48" i="14"/>
  <c r="AC46" i="14"/>
  <c r="AC43" i="14"/>
  <c r="AC41" i="14"/>
  <c r="AC39" i="14"/>
  <c r="AC36" i="14"/>
  <c r="AC47" i="14"/>
  <c r="AC44" i="14"/>
  <c r="AC42" i="14"/>
  <c r="AC40" i="14"/>
  <c r="AC38" i="14"/>
  <c r="AC34" i="14"/>
  <c r="AC35" i="14"/>
  <c r="AC33" i="14"/>
  <c r="AD32" i="13" l="1"/>
  <c r="AD41" i="13"/>
  <c r="AD38" i="13"/>
  <c r="AD46" i="13"/>
  <c r="AD34" i="13"/>
  <c r="AE1" i="13"/>
  <c r="AD49" i="13"/>
  <c r="AD50" i="13"/>
  <c r="AD48" i="13"/>
  <c r="AD39" i="13"/>
  <c r="AD44" i="13"/>
  <c r="AD35" i="13"/>
  <c r="AD47" i="13"/>
  <c r="AD42" i="13"/>
  <c r="AD33" i="13"/>
  <c r="AD43" i="13"/>
  <c r="AD36" i="13"/>
  <c r="AD40" i="13"/>
  <c r="AF53" i="11"/>
  <c r="AF44" i="11"/>
  <c r="AF37" i="11"/>
  <c r="AF40" i="11"/>
  <c r="AF35" i="11"/>
  <c r="AF47" i="11"/>
  <c r="AF39" i="11"/>
  <c r="AF41" i="11"/>
  <c r="AG1" i="11"/>
  <c r="AF54" i="11"/>
  <c r="AF45" i="11"/>
  <c r="AF43" i="11"/>
  <c r="AF36" i="11"/>
  <c r="AF51" i="11"/>
  <c r="AF49" i="11"/>
  <c r="AF48" i="11"/>
  <c r="AF55" i="11"/>
  <c r="AD49" i="14"/>
  <c r="AD47" i="14"/>
  <c r="AD44" i="14"/>
  <c r="AD42" i="14"/>
  <c r="AD40" i="14"/>
  <c r="AD38" i="14"/>
  <c r="AD35" i="14"/>
  <c r="AD50" i="14"/>
  <c r="AD48" i="14"/>
  <c r="AD46" i="14"/>
  <c r="AD43" i="14"/>
  <c r="AD41" i="14"/>
  <c r="AD39" i="14"/>
  <c r="AD36" i="14"/>
  <c r="AD33" i="14"/>
  <c r="AD34" i="14"/>
  <c r="AE32" i="13" l="1"/>
  <c r="AE49" i="13"/>
  <c r="AE38" i="13"/>
  <c r="AE50" i="13"/>
  <c r="AE44" i="13"/>
  <c r="AF1" i="13"/>
  <c r="AE43" i="13"/>
  <c r="AE36" i="13"/>
  <c r="AE35" i="13"/>
  <c r="AE40" i="13"/>
  <c r="AE34" i="13"/>
  <c r="AE42" i="13"/>
  <c r="AE41" i="13"/>
  <c r="AE48" i="13"/>
  <c r="AE47" i="13"/>
  <c r="AE33" i="13"/>
  <c r="AE46" i="13"/>
  <c r="AE39" i="13"/>
  <c r="AG43" i="11"/>
  <c r="AG51" i="11"/>
  <c r="AG49" i="11"/>
  <c r="AG37" i="11"/>
  <c r="AG45" i="11"/>
  <c r="AG36" i="11"/>
  <c r="AG54" i="11"/>
  <c r="AH1" i="11"/>
  <c r="AG39" i="11"/>
  <c r="AG48" i="11"/>
  <c r="AG44" i="11"/>
  <c r="AG41" i="11"/>
  <c r="AG47" i="11"/>
  <c r="AG55" i="11"/>
  <c r="AG40" i="11"/>
  <c r="AG53" i="11"/>
  <c r="AG35" i="11"/>
  <c r="AE49" i="14"/>
  <c r="AE47" i="14"/>
  <c r="AE44" i="14"/>
  <c r="AE42" i="14"/>
  <c r="AE40" i="14"/>
  <c r="AE38" i="14"/>
  <c r="AE50" i="14"/>
  <c r="AE48" i="14"/>
  <c r="AE46" i="14"/>
  <c r="AE43" i="14"/>
  <c r="AE41" i="14"/>
  <c r="AE39" i="14"/>
  <c r="AE36" i="14"/>
  <c r="AE33" i="14"/>
  <c r="AE35" i="14"/>
  <c r="AE34" i="14"/>
  <c r="AF32" i="13" l="1"/>
  <c r="AG1" i="13"/>
  <c r="AF35" i="13"/>
  <c r="AF48" i="13"/>
  <c r="AF44" i="13"/>
  <c r="AF40" i="13"/>
  <c r="AF49" i="13"/>
  <c r="AF47" i="13"/>
  <c r="AF50" i="13"/>
  <c r="AF46" i="13"/>
  <c r="AF41" i="13"/>
  <c r="AF39" i="13"/>
  <c r="AF42" i="13"/>
  <c r="AF34" i="13"/>
  <c r="AF33" i="13"/>
  <c r="AF43" i="13"/>
  <c r="AF36" i="13"/>
  <c r="AF38" i="13"/>
  <c r="AH53" i="11"/>
  <c r="AH48" i="11"/>
  <c r="AH47" i="11"/>
  <c r="AH45" i="11"/>
  <c r="AH37" i="11"/>
  <c r="AH51" i="11"/>
  <c r="AH43" i="11"/>
  <c r="AH49" i="11"/>
  <c r="AH54" i="11"/>
  <c r="AI1" i="11"/>
  <c r="AH41" i="11"/>
  <c r="AH44" i="11"/>
  <c r="AH55" i="11"/>
  <c r="AH40" i="11"/>
  <c r="AH39" i="11"/>
  <c r="AH36" i="11"/>
  <c r="AH35" i="11"/>
  <c r="AF49" i="14"/>
  <c r="AF47" i="14"/>
  <c r="AF44" i="14"/>
  <c r="AF42" i="14"/>
  <c r="AF40" i="14"/>
  <c r="AF38" i="14"/>
  <c r="AF50" i="14"/>
  <c r="AF48" i="14"/>
  <c r="AF46" i="14"/>
  <c r="AF43" i="14"/>
  <c r="AF41" i="14"/>
  <c r="AF39" i="14"/>
  <c r="AF36" i="14"/>
  <c r="AF33" i="14"/>
  <c r="AF35" i="14"/>
  <c r="AF34" i="14"/>
  <c r="AI51" i="11" l="1"/>
  <c r="AI43" i="11"/>
  <c r="AI40" i="11"/>
  <c r="AI48" i="11"/>
  <c r="AI47" i="11"/>
  <c r="AI54" i="11"/>
  <c r="AI49" i="11"/>
  <c r="AI44" i="11"/>
  <c r="AI39" i="11"/>
  <c r="AJ1" i="11"/>
  <c r="AI53" i="11"/>
  <c r="AI35" i="11"/>
  <c r="AI45" i="11"/>
  <c r="AI55" i="11"/>
  <c r="AI36" i="11"/>
  <c r="AI41" i="11"/>
  <c r="AI37" i="11"/>
  <c r="AG32" i="13"/>
  <c r="AG46" i="13"/>
  <c r="AH1" i="13"/>
  <c r="AG40" i="13"/>
  <c r="AG34" i="13"/>
  <c r="AG38" i="13"/>
  <c r="AG35" i="13"/>
  <c r="AG36" i="13"/>
  <c r="AG42" i="13"/>
  <c r="AG43" i="13"/>
  <c r="AG50" i="13"/>
  <c r="AG39" i="13"/>
  <c r="AG33" i="13"/>
  <c r="AG47" i="13"/>
  <c r="AG41" i="13"/>
  <c r="AG49" i="13"/>
  <c r="AG48" i="13"/>
  <c r="AG44" i="13"/>
  <c r="AG49" i="14"/>
  <c r="AG47" i="14"/>
  <c r="AG44" i="14"/>
  <c r="AG42" i="14"/>
  <c r="AG40" i="14"/>
  <c r="AG38" i="14"/>
  <c r="AG50" i="14"/>
  <c r="AG48" i="14"/>
  <c r="AG46" i="14"/>
  <c r="AG43" i="14"/>
  <c r="AG41" i="14"/>
  <c r="AG39" i="14"/>
  <c r="AG36" i="14"/>
  <c r="AG33" i="14"/>
  <c r="AG35" i="14"/>
  <c r="AG34" i="14"/>
  <c r="AH32" i="13" l="1"/>
  <c r="AH38" i="13"/>
  <c r="AI1" i="13"/>
  <c r="AH46" i="13"/>
  <c r="AH41" i="13"/>
  <c r="AH40" i="13"/>
  <c r="AH35" i="13"/>
  <c r="AH36" i="13"/>
  <c r="AH50" i="13"/>
  <c r="AH49" i="13"/>
  <c r="AH48" i="13"/>
  <c r="AH42" i="13"/>
  <c r="AH34" i="13"/>
  <c r="AH44" i="13"/>
  <c r="AH33" i="13"/>
  <c r="AH47" i="13"/>
  <c r="AH39" i="13"/>
  <c r="AH43" i="13"/>
  <c r="AJ49" i="11"/>
  <c r="AJ37" i="11"/>
  <c r="AJ51" i="11"/>
  <c r="AJ47" i="11"/>
  <c r="AJ43" i="11"/>
  <c r="AJ48" i="11"/>
  <c r="AJ39" i="11"/>
  <c r="AJ45" i="11"/>
  <c r="AJ41" i="11"/>
  <c r="AJ36" i="11"/>
  <c r="AK1" i="11"/>
  <c r="AJ44" i="11"/>
  <c r="AJ55" i="11"/>
  <c r="AJ54" i="11"/>
  <c r="AJ40" i="11"/>
  <c r="AJ35" i="11"/>
  <c r="AJ53" i="11"/>
  <c r="AH50" i="14"/>
  <c r="AH48" i="14"/>
  <c r="AH46" i="14"/>
  <c r="AH43" i="14"/>
  <c r="AH41" i="14"/>
  <c r="AH39" i="14"/>
  <c r="AH36" i="14"/>
  <c r="AH49" i="14"/>
  <c r="AH47" i="14"/>
  <c r="AH44" i="14"/>
  <c r="AH42" i="14"/>
  <c r="AH40" i="14"/>
  <c r="AH38" i="14"/>
  <c r="AH35" i="14"/>
  <c r="AH34" i="14"/>
  <c r="AH33" i="14"/>
  <c r="AK47" i="11" l="1"/>
  <c r="AK45" i="11"/>
  <c r="AK39" i="11"/>
  <c r="AK37" i="11"/>
  <c r="AK40" i="11"/>
  <c r="AK35" i="11"/>
  <c r="AK41" i="11"/>
  <c r="AK53" i="11"/>
  <c r="AK54" i="11"/>
  <c r="AK48" i="11"/>
  <c r="AL1" i="11"/>
  <c r="AK43" i="11"/>
  <c r="AK36" i="11"/>
  <c r="AK55" i="11"/>
  <c r="AK49" i="11"/>
  <c r="AK44" i="11"/>
  <c r="AK51" i="11"/>
  <c r="AI32" i="13"/>
  <c r="AI35" i="13"/>
  <c r="AI44" i="13"/>
  <c r="AI33" i="13"/>
  <c r="AI48" i="13"/>
  <c r="AI40" i="13"/>
  <c r="AI46" i="13"/>
  <c r="AI49" i="13"/>
  <c r="AI39" i="13"/>
  <c r="AI41" i="13"/>
  <c r="AJ1" i="13"/>
  <c r="AI43" i="13"/>
  <c r="AI38" i="13"/>
  <c r="AI42" i="13"/>
  <c r="AI36" i="13"/>
  <c r="AI34" i="13"/>
  <c r="AI50" i="13"/>
  <c r="AI47" i="13"/>
  <c r="AI50" i="14"/>
  <c r="AI48" i="14"/>
  <c r="AI46" i="14"/>
  <c r="AI43" i="14"/>
  <c r="AI41" i="14"/>
  <c r="AI39" i="14"/>
  <c r="AI36" i="14"/>
  <c r="AI49" i="14"/>
  <c r="AI47" i="14"/>
  <c r="AI44" i="14"/>
  <c r="AI42" i="14"/>
  <c r="AI40" i="14"/>
  <c r="AI38" i="14"/>
  <c r="AI35" i="14"/>
  <c r="AI34" i="14"/>
  <c r="AI33" i="14"/>
  <c r="AL41" i="11" l="1"/>
  <c r="AL55" i="11"/>
  <c r="AL49" i="11"/>
  <c r="AL40" i="11"/>
  <c r="AL51" i="11"/>
  <c r="AL36" i="11"/>
  <c r="AL44" i="11"/>
  <c r="AM1" i="11"/>
  <c r="AL47" i="11"/>
  <c r="AL45" i="11"/>
  <c r="AL43" i="11"/>
  <c r="AL54" i="11"/>
  <c r="AL35" i="11"/>
  <c r="AL53" i="11"/>
  <c r="AL37" i="11"/>
  <c r="AL39" i="11"/>
  <c r="AL48" i="11"/>
  <c r="AJ32" i="13"/>
  <c r="AJ50" i="13"/>
  <c r="AJ46" i="13"/>
  <c r="AJ35" i="13"/>
  <c r="AJ41" i="13"/>
  <c r="AJ34" i="13"/>
  <c r="AJ48" i="13"/>
  <c r="AJ42" i="13"/>
  <c r="AK1" i="13"/>
  <c r="AJ39" i="13"/>
  <c r="AJ38" i="13"/>
  <c r="AJ44" i="13"/>
  <c r="AJ43" i="13"/>
  <c r="AJ47" i="13"/>
  <c r="AJ36" i="13"/>
  <c r="AJ33" i="13"/>
  <c r="AJ40" i="13"/>
  <c r="AJ49" i="13"/>
  <c r="AJ50" i="14"/>
  <c r="AJ48" i="14"/>
  <c r="AJ46" i="14"/>
  <c r="AJ43" i="14"/>
  <c r="AJ41" i="14"/>
  <c r="AJ39" i="14"/>
  <c r="AJ36" i="14"/>
  <c r="AJ49" i="14"/>
  <c r="AJ47" i="14"/>
  <c r="AJ44" i="14"/>
  <c r="AJ42" i="14"/>
  <c r="AJ40" i="14"/>
  <c r="AJ38" i="14"/>
  <c r="AJ34" i="14"/>
  <c r="AJ33" i="14"/>
  <c r="AJ35" i="14"/>
  <c r="AM51" i="11" l="1"/>
  <c r="AM35" i="11"/>
  <c r="AM48" i="11"/>
  <c r="AM49" i="11"/>
  <c r="AM45" i="11"/>
  <c r="AM41" i="11"/>
  <c r="AM53" i="11"/>
  <c r="AM44" i="11"/>
  <c r="AM37" i="11"/>
  <c r="AM47" i="11"/>
  <c r="AM36" i="11"/>
  <c r="AM55" i="11"/>
  <c r="AN1" i="11"/>
  <c r="AM54" i="11"/>
  <c r="AM40" i="11"/>
  <c r="AM39" i="11"/>
  <c r="AM43" i="11"/>
  <c r="AK32" i="13"/>
  <c r="AK50" i="13"/>
  <c r="AK44" i="13"/>
  <c r="AK41" i="13"/>
  <c r="AK46" i="13"/>
  <c r="AK40" i="13"/>
  <c r="AK33" i="13"/>
  <c r="AK48" i="13"/>
  <c r="AK34" i="13"/>
  <c r="AK42" i="13"/>
  <c r="AK39" i="13"/>
  <c r="AK49" i="13"/>
  <c r="AL1" i="13"/>
  <c r="AK43" i="13"/>
  <c r="AK36" i="13"/>
  <c r="AK38" i="13"/>
  <c r="AK35" i="13"/>
  <c r="AK47" i="13"/>
  <c r="AK50" i="14"/>
  <c r="AK48" i="14"/>
  <c r="AK46" i="14"/>
  <c r="AK43" i="14"/>
  <c r="AK41" i="14"/>
  <c r="AK39" i="14"/>
  <c r="AK36" i="14"/>
  <c r="AK49" i="14"/>
  <c r="AK47" i="14"/>
  <c r="AK44" i="14"/>
  <c r="AK42" i="14"/>
  <c r="AK40" i="14"/>
  <c r="AK38" i="14"/>
  <c r="AK34" i="14"/>
  <c r="AK33" i="14"/>
  <c r="AK35" i="14"/>
  <c r="AL32" i="13" l="1"/>
  <c r="AL49" i="13"/>
  <c r="AL50" i="13"/>
  <c r="AL43" i="13"/>
  <c r="AL38" i="13"/>
  <c r="AL44" i="13"/>
  <c r="AL46" i="13"/>
  <c r="AL40" i="13"/>
  <c r="AL35" i="13"/>
  <c r="AL36" i="13"/>
  <c r="AM1" i="13"/>
  <c r="AL47" i="13"/>
  <c r="AL48" i="13"/>
  <c r="AL33" i="13"/>
  <c r="AL41" i="13"/>
  <c r="AL42" i="13"/>
  <c r="AL39" i="13"/>
  <c r="AL34" i="13"/>
  <c r="AN53" i="11"/>
  <c r="AN43" i="11"/>
  <c r="AN44" i="11"/>
  <c r="AN39" i="11"/>
  <c r="AN55" i="11"/>
  <c r="AO1" i="11"/>
  <c r="AN45" i="11"/>
  <c r="AN36" i="11"/>
  <c r="AN41" i="11"/>
  <c r="AN54" i="11"/>
  <c r="AN49" i="11"/>
  <c r="AN51" i="11"/>
  <c r="AN48" i="11"/>
  <c r="AN35" i="11"/>
  <c r="AN47" i="11"/>
  <c r="AN37" i="11"/>
  <c r="AN40" i="11"/>
  <c r="AL49" i="14"/>
  <c r="AL47" i="14"/>
  <c r="AL44" i="14"/>
  <c r="AL42" i="14"/>
  <c r="AL40" i="14"/>
  <c r="AL38" i="14"/>
  <c r="AL35" i="14"/>
  <c r="AL50" i="14"/>
  <c r="AL48" i="14"/>
  <c r="AL46" i="14"/>
  <c r="AL43" i="14"/>
  <c r="AL41" i="14"/>
  <c r="AL39" i="14"/>
  <c r="AL36" i="14"/>
  <c r="AL33" i="14"/>
  <c r="AL34" i="14"/>
  <c r="AO41" i="11" l="1"/>
  <c r="AO51" i="11"/>
  <c r="AO40" i="11"/>
  <c r="AO45" i="11"/>
  <c r="AO39" i="11"/>
  <c r="AO35" i="11"/>
  <c r="AO54" i="11"/>
  <c r="AO48" i="11"/>
  <c r="AO53" i="11"/>
  <c r="AO37" i="11"/>
  <c r="AO43" i="11"/>
  <c r="AO49" i="11"/>
  <c r="AP1" i="11"/>
  <c r="AO36" i="11"/>
  <c r="AO55" i="11"/>
  <c r="AO47" i="11"/>
  <c r="AO44" i="11"/>
  <c r="AM32" i="13"/>
  <c r="AM38" i="13"/>
  <c r="AM46" i="13"/>
  <c r="AM35" i="13"/>
  <c r="AN1" i="13"/>
  <c r="AM44" i="13"/>
  <c r="AM49" i="13"/>
  <c r="AM48" i="13"/>
  <c r="AM41" i="13"/>
  <c r="AM40" i="13"/>
  <c r="AM33" i="13"/>
  <c r="AM36" i="13"/>
  <c r="AM47" i="13"/>
  <c r="AM43" i="13"/>
  <c r="AM39" i="13"/>
  <c r="AM50" i="13"/>
  <c r="AM34" i="13"/>
  <c r="AM42" i="13"/>
  <c r="AM49" i="14"/>
  <c r="AM47" i="14"/>
  <c r="AM44" i="14"/>
  <c r="AM42" i="14"/>
  <c r="AM40" i="14"/>
  <c r="AM38" i="14"/>
  <c r="AM50" i="14"/>
  <c r="AM48" i="14"/>
  <c r="AM46" i="14"/>
  <c r="AM43" i="14"/>
  <c r="AM41" i="14"/>
  <c r="AM39" i="14"/>
  <c r="AM36" i="14"/>
  <c r="AM33" i="14"/>
  <c r="AM35" i="14"/>
  <c r="AM34" i="14"/>
  <c r="AN32" i="13" l="1"/>
  <c r="AN49" i="13"/>
  <c r="AN38" i="13"/>
  <c r="AO1" i="13"/>
  <c r="AN47" i="13"/>
  <c r="AN41" i="13"/>
  <c r="AN43" i="13"/>
  <c r="AN33" i="13"/>
  <c r="AN48" i="13"/>
  <c r="AN40" i="13"/>
  <c r="AN36" i="13"/>
  <c r="AN39" i="13"/>
  <c r="AN35" i="13"/>
  <c r="AN44" i="13"/>
  <c r="AN46" i="13"/>
  <c r="AN34" i="13"/>
  <c r="AN42" i="13"/>
  <c r="AN50" i="13"/>
  <c r="AP55" i="11"/>
  <c r="AP40" i="11"/>
  <c r="AP49" i="11"/>
  <c r="AP44" i="11"/>
  <c r="AP53" i="11"/>
  <c r="AP39" i="11"/>
  <c r="AP48" i="11"/>
  <c r="AP41" i="11"/>
  <c r="AP43" i="11"/>
  <c r="AP51" i="11"/>
  <c r="AP54" i="11"/>
  <c r="AP47" i="11"/>
  <c r="AQ1" i="11"/>
  <c r="AP45" i="11"/>
  <c r="AP36" i="11"/>
  <c r="AP37" i="11"/>
  <c r="AP35" i="11"/>
  <c r="AN49" i="14"/>
  <c r="AN47" i="14"/>
  <c r="AN44" i="14"/>
  <c r="AN42" i="14"/>
  <c r="AN40" i="14"/>
  <c r="AN38" i="14"/>
  <c r="AN50" i="14"/>
  <c r="AN48" i="14"/>
  <c r="AN46" i="14"/>
  <c r="AN43" i="14"/>
  <c r="AN41" i="14"/>
  <c r="AN39" i="14"/>
  <c r="AN36" i="14"/>
  <c r="AN33" i="14"/>
  <c r="AN35" i="14"/>
  <c r="AN34" i="14"/>
  <c r="AQ35" i="11" l="1"/>
  <c r="AQ49" i="11"/>
  <c r="AQ45" i="11"/>
  <c r="AQ44" i="11"/>
  <c r="AQ37" i="11"/>
  <c r="AQ43" i="11"/>
  <c r="AQ55" i="11"/>
  <c r="AQ47" i="11"/>
  <c r="AQ54" i="11"/>
  <c r="AQ36" i="11"/>
  <c r="AQ53" i="11"/>
  <c r="AQ40" i="11"/>
  <c r="AQ48" i="11"/>
  <c r="AQ41" i="11"/>
  <c r="AQ51" i="11"/>
  <c r="AQ39" i="11"/>
  <c r="AR1" i="11"/>
  <c r="AO32" i="13"/>
  <c r="AO33" i="13"/>
  <c r="AP1" i="13"/>
  <c r="AO39" i="13"/>
  <c r="AO36" i="13"/>
  <c r="AO50" i="13"/>
  <c r="AO44" i="13"/>
  <c r="AO42" i="13"/>
  <c r="AO43" i="13"/>
  <c r="AO40" i="13"/>
  <c r="AO35" i="13"/>
  <c r="AO49" i="13"/>
  <c r="AO46" i="13"/>
  <c r="AO41" i="13"/>
  <c r="AO38" i="13"/>
  <c r="AO48" i="13"/>
  <c r="AO47" i="13"/>
  <c r="AO34" i="13"/>
  <c r="AO49" i="14"/>
  <c r="AO47" i="14"/>
  <c r="AO44" i="14"/>
  <c r="AO42" i="14"/>
  <c r="AO40" i="14"/>
  <c r="AO38" i="14"/>
  <c r="AO50" i="14"/>
  <c r="AO48" i="14"/>
  <c r="AO46" i="14"/>
  <c r="AO43" i="14"/>
  <c r="AO41" i="14"/>
  <c r="AO39" i="14"/>
  <c r="AO36" i="14"/>
  <c r="AO33" i="14"/>
  <c r="AO35" i="14"/>
  <c r="AO34" i="14"/>
  <c r="AP32" i="13" l="1"/>
  <c r="AP44" i="13"/>
  <c r="AP43" i="13"/>
  <c r="AP42" i="13"/>
  <c r="AQ1" i="13"/>
  <c r="AP41" i="13"/>
  <c r="AP34" i="13"/>
  <c r="AP40" i="13"/>
  <c r="AP50" i="13"/>
  <c r="AP38" i="13"/>
  <c r="AP48" i="13"/>
  <c r="AP47" i="13"/>
  <c r="AP35" i="13"/>
  <c r="AP49" i="13"/>
  <c r="AP36" i="13"/>
  <c r="AP46" i="13"/>
  <c r="AP33" i="13"/>
  <c r="AP39" i="13"/>
  <c r="AR53" i="11"/>
  <c r="AR40" i="11"/>
  <c r="AR51" i="11"/>
  <c r="AR43" i="11"/>
  <c r="AR47" i="11"/>
  <c r="AR37" i="11"/>
  <c r="AR39" i="11"/>
  <c r="AR36" i="11"/>
  <c r="AR49" i="11"/>
  <c r="AR48" i="11"/>
  <c r="AR44" i="11"/>
  <c r="AR55" i="11"/>
  <c r="AR54" i="11"/>
  <c r="AR41" i="11"/>
  <c r="AR35" i="11"/>
  <c r="AS1" i="11"/>
  <c r="AR45" i="11"/>
  <c r="AP50" i="14"/>
  <c r="AP48" i="14"/>
  <c r="AP46" i="14"/>
  <c r="AP43" i="14"/>
  <c r="AP41" i="14"/>
  <c r="AP39" i="14"/>
  <c r="AP36" i="14"/>
  <c r="AP49" i="14"/>
  <c r="AP47" i="14"/>
  <c r="AP44" i="14"/>
  <c r="AP42" i="14"/>
  <c r="AP40" i="14"/>
  <c r="AP38" i="14"/>
  <c r="AP35" i="14"/>
  <c r="AP34" i="14"/>
  <c r="AP33" i="14"/>
  <c r="AS40" i="11" l="1"/>
  <c r="AS49" i="11"/>
  <c r="AS44" i="11"/>
  <c r="AS43" i="11"/>
  <c r="AS39" i="11"/>
  <c r="AS37" i="11"/>
  <c r="AT1" i="11"/>
  <c r="AS55" i="11"/>
  <c r="AS45" i="11"/>
  <c r="AS51" i="11"/>
  <c r="AS53" i="11"/>
  <c r="AS48" i="11"/>
  <c r="AS36" i="11"/>
  <c r="AS35" i="11"/>
  <c r="AS54" i="11"/>
  <c r="AS47" i="11"/>
  <c r="AS41" i="11"/>
  <c r="AQ32" i="13"/>
  <c r="AQ43" i="13"/>
  <c r="AQ47" i="13"/>
  <c r="AQ46" i="13"/>
  <c r="AR1" i="13"/>
  <c r="AQ42" i="13"/>
  <c r="AQ34" i="13"/>
  <c r="AQ39" i="13"/>
  <c r="AQ40" i="13"/>
  <c r="AQ50" i="13"/>
  <c r="AQ36" i="13"/>
  <c r="AQ35" i="13"/>
  <c r="AQ49" i="13"/>
  <c r="AQ44" i="13"/>
  <c r="AQ41" i="13"/>
  <c r="AQ48" i="13"/>
  <c r="AQ33" i="13"/>
  <c r="AQ38" i="13"/>
  <c r="AQ50" i="14"/>
  <c r="AQ48" i="14"/>
  <c r="AQ46" i="14"/>
  <c r="AQ43" i="14"/>
  <c r="AQ41" i="14"/>
  <c r="AQ39" i="14"/>
  <c r="AQ36" i="14"/>
  <c r="AQ49" i="14"/>
  <c r="AQ47" i="14"/>
  <c r="AQ44" i="14"/>
  <c r="AQ42" i="14"/>
  <c r="AQ40" i="14"/>
  <c r="AQ38" i="14"/>
  <c r="AQ35" i="14"/>
  <c r="AQ34" i="14"/>
  <c r="AQ33" i="14"/>
  <c r="AR32" i="13" l="1"/>
  <c r="AR35" i="13"/>
  <c r="AR46" i="13"/>
  <c r="AR43" i="13"/>
  <c r="AS1" i="13"/>
  <c r="AR47" i="13"/>
  <c r="AR36" i="13"/>
  <c r="AR40" i="13"/>
  <c r="AR39" i="13"/>
  <c r="AR38" i="13"/>
  <c r="AR48" i="13"/>
  <c r="AR50" i="13"/>
  <c r="AR49" i="13"/>
  <c r="AR41" i="13"/>
  <c r="AR34" i="13"/>
  <c r="AR33" i="13"/>
  <c r="AR42" i="13"/>
  <c r="AR44" i="13"/>
  <c r="AT53" i="11"/>
  <c r="AT37" i="11"/>
  <c r="AT49" i="11"/>
  <c r="AT44" i="11"/>
  <c r="AT51" i="11"/>
  <c r="AT45" i="11"/>
  <c r="AT36" i="11"/>
  <c r="AT41" i="11"/>
  <c r="AU1" i="11"/>
  <c r="AT55" i="11"/>
  <c r="AT47" i="11"/>
  <c r="AT39" i="11"/>
  <c r="AT54" i="11"/>
  <c r="AT40" i="11"/>
  <c r="AT48" i="11"/>
  <c r="AT35" i="11"/>
  <c r="AT43" i="11"/>
  <c r="AR50" i="14"/>
  <c r="AR48" i="14"/>
  <c r="AR46" i="14"/>
  <c r="AR43" i="14"/>
  <c r="AR41" i="14"/>
  <c r="AR39" i="14"/>
  <c r="AR36" i="14"/>
  <c r="AR49" i="14"/>
  <c r="AR47" i="14"/>
  <c r="AR44" i="14"/>
  <c r="AR42" i="14"/>
  <c r="AR40" i="14"/>
  <c r="AR38" i="14"/>
  <c r="AR35" i="14"/>
  <c r="AR34" i="14"/>
  <c r="AR33" i="14"/>
  <c r="AS32" i="13" l="1"/>
  <c r="AS41" i="13"/>
  <c r="AS48" i="13"/>
  <c r="AS47" i="13"/>
  <c r="AT1" i="13"/>
  <c r="AS39" i="13"/>
  <c r="AS44" i="13"/>
  <c r="AS38" i="13"/>
  <c r="AS43" i="13"/>
  <c r="AS40" i="13"/>
  <c r="AS34" i="13"/>
  <c r="AS50" i="13"/>
  <c r="AS49" i="13"/>
  <c r="AS46" i="13"/>
  <c r="AS36" i="13"/>
  <c r="AS35" i="13"/>
  <c r="AS33" i="13"/>
  <c r="AS42" i="13"/>
  <c r="AU47" i="11"/>
  <c r="AU48" i="11"/>
  <c r="AU53" i="11"/>
  <c r="AU35" i="11"/>
  <c r="AU40" i="11"/>
  <c r="AU45" i="11"/>
  <c r="AU51" i="11"/>
  <c r="AU49" i="11"/>
  <c r="AU55" i="11"/>
  <c r="AU43" i="11"/>
  <c r="AU54" i="11"/>
  <c r="AU36" i="11"/>
  <c r="AU37" i="11"/>
  <c r="AU41" i="11"/>
  <c r="AU39" i="11"/>
  <c r="AU44" i="11"/>
  <c r="AV1" i="11"/>
  <c r="AS50" i="14"/>
  <c r="AS48" i="14"/>
  <c r="AS46" i="14"/>
  <c r="AS43" i="14"/>
  <c r="AS41" i="14"/>
  <c r="AS39" i="14"/>
  <c r="AS36" i="14"/>
  <c r="AS49" i="14"/>
  <c r="AS47" i="14"/>
  <c r="AS44" i="14"/>
  <c r="AS42" i="14"/>
  <c r="AS40" i="14"/>
  <c r="AS38" i="14"/>
  <c r="AS35" i="14"/>
  <c r="AS34" i="14"/>
  <c r="AS33" i="14"/>
  <c r="AV40" i="11" l="1"/>
  <c r="AV51" i="11"/>
  <c r="AV49" i="11"/>
  <c r="AV47" i="11"/>
  <c r="AV48" i="11"/>
  <c r="AV44" i="11"/>
  <c r="AV41" i="11"/>
  <c r="AV35" i="11"/>
  <c r="AV43" i="11"/>
  <c r="AV53" i="11"/>
  <c r="AV45" i="11"/>
  <c r="AV37" i="11"/>
  <c r="AW1" i="11"/>
  <c r="AV54" i="11"/>
  <c r="AV55" i="11"/>
  <c r="AV39" i="11"/>
  <c r="AV36" i="11"/>
  <c r="AT32" i="13"/>
  <c r="AT33" i="13"/>
  <c r="AT42" i="13"/>
  <c r="AT39" i="13"/>
  <c r="AT49" i="13"/>
  <c r="AT38" i="13"/>
  <c r="AT46" i="13"/>
  <c r="AT40" i="13"/>
  <c r="AT35" i="13"/>
  <c r="AU1" i="13"/>
  <c r="AT44" i="13"/>
  <c r="AT36" i="13"/>
  <c r="AT48" i="13"/>
  <c r="AT43" i="13"/>
  <c r="AT47" i="13"/>
  <c r="AT34" i="13"/>
  <c r="AT41" i="13"/>
  <c r="AT50" i="13"/>
  <c r="AT49" i="14"/>
  <c r="AT47" i="14"/>
  <c r="AT44" i="14"/>
  <c r="AT42" i="14"/>
  <c r="AT40" i="14"/>
  <c r="AT38" i="14"/>
  <c r="AT35" i="14"/>
  <c r="AT50" i="14"/>
  <c r="AT48" i="14"/>
  <c r="AT46" i="14"/>
  <c r="AT43" i="14"/>
  <c r="AT41" i="14"/>
  <c r="AT39" i="14"/>
  <c r="AT36" i="14"/>
  <c r="AT34" i="14"/>
  <c r="AT33" i="14"/>
  <c r="AU32" i="13" l="1"/>
  <c r="AU48" i="13"/>
  <c r="AU42" i="13"/>
  <c r="AU40" i="13"/>
  <c r="AU41" i="13"/>
  <c r="AU38" i="13"/>
  <c r="AV1" i="13"/>
  <c r="AU36" i="13"/>
  <c r="AU49" i="13"/>
  <c r="AU35" i="13"/>
  <c r="AU43" i="13"/>
  <c r="AU50" i="13"/>
  <c r="AU47" i="13"/>
  <c r="AU34" i="13"/>
  <c r="AU46" i="13"/>
  <c r="AU44" i="13"/>
  <c r="AU33" i="13"/>
  <c r="AU39" i="13"/>
  <c r="AW41" i="11"/>
  <c r="AW36" i="11"/>
  <c r="AW51" i="11"/>
  <c r="AW53" i="11"/>
  <c r="AW48" i="11"/>
  <c r="AW45" i="11"/>
  <c r="AW47" i="11"/>
  <c r="AW55" i="11"/>
  <c r="AW44" i="11"/>
  <c r="AW49" i="11"/>
  <c r="AX1" i="11"/>
  <c r="AW54" i="11"/>
  <c r="AW39" i="11"/>
  <c r="AW35" i="11"/>
  <c r="AW43" i="11"/>
  <c r="AW40" i="11"/>
  <c r="AW37" i="11"/>
  <c r="AU49" i="14"/>
  <c r="AU47" i="14"/>
  <c r="AU44" i="14"/>
  <c r="AU42" i="14"/>
  <c r="AU40" i="14"/>
  <c r="AU38" i="14"/>
  <c r="AU50" i="14"/>
  <c r="AU48" i="14"/>
  <c r="AU46" i="14"/>
  <c r="AU43" i="14"/>
  <c r="AU41" i="14"/>
  <c r="AU39" i="14"/>
  <c r="AU36" i="14"/>
  <c r="AU33" i="14"/>
  <c r="AU35" i="14"/>
  <c r="AU34" i="14"/>
  <c r="AX49" i="11" l="1"/>
  <c r="AX37" i="11"/>
  <c r="AX44" i="11"/>
  <c r="AX39" i="11"/>
  <c r="AX40" i="11"/>
  <c r="AY1" i="11"/>
  <c r="AX41" i="11"/>
  <c r="AX51" i="11"/>
  <c r="AX53" i="11"/>
  <c r="AX47" i="11"/>
  <c r="AX35" i="11"/>
  <c r="AX55" i="11"/>
  <c r="AX45" i="11"/>
  <c r="AX48" i="11"/>
  <c r="AX36" i="11"/>
  <c r="AX54" i="11"/>
  <c r="AX43" i="11"/>
  <c r="AV32" i="13"/>
  <c r="AV34" i="13"/>
  <c r="AV36" i="13"/>
  <c r="AV38" i="13"/>
  <c r="AW1" i="13"/>
  <c r="AV50" i="13"/>
  <c r="AV42" i="13"/>
  <c r="AV43" i="13"/>
  <c r="AV35" i="13"/>
  <c r="AV46" i="13"/>
  <c r="AV47" i="13"/>
  <c r="AV48" i="13"/>
  <c r="AV33" i="13"/>
  <c r="AV40" i="13"/>
  <c r="AV39" i="13"/>
  <c r="AV44" i="13"/>
  <c r="AV41" i="13"/>
  <c r="AV49" i="13"/>
  <c r="AV49" i="14"/>
  <c r="AV47" i="14"/>
  <c r="AV44" i="14"/>
  <c r="AV42" i="14"/>
  <c r="AV40" i="14"/>
  <c r="AV38" i="14"/>
  <c r="AV50" i="14"/>
  <c r="AV48" i="14"/>
  <c r="AV46" i="14"/>
  <c r="AV43" i="14"/>
  <c r="AV41" i="14"/>
  <c r="AV39" i="14"/>
  <c r="AV36" i="14"/>
  <c r="AV33" i="14"/>
  <c r="AV35" i="14"/>
  <c r="AV34" i="14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W32" i="13" l="1"/>
  <c r="AW39" i="13"/>
  <c r="AW49" i="13"/>
  <c r="AW35" i="13"/>
  <c r="AX1" i="13"/>
  <c r="AW36" i="13"/>
  <c r="AW47" i="13"/>
  <c r="AW43" i="13"/>
  <c r="AW48" i="13"/>
  <c r="AW44" i="13"/>
  <c r="AW40" i="13"/>
  <c r="AW42" i="13"/>
  <c r="AW34" i="13"/>
  <c r="AW46" i="13"/>
  <c r="AW33" i="13"/>
  <c r="AW50" i="13"/>
  <c r="AW38" i="13"/>
  <c r="AW41" i="13"/>
  <c r="AY45" i="11"/>
  <c r="AY47" i="11"/>
  <c r="AY51" i="11"/>
  <c r="AY39" i="11"/>
  <c r="AY49" i="11"/>
  <c r="AY43" i="11"/>
  <c r="AY54" i="11"/>
  <c r="AY41" i="11"/>
  <c r="AY37" i="11"/>
  <c r="AY36" i="11"/>
  <c r="AY44" i="11"/>
  <c r="AY53" i="11"/>
  <c r="AY48" i="11"/>
  <c r="AY40" i="11"/>
  <c r="AY55" i="11"/>
  <c r="AZ1" i="11"/>
  <c r="AY35" i="11"/>
  <c r="AW49" i="14"/>
  <c r="AW47" i="14"/>
  <c r="AW44" i="14"/>
  <c r="AW42" i="14"/>
  <c r="AW40" i="14"/>
  <c r="AW38" i="14"/>
  <c r="AW50" i="14"/>
  <c r="AW48" i="14"/>
  <c r="AW46" i="14"/>
  <c r="AW43" i="14"/>
  <c r="AW41" i="14"/>
  <c r="AW39" i="14"/>
  <c r="AW36" i="14"/>
  <c r="AW33" i="14"/>
  <c r="AW35" i="14"/>
  <c r="AW34" i="14"/>
  <c r="B47" i="1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X28" i="3"/>
  <c r="X18" i="3"/>
  <c r="X8" i="3"/>
  <c r="E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E36" i="1"/>
  <c r="F36" i="1"/>
  <c r="G36" i="1"/>
  <c r="G32" i="1" s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E32" i="1" s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E37" i="1"/>
  <c r="F37" i="1"/>
  <c r="F33" i="1" s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D33" i="1" s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C53" i="1"/>
  <c r="D53" i="1"/>
  <c r="C54" i="1"/>
  <c r="D54" i="1"/>
  <c r="C55" i="1"/>
  <c r="D55" i="1"/>
  <c r="C51" i="1"/>
  <c r="D51" i="1"/>
  <c r="C47" i="1"/>
  <c r="D47" i="1"/>
  <c r="C48" i="1"/>
  <c r="D48" i="1"/>
  <c r="C49" i="1"/>
  <c r="D49" i="1"/>
  <c r="C43" i="1"/>
  <c r="D43" i="1"/>
  <c r="C44" i="1"/>
  <c r="D44" i="1"/>
  <c r="C45" i="1"/>
  <c r="D45" i="1"/>
  <c r="C39" i="1"/>
  <c r="D39" i="1"/>
  <c r="C40" i="1"/>
  <c r="D40" i="1"/>
  <c r="C41" i="1"/>
  <c r="D41" i="1"/>
  <c r="C37" i="1"/>
  <c r="D37" i="1"/>
  <c r="C36" i="1"/>
  <c r="D36" i="1"/>
  <c r="C35" i="1"/>
  <c r="D35" i="1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55" i="4"/>
  <c r="B54" i="4"/>
  <c r="B53" i="4"/>
  <c r="B51" i="4"/>
  <c r="B49" i="4"/>
  <c r="B48" i="4"/>
  <c r="B47" i="4"/>
  <c r="B45" i="4"/>
  <c r="B44" i="4"/>
  <c r="B43" i="4"/>
  <c r="B41" i="4"/>
  <c r="B40" i="4"/>
  <c r="B39" i="4"/>
  <c r="B37" i="4"/>
  <c r="B36" i="4"/>
  <c r="B35" i="4"/>
  <c r="V28" i="3"/>
  <c r="W27" i="3" s="1"/>
  <c r="Y27" i="3" s="1"/>
  <c r="V18" i="3"/>
  <c r="W17" i="3" s="1"/>
  <c r="Y17" i="3" s="1"/>
  <c r="V8" i="3"/>
  <c r="W4" i="3" s="1"/>
  <c r="R29" i="3"/>
  <c r="R19" i="3"/>
  <c r="P19" i="3"/>
  <c r="Q15" i="3" s="1"/>
  <c r="S15" i="3" s="1"/>
  <c r="R9" i="3"/>
  <c r="P29" i="3"/>
  <c r="Q28" i="3" s="1"/>
  <c r="S28" i="3" s="1"/>
  <c r="P9" i="3"/>
  <c r="Q5" i="3" s="1"/>
  <c r="F30" i="3"/>
  <c r="D30" i="3"/>
  <c r="E29" i="3" s="1"/>
  <c r="G29" i="3" s="1"/>
  <c r="A28" i="3"/>
  <c r="F20" i="3"/>
  <c r="D20" i="3"/>
  <c r="E17" i="3" s="1"/>
  <c r="G17" i="3" s="1"/>
  <c r="A18" i="3"/>
  <c r="F10" i="3"/>
  <c r="D10" i="3"/>
  <c r="E6" i="3" s="1"/>
  <c r="G6" i="3" s="1"/>
  <c r="A8" i="3"/>
  <c r="B53" i="1"/>
  <c r="B54" i="1"/>
  <c r="B55" i="1"/>
  <c r="B51" i="1"/>
  <c r="B48" i="1"/>
  <c r="B49" i="1"/>
  <c r="B43" i="1"/>
  <c r="B44" i="1"/>
  <c r="B45" i="1"/>
  <c r="B39" i="1"/>
  <c r="B40" i="1"/>
  <c r="B41" i="1"/>
  <c r="B37" i="1"/>
  <c r="B36" i="1"/>
  <c r="B35" i="1"/>
  <c r="AZ40" i="11" l="1"/>
  <c r="AZ47" i="11"/>
  <c r="AZ37" i="11"/>
  <c r="AZ41" i="11"/>
  <c r="AZ35" i="11"/>
  <c r="AZ49" i="11"/>
  <c r="AZ51" i="11"/>
  <c r="AZ53" i="11"/>
  <c r="AZ36" i="11"/>
  <c r="AZ45" i="11"/>
  <c r="AZ48" i="11"/>
  <c r="BA1" i="11"/>
  <c r="AZ55" i="11"/>
  <c r="AZ43" i="11"/>
  <c r="AZ54" i="11"/>
  <c r="AZ39" i="11"/>
  <c r="AZ44" i="11"/>
  <c r="AL33" i="1"/>
  <c r="AM32" i="1"/>
  <c r="AX32" i="13"/>
  <c r="AX36" i="13"/>
  <c r="AX48" i="13"/>
  <c r="AX46" i="13"/>
  <c r="AX41" i="13"/>
  <c r="AX42" i="13"/>
  <c r="AX38" i="13"/>
  <c r="AX47" i="13"/>
  <c r="AX40" i="13"/>
  <c r="AX33" i="13"/>
  <c r="AX35" i="13"/>
  <c r="AX34" i="13"/>
  <c r="AX44" i="13"/>
  <c r="AX49" i="13"/>
  <c r="AY1" i="13"/>
  <c r="AX50" i="13"/>
  <c r="AX43" i="13"/>
  <c r="AX39" i="13"/>
  <c r="V33" i="1"/>
  <c r="AU32" i="1"/>
  <c r="W32" i="1"/>
  <c r="AT33" i="1"/>
  <c r="N33" i="1"/>
  <c r="AV31" i="1"/>
  <c r="AN31" i="1"/>
  <c r="AF31" i="1"/>
  <c r="BA33" i="1"/>
  <c r="AS33" i="1"/>
  <c r="AK33" i="1"/>
  <c r="AC33" i="1"/>
  <c r="U33" i="1"/>
  <c r="M33" i="1"/>
  <c r="E33" i="1"/>
  <c r="AT32" i="1"/>
  <c r="AL32" i="1"/>
  <c r="AD32" i="1"/>
  <c r="V32" i="1"/>
  <c r="N32" i="1"/>
  <c r="F32" i="1"/>
  <c r="AU31" i="1"/>
  <c r="AM31" i="1"/>
  <c r="AE31" i="1"/>
  <c r="X31" i="1"/>
  <c r="C31" i="1"/>
  <c r="AJ33" i="1"/>
  <c r="AS32" i="1"/>
  <c r="E32" i="1"/>
  <c r="D32" i="1"/>
  <c r="AY33" i="1"/>
  <c r="AQ33" i="1"/>
  <c r="AI33" i="1"/>
  <c r="AZ32" i="1"/>
  <c r="AR32" i="1"/>
  <c r="AJ32" i="1"/>
  <c r="AB32" i="1"/>
  <c r="BA31" i="1"/>
  <c r="AS31" i="1"/>
  <c r="AK31" i="1"/>
  <c r="AC31" i="1"/>
  <c r="U31" i="1"/>
  <c r="E31" i="1"/>
  <c r="D31" i="1"/>
  <c r="AR33" i="1"/>
  <c r="U32" i="1"/>
  <c r="F31" i="1"/>
  <c r="AR31" i="1"/>
  <c r="AZ33" i="1"/>
  <c r="AD31" i="1"/>
  <c r="AX33" i="1"/>
  <c r="AI32" i="1"/>
  <c r="AZ31" i="1"/>
  <c r="L31" i="1"/>
  <c r="D33" i="1"/>
  <c r="AO33" i="1"/>
  <c r="AG33" i="1"/>
  <c r="AX32" i="1"/>
  <c r="AP32" i="1"/>
  <c r="AH32" i="1"/>
  <c r="J32" i="1"/>
  <c r="AY31" i="1"/>
  <c r="AQ31" i="1"/>
  <c r="AI31" i="1"/>
  <c r="T33" i="1"/>
  <c r="AK32" i="1"/>
  <c r="AT31" i="1"/>
  <c r="C32" i="1"/>
  <c r="AH33" i="1"/>
  <c r="AY32" i="1"/>
  <c r="AB31" i="1"/>
  <c r="B32" i="1"/>
  <c r="AW33" i="1"/>
  <c r="B33" i="1"/>
  <c r="C33" i="1"/>
  <c r="AV33" i="1"/>
  <c r="AN33" i="1"/>
  <c r="AF33" i="1"/>
  <c r="AW32" i="1"/>
  <c r="AO32" i="1"/>
  <c r="AG32" i="1"/>
  <c r="Q32" i="1"/>
  <c r="AX31" i="1"/>
  <c r="AP31" i="1"/>
  <c r="AH31" i="1"/>
  <c r="AB33" i="1"/>
  <c r="BA32" i="1"/>
  <c r="AC32" i="1"/>
  <c r="AL31" i="1"/>
  <c r="B31" i="1"/>
  <c r="AP33" i="1"/>
  <c r="AQ32" i="1"/>
  <c r="AJ31" i="1"/>
  <c r="AU33" i="1"/>
  <c r="AM33" i="1"/>
  <c r="AE33" i="1"/>
  <c r="O33" i="1"/>
  <c r="AV32" i="1"/>
  <c r="AN32" i="1"/>
  <c r="AF32" i="1"/>
  <c r="H32" i="1"/>
  <c r="AW31" i="1"/>
  <c r="AO31" i="1"/>
  <c r="AG31" i="1"/>
  <c r="AA31" i="1"/>
  <c r="AA33" i="1"/>
  <c r="AA32" i="1"/>
  <c r="Z32" i="1"/>
  <c r="Z31" i="1"/>
  <c r="Z33" i="1"/>
  <c r="Y32" i="1"/>
  <c r="Y33" i="1"/>
  <c r="Y31" i="1"/>
  <c r="X33" i="1"/>
  <c r="X32" i="1"/>
  <c r="W31" i="1"/>
  <c r="W33" i="1"/>
  <c r="V31" i="1"/>
  <c r="T32" i="1"/>
  <c r="T31" i="1"/>
  <c r="S33" i="1"/>
  <c r="S32" i="1"/>
  <c r="S31" i="1"/>
  <c r="R33" i="1"/>
  <c r="R32" i="1"/>
  <c r="R31" i="1"/>
  <c r="Q33" i="1"/>
  <c r="Q31" i="1"/>
  <c r="P31" i="1"/>
  <c r="P33" i="1"/>
  <c r="P32" i="1"/>
  <c r="O31" i="1"/>
  <c r="O32" i="1"/>
  <c r="N31" i="1"/>
  <c r="M31" i="1"/>
  <c r="M32" i="1"/>
  <c r="L33" i="1"/>
  <c r="L32" i="1"/>
  <c r="K33" i="1"/>
  <c r="K31" i="1"/>
  <c r="K32" i="1"/>
  <c r="J33" i="1"/>
  <c r="J31" i="1"/>
  <c r="I33" i="1"/>
  <c r="I32" i="1"/>
  <c r="I31" i="1"/>
  <c r="H31" i="1"/>
  <c r="H33" i="1"/>
  <c r="W5" i="3"/>
  <c r="Y5" i="3" s="1"/>
  <c r="W6" i="3"/>
  <c r="Y6" i="3" s="1"/>
  <c r="G31" i="1"/>
  <c r="G33" i="1"/>
  <c r="AX50" i="14"/>
  <c r="AX48" i="14"/>
  <c r="AX46" i="14"/>
  <c r="AX43" i="14"/>
  <c r="AX41" i="14"/>
  <c r="AX39" i="14"/>
  <c r="AX36" i="14"/>
  <c r="AX34" i="14"/>
  <c r="AX49" i="14"/>
  <c r="AX47" i="14"/>
  <c r="AX44" i="14"/>
  <c r="AX42" i="14"/>
  <c r="AX40" i="14"/>
  <c r="AX38" i="14"/>
  <c r="AX35" i="14"/>
  <c r="AX33" i="14"/>
  <c r="Q17" i="3"/>
  <c r="S17" i="3" s="1"/>
  <c r="Q16" i="3"/>
  <c r="S16" i="3" s="1"/>
  <c r="Q24" i="3"/>
  <c r="S24" i="3" s="1"/>
  <c r="Q25" i="3"/>
  <c r="S25" i="3" s="1"/>
  <c r="Q6" i="3"/>
  <c r="S6" i="3" s="1"/>
  <c r="Q7" i="3"/>
  <c r="S7" i="3" s="1"/>
  <c r="Q8" i="3"/>
  <c r="S8" i="3" s="1"/>
  <c r="Q18" i="3"/>
  <c r="S18" i="3" s="1"/>
  <c r="W7" i="3"/>
  <c r="W14" i="3"/>
  <c r="Q26" i="3"/>
  <c r="S26" i="3" s="1"/>
  <c r="W24" i="3"/>
  <c r="Q4" i="3"/>
  <c r="Q14" i="3"/>
  <c r="Q27" i="3"/>
  <c r="S27" i="3" s="1"/>
  <c r="W15" i="3"/>
  <c r="Y15" i="3" s="1"/>
  <c r="W25" i="3"/>
  <c r="Y25" i="3" s="1"/>
  <c r="W16" i="3"/>
  <c r="Y16" i="3" s="1"/>
  <c r="W26" i="3"/>
  <c r="Y26" i="3" s="1"/>
  <c r="E26" i="3"/>
  <c r="G26" i="3" s="1"/>
  <c r="Y4" i="3"/>
  <c r="S5" i="3"/>
  <c r="E24" i="3"/>
  <c r="G24" i="3" s="1"/>
  <c r="E27" i="3"/>
  <c r="G27" i="3" s="1"/>
  <c r="E4" i="3"/>
  <c r="G4" i="3" s="1"/>
  <c r="E7" i="3"/>
  <c r="G7" i="3" s="1"/>
  <c r="E8" i="3"/>
  <c r="G8" i="3" s="1"/>
  <c r="E14" i="3"/>
  <c r="G14" i="3" s="1"/>
  <c r="E5" i="3"/>
  <c r="G5" i="3" s="1"/>
  <c r="E18" i="3"/>
  <c r="G18" i="3" s="1"/>
  <c r="E9" i="3"/>
  <c r="G9" i="3" s="1"/>
  <c r="E15" i="3"/>
  <c r="G15" i="3" s="1"/>
  <c r="E28" i="3"/>
  <c r="G28" i="3" s="1"/>
  <c r="E19" i="3"/>
  <c r="G19" i="3" s="1"/>
  <c r="E25" i="3"/>
  <c r="G25" i="3" s="1"/>
  <c r="E16" i="3"/>
  <c r="G16" i="3" s="1"/>
  <c r="AY32" i="13" l="1"/>
  <c r="AY47" i="13"/>
  <c r="AY36" i="13"/>
  <c r="AY34" i="13"/>
  <c r="AZ1" i="13"/>
  <c r="AY40" i="13"/>
  <c r="AY42" i="13"/>
  <c r="AY50" i="13"/>
  <c r="AY49" i="13"/>
  <c r="AY41" i="13"/>
  <c r="AY38" i="13"/>
  <c r="AY33" i="13"/>
  <c r="AY44" i="13"/>
  <c r="AY43" i="13"/>
  <c r="AY48" i="13"/>
  <c r="AY39" i="13"/>
  <c r="AY35" i="13"/>
  <c r="AY46" i="13"/>
  <c r="BA54" i="11"/>
  <c r="BA53" i="11"/>
  <c r="BA43" i="11"/>
  <c r="BA39" i="11"/>
  <c r="BA37" i="11"/>
  <c r="BA45" i="11"/>
  <c r="BA47" i="11"/>
  <c r="BA40" i="11"/>
  <c r="BA55" i="11"/>
  <c r="BA41" i="11"/>
  <c r="BA36" i="11"/>
  <c r="BA48" i="11"/>
  <c r="BA44" i="11"/>
  <c r="BA35" i="11"/>
  <c r="BA49" i="11"/>
  <c r="BA51" i="11"/>
  <c r="W8" i="3"/>
  <c r="S29" i="3"/>
  <c r="Y7" i="3"/>
  <c r="Y8" i="3" s="1"/>
  <c r="AY50" i="14"/>
  <c r="AY48" i="14"/>
  <c r="AY46" i="14"/>
  <c r="AY43" i="14"/>
  <c r="AY41" i="14"/>
  <c r="AY39" i="14"/>
  <c r="AY36" i="14"/>
  <c r="AY49" i="14"/>
  <c r="AY47" i="14"/>
  <c r="AY44" i="14"/>
  <c r="AY42" i="14"/>
  <c r="AY40" i="14"/>
  <c r="AY38" i="14"/>
  <c r="AY35" i="14"/>
  <c r="AY34" i="14"/>
  <c r="AY33" i="14"/>
  <c r="Q19" i="3"/>
  <c r="S14" i="3"/>
  <c r="S19" i="3" s="1"/>
  <c r="Y14" i="3"/>
  <c r="Y18" i="3" s="1"/>
  <c r="W18" i="3"/>
  <c r="Q9" i="3"/>
  <c r="Y24" i="3"/>
  <c r="Y28" i="3" s="1"/>
  <c r="W28" i="3"/>
  <c r="Q29" i="3"/>
  <c r="G10" i="3"/>
  <c r="G20" i="3"/>
  <c r="G30" i="3"/>
  <c r="E20" i="3"/>
  <c r="E10" i="3"/>
  <c r="E30" i="3"/>
  <c r="AZ32" i="13" l="1"/>
  <c r="AZ44" i="13"/>
  <c r="AZ33" i="13"/>
  <c r="AZ48" i="13"/>
  <c r="AZ36" i="13"/>
  <c r="AZ41" i="13"/>
  <c r="BA1" i="13"/>
  <c r="AZ38" i="13"/>
  <c r="AZ49" i="13"/>
  <c r="AZ39" i="13"/>
  <c r="AZ35" i="13"/>
  <c r="AZ47" i="13"/>
  <c r="AZ42" i="13"/>
  <c r="AZ46" i="13"/>
  <c r="AZ50" i="13"/>
  <c r="AZ34" i="13"/>
  <c r="AZ40" i="13"/>
  <c r="AZ43" i="13"/>
  <c r="AZ50" i="14"/>
  <c r="AZ48" i="14"/>
  <c r="AZ46" i="14"/>
  <c r="AZ43" i="14"/>
  <c r="AZ41" i="14"/>
  <c r="AZ39" i="14"/>
  <c r="AZ36" i="14"/>
  <c r="AZ49" i="14"/>
  <c r="AZ47" i="14"/>
  <c r="AZ44" i="14"/>
  <c r="AZ42" i="14"/>
  <c r="AZ40" i="14"/>
  <c r="AZ38" i="14"/>
  <c r="AZ35" i="14"/>
  <c r="AZ34" i="14"/>
  <c r="AZ33" i="14"/>
  <c r="S4" i="3"/>
  <c r="S9" i="3" s="1"/>
  <c r="BA32" i="13" l="1"/>
  <c r="BA44" i="13"/>
  <c r="BA34" i="13"/>
  <c r="BA50" i="13"/>
  <c r="BA42" i="13"/>
  <c r="BA48" i="13"/>
  <c r="BA40" i="13"/>
  <c r="BA46" i="13"/>
  <c r="BA35" i="13"/>
  <c r="BA38" i="13"/>
  <c r="BA49" i="13"/>
  <c r="BA41" i="13"/>
  <c r="BA39" i="13"/>
  <c r="BA33" i="13"/>
  <c r="BA43" i="13"/>
  <c r="BA36" i="13"/>
  <c r="BA47" i="13"/>
  <c r="BA50" i="14"/>
  <c r="BA48" i="14"/>
  <c r="BA46" i="14"/>
  <c r="BA43" i="14"/>
  <c r="BA41" i="14"/>
  <c r="BA39" i="14"/>
  <c r="BA36" i="14"/>
  <c r="BA49" i="14"/>
  <c r="BA47" i="14"/>
  <c r="BA44" i="14"/>
  <c r="BA42" i="14"/>
  <c r="BA40" i="14"/>
  <c r="BA38" i="14"/>
  <c r="BA35" i="14"/>
  <c r="BA34" i="14"/>
  <c r="BA33" i="14"/>
</calcChain>
</file>

<file path=xl/sharedStrings.xml><?xml version="1.0" encoding="utf-8"?>
<sst xmlns="http://schemas.openxmlformats.org/spreadsheetml/2006/main" count="4325" uniqueCount="283">
  <si>
    <t>#</t>
  </si>
  <si>
    <t>Date</t>
  </si>
  <si>
    <t>2024 Incidents</t>
  </si>
  <si>
    <t>Ticket #</t>
  </si>
  <si>
    <t>Priority</t>
  </si>
  <si>
    <t>Duration</t>
  </si>
  <si>
    <t>AirVantage DB1 Provisioning Degradation + SMS and USSD failures</t>
  </si>
  <si>
    <t>GNOC-6543</t>
  </si>
  <si>
    <t>P2</t>
  </si>
  <si>
    <t>Orange Roaming Service Outage</t>
  </si>
  <si>
    <t>GNOC-5916</t>
  </si>
  <si>
    <t>Maingate Service Outage</t>
  </si>
  <si>
    <t>GNOC-6177</t>
  </si>
  <si>
    <t>AirVantage DB1 Extranet Incident</t>
  </si>
  <si>
    <t>Sparkle Router Failure Incident</t>
  </si>
  <si>
    <t>GNOC-6820</t>
  </si>
  <si>
    <t>Average</t>
  </si>
  <si>
    <t>2025 Incidents</t>
  </si>
  <si>
    <t>ALMS/AV Incident</t>
  </si>
  <si>
    <t>AMM Airlink.com DNS Outage</t>
  </si>
  <si>
    <t>Sparkle ORS Network Congestion Incident</t>
  </si>
  <si>
    <t>Orange Sigtran Traffic Block Incident</t>
  </si>
  <si>
    <t>HOURS</t>
  </si>
  <si>
    <t>Week #</t>
  </si>
  <si>
    <t>DOWNTIME (Hours)</t>
  </si>
  <si>
    <t>ADVANCED</t>
  </si>
  <si>
    <t>• DATA</t>
  </si>
  <si>
    <t>• SMS</t>
  </si>
  <si>
    <t>• VOICE</t>
  </si>
  <si>
    <t>ESSENTIALS1</t>
  </si>
  <si>
    <t>ESSENTIALS2</t>
  </si>
  <si>
    <t>ESSENTIALS3</t>
  </si>
  <si>
    <t>ESSENTIALS4</t>
  </si>
  <si>
    <t>ESSENTIALS5</t>
  </si>
  <si>
    <t>SERVICE AVAILABILITY %</t>
  </si>
  <si>
    <t>SC OVERALL (Weighted)</t>
  </si>
  <si>
    <t>AirVantage Platform</t>
  </si>
  <si>
    <t>• SIM and Connectivity Management</t>
  </si>
  <si>
    <t>• Device Management</t>
  </si>
  <si>
    <t>• AirVantage UI / API</t>
  </si>
  <si>
    <t>• Cloud Connector Data Push</t>
  </si>
  <si>
    <t>Smart Connectivity Overall (Weighted Avg)</t>
  </si>
  <si>
    <t>Advanced</t>
  </si>
  <si>
    <r>
      <t>Essentials1 (</t>
    </r>
    <r>
      <rPr>
        <i/>
        <sz val="11"/>
        <color theme="0"/>
        <rFont val="Aptos Narrow"/>
        <family val="2"/>
        <scheme val="minor"/>
      </rPr>
      <t>Sparkle</t>
    </r>
    <r>
      <rPr>
        <sz val="11"/>
        <color theme="0"/>
        <rFont val="Aptos Narrow"/>
        <family val="2"/>
        <scheme val="minor"/>
      </rPr>
      <t>)</t>
    </r>
  </si>
  <si>
    <t>Essentials2 (BICS)</t>
  </si>
  <si>
    <t>Essentials3 (JT - Velos IoT)</t>
  </si>
  <si>
    <t xml:space="preserve">Essentials4 </t>
  </si>
  <si>
    <t>Essentials5 (Orange 901)</t>
  </si>
  <si>
    <t>Carrier+ NAM</t>
  </si>
  <si>
    <t>Carrier+ EMEA</t>
  </si>
  <si>
    <t>Broadband Access</t>
  </si>
  <si>
    <t>ALMS</t>
  </si>
  <si>
    <t>AirLink Mobility Manager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</si>
  <si>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</si>
  <si>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</si>
  <si>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</si>
  <si>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</si>
  <si>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</si>
  <si>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</si>
  <si>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</si>
  <si>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</si>
  <si>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</si>
  <si>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</si>
  <si>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</si>
  <si>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</si>
  <si>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</si>
  <si>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</si>
  <si>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</si>
  <si>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</si>
  <si>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</si>
  <si>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</si>
  <si>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</si>
  <si>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</si>
  <si>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</si>
  <si>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</si>
  <si>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</si>
  <si>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</si>
  <si>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</si>
  <si>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</si>
  <si>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</si>
  <si>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</si>
  <si>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</si>
  <si>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</si>
  <si>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</si>
  <si>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</si>
  <si>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</si>
  <si>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</si>
  <si>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</si>
  <si>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</si>
  <si>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</si>
  <si>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</si>
  <si>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</si>
  <si>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</si>
  <si>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</si>
  <si>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</si>
  <si>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</si>
  <si>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</si>
  <si>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</si>
  <si>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</si>
  <si>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</si>
  <si>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</si>
  <si>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</si>
  <si>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</si>
  <si>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</si>
  <si>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</si>
  <si>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`</t>
  </si>
  <si>
    <t>2/4/2024 AirVantage DB1 Provisioning Degradation + SMS and USSD failures (4.23)</t>
  </si>
  <si>
    <t>02052024 LWM2M AirVantage Incident downtime (4.23) rolls off AV Device Management</t>
  </si>
  <si>
    <t>8/15/2024 Orange Roaming Service Outage (13.83)</t>
  </si>
  <si>
    <t>9/19/2024 Maingate Service Outage (1.4)</t>
  </si>
  <si>
    <t>11/4/2024 AirVantage DB1 Extranet Incident (3.7)</t>
  </si>
  <si>
    <t>12/11/2024 Sparkle Router Failure Incident (3.17)</t>
  </si>
  <si>
    <r>
      <rPr>
        <b/>
        <sz val="11"/>
        <color rgb="FF0070C0"/>
        <rFont val="Aptos Narrow"/>
        <family val="2"/>
        <scheme val="minor"/>
      </rPr>
      <t xml:space="preserve">NOTE: </t>
    </r>
    <r>
      <rPr>
        <sz val="11"/>
        <color rgb="FF0070C0"/>
        <rFont val="Aptos Narrow"/>
        <family val="2"/>
        <scheme val="minor"/>
      </rPr>
      <t xml:space="preserve">Determine SC Overall (weighted) percentage using the data provided by Jerome Coppens' Metabase reports. </t>
    </r>
  </si>
  <si>
    <t>WEEK 1</t>
  </si>
  <si>
    <t>Week 1</t>
  </si>
  <si>
    <t>DATA</t>
  </si>
  <si>
    <t>SMS</t>
  </si>
  <si>
    <t>VOICE</t>
  </si>
  <si>
    <t>Count</t>
  </si>
  <si>
    <t>Percentage</t>
  </si>
  <si>
    <t xml:space="preserve">Simple </t>
  </si>
  <si>
    <t>Weighted SA</t>
  </si>
  <si>
    <t>ADVANCED TOTAL:</t>
  </si>
  <si>
    <t>WEEK 2</t>
  </si>
  <si>
    <t>Week 2</t>
  </si>
  <si>
    <t>WEEK 3</t>
  </si>
  <si>
    <t>Week 3</t>
  </si>
  <si>
    <t>WEEK 4</t>
  </si>
  <si>
    <t>Week 4</t>
  </si>
  <si>
    <t>WEEK 5</t>
  </si>
  <si>
    <t>Week 5</t>
  </si>
  <si>
    <t>WEEK 6</t>
  </si>
  <si>
    <t>Week 6</t>
  </si>
  <si>
    <t>WEEK 7</t>
  </si>
  <si>
    <t>Week 7</t>
  </si>
  <si>
    <t>WEEK 8</t>
  </si>
  <si>
    <t>Week 8</t>
  </si>
  <si>
    <t>WEEK 9</t>
  </si>
  <si>
    <t>Week 9</t>
  </si>
  <si>
    <t>WEEK 10</t>
  </si>
  <si>
    <t>Week 10</t>
  </si>
  <si>
    <t>WEEK 11</t>
  </si>
  <si>
    <t>Week 11</t>
  </si>
  <si>
    <t>WEEK 12</t>
  </si>
  <si>
    <t>Week 12</t>
  </si>
  <si>
    <t>WEEK 13</t>
  </si>
  <si>
    <t>Week 13</t>
  </si>
  <si>
    <t>WEEK 14</t>
  </si>
  <si>
    <t>Week 14</t>
  </si>
  <si>
    <t>WEEK 15</t>
  </si>
  <si>
    <t>Week 15</t>
  </si>
  <si>
    <t>WEEK 16</t>
  </si>
  <si>
    <t>Week 16</t>
  </si>
  <si>
    <t>WEEK 17</t>
  </si>
  <si>
    <t>Week 17</t>
  </si>
  <si>
    <t>WEEK 18</t>
  </si>
  <si>
    <t>Week 18</t>
  </si>
  <si>
    <t>WEEK 19</t>
  </si>
  <si>
    <t>Week 19</t>
  </si>
  <si>
    <t>WEEK 20</t>
  </si>
  <si>
    <t>Week 20</t>
  </si>
  <si>
    <t>WEEK 21</t>
  </si>
  <si>
    <t>Week 21</t>
  </si>
  <si>
    <t>WEEK 22</t>
  </si>
  <si>
    <t>Week 22</t>
  </si>
  <si>
    <t>WEEK 23</t>
  </si>
  <si>
    <t>Week 23</t>
  </si>
  <si>
    <t>WEEK 24</t>
  </si>
  <si>
    <t>Week 24</t>
  </si>
  <si>
    <t>WEEK 25</t>
  </si>
  <si>
    <t>Week 25</t>
  </si>
  <si>
    <t>WEEK 26</t>
  </si>
  <si>
    <t>Week 26</t>
  </si>
  <si>
    <t>Orange Network Congestion Incident</t>
  </si>
  <si>
    <t>Semtech PGW Failure - Network Congestion Incident</t>
  </si>
  <si>
    <t>CULPABLE</t>
  </si>
  <si>
    <t>Semtech</t>
  </si>
  <si>
    <t>Orange</t>
  </si>
  <si>
    <t>Sparkle</t>
  </si>
  <si>
    <t>Orange Sigtran Traffic Block Incident (1.33)</t>
  </si>
  <si>
    <t>Sparkle ORS Network Congestion Incident (4.98)</t>
  </si>
  <si>
    <t>Orange Network Congestion Incident (1)</t>
  </si>
  <si>
    <t>Semtech PGW Failure - Network Congestion Incident (3.45)</t>
  </si>
  <si>
    <t>WEEK 27</t>
  </si>
  <si>
    <t>Week 27</t>
  </si>
  <si>
    <t>JUNE</t>
  </si>
  <si>
    <t>Week 28</t>
  </si>
  <si>
    <t>WEEK 28 - Rolling 12 Months</t>
  </si>
  <si>
    <t>WEEK 28 - YTD</t>
  </si>
  <si>
    <t>P2-AirVantage Incident (1.95)</t>
  </si>
  <si>
    <t>WEEK 29 - YTD</t>
  </si>
  <si>
    <t>Week 29</t>
  </si>
  <si>
    <t>WEEK 29 - Rolling 12 Months</t>
  </si>
  <si>
    <t>WEEK 30 - YTD</t>
  </si>
  <si>
    <t>Week 30</t>
  </si>
  <si>
    <t>WEEK 30 - Rolling 12 Months</t>
  </si>
  <si>
    <t>WEEK 31 - YTD</t>
  </si>
  <si>
    <t>WEEK 31 - Rolling 12 Months</t>
  </si>
  <si>
    <t>Week 31</t>
  </si>
  <si>
    <t>WEEK 32 - YTD</t>
  </si>
  <si>
    <t>Week 32</t>
  </si>
  <si>
    <t>WEEK 32 - Rolling 12 Months</t>
  </si>
  <si>
    <t>E5 - 13.83 hrs downtime rolloff</t>
  </si>
  <si>
    <t>WEEK 33 - YTD</t>
  </si>
  <si>
    <t>Week 33</t>
  </si>
  <si>
    <t>S</t>
  </si>
  <si>
    <t>GNOC-7642</t>
  </si>
  <si>
    <t>GNOC-7745</t>
  </si>
  <si>
    <t>GNOC-8478</t>
  </si>
  <si>
    <t>GNOC-8513</t>
  </si>
  <si>
    <t>GNOC-8633</t>
  </si>
  <si>
    <t>GNOC-8669</t>
  </si>
  <si>
    <t>WEEK 33 - Rolling 12 Months</t>
  </si>
  <si>
    <t>WEEK 34 - YTD</t>
  </si>
  <si>
    <t>Week 34</t>
  </si>
  <si>
    <t>WEEK 34 - Rolling 12 Months</t>
  </si>
  <si>
    <t>WEEK 35 - YTD</t>
  </si>
  <si>
    <t>Week 35</t>
  </si>
  <si>
    <t>WEEK 35 - Rolling 12 Months</t>
  </si>
  <si>
    <t>WEEK 36 - YTD</t>
  </si>
  <si>
    <t>Week 36</t>
  </si>
  <si>
    <t>WEEK 36 - Rolling 12 Months</t>
  </si>
  <si>
    <t>WEEK 37 - YTD</t>
  </si>
  <si>
    <t>WEEK 37 - Rolling 12 Months</t>
  </si>
  <si>
    <t>Week 37</t>
  </si>
  <si>
    <t>WEEK 38 - YTD</t>
  </si>
  <si>
    <t>Week 38</t>
  </si>
  <si>
    <t>WEEK 38 - Rolling 12 Months</t>
  </si>
  <si>
    <t>WEEK 39 - YTD</t>
  </si>
  <si>
    <t>Week 39</t>
  </si>
  <si>
    <t>WEEK 39 - Rolling 12 Months</t>
  </si>
  <si>
    <t>WEEK 40 - YTD</t>
  </si>
  <si>
    <t>Week 40</t>
  </si>
  <si>
    <t>WEEK 40 - Rolling 12 Months</t>
  </si>
  <si>
    <t>Week 41</t>
  </si>
  <si>
    <t>WEEK 41 - YTD</t>
  </si>
  <si>
    <t>WEEK 41 - Rolling 12 Months</t>
  </si>
  <si>
    <t>WEEK 42 - YTD</t>
  </si>
  <si>
    <t>Week 42</t>
  </si>
  <si>
    <t>WEEK 42 - Rolling 12 Months</t>
  </si>
  <si>
    <t>WEEK 43 - YTD</t>
  </si>
  <si>
    <t>Week 43</t>
  </si>
  <si>
    <t>WEEK 43 - Rolling 12 Months</t>
  </si>
  <si>
    <t>WEEK 44 - YTD</t>
  </si>
  <si>
    <t>Week 44</t>
  </si>
  <si>
    <t>WEEK 44 - Rolling 12 Months</t>
  </si>
  <si>
    <t>11/4/2024 AirVantage DB1 Extranet Incident |  AV Platform(3.7)</t>
  </si>
  <si>
    <t>WEEK 45 - YTD</t>
  </si>
  <si>
    <t>Week 45</t>
  </si>
  <si>
    <t>WEEK 45 - Rolling 12 Months</t>
  </si>
  <si>
    <t>WEEK 46 - YTD</t>
  </si>
  <si>
    <t>Week 46</t>
  </si>
  <si>
    <t>WEEK 46 - Rolling 12 Months</t>
  </si>
  <si>
    <t>3,204,955.15 MB</t>
  </si>
  <si>
    <t>659,026.08 MB</t>
  </si>
  <si>
    <t>13,879.99 MB</t>
  </si>
  <si>
    <t>81,184.31 MB</t>
  </si>
  <si>
    <t>246.2 MB</t>
  </si>
  <si>
    <t>284,047.76 MB</t>
  </si>
  <si>
    <t>WEEK 47 - YTD</t>
  </si>
  <si>
    <t>Week 47</t>
  </si>
  <si>
    <t>WEEK 47 - Rolling 12 Months</t>
  </si>
  <si>
    <t>3,756,832.03 MB</t>
  </si>
  <si>
    <t>745,998.24 MB</t>
  </si>
  <si>
    <t>15,505.65 MB</t>
  </si>
  <si>
    <t>91,238.56 MB</t>
  </si>
  <si>
    <t>239.68 MB</t>
  </si>
  <si>
    <t>287,455.48 MB</t>
  </si>
  <si>
    <t>GNOC-10536</t>
  </si>
  <si>
    <t>Telia</t>
  </si>
  <si>
    <t xml:space="preserve"> Power Outage in  Telia  in Sweden-Maingate all Service Outage </t>
  </si>
  <si>
    <t>WEEK 48 - YTD</t>
  </si>
  <si>
    <t>Week 48</t>
  </si>
  <si>
    <t>WEEK 48 - Rolling 12 Months</t>
  </si>
  <si>
    <t>WEEK 51 - YTD</t>
  </si>
  <si>
    <t>Week 51</t>
  </si>
  <si>
    <t>WEEK 51 - Rolling 12 Months</t>
  </si>
  <si>
    <t>GNOC-11190</t>
  </si>
  <si>
    <t>SMTC</t>
  </si>
  <si>
    <t>Duration in Hours</t>
  </si>
  <si>
    <t>2026 Incidents</t>
  </si>
  <si>
    <t>End of Life Router in LSP Data Centre Outage</t>
  </si>
  <si>
    <t>Service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</si>
</sst>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0&quot; MB&quot;"/>
    <numFmt numFmtId="167" formatCode="#,##0&quot; MB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u/>
      <sz val="11"/>
      <color theme="3" tint="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 applyFont="0" applyFill="0" applyBorder="0" applyAlignment="0" applyProtection="0">
      <alignment vertical="top"/>
    </xf>
    <xf numFmtId="0" fontId="15" fillId="0" borderId="0"/>
    <xf numFmtId="0" fontId="17" fillId="11" borderId="0" applyNumberFormat="0" applyBorder="0" applyAlignment="0" applyProtection="0"/>
  </cellStyleXfs>
  <cellXfs count="112">
    <xf numFmtId="0" fontId="0" fillId="0" borderId="0" xfId="0"/>
    <xf numFmtId="0" fontId="0" fillId="3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6" fillId="3" borderId="0" xfId="0" applyFont="1" applyFill="1" applyAlignment="1">
      <alignment horizontal="right" vertical="top"/>
    </xf>
    <xf numFmtId="0" fontId="0" fillId="0" borderId="0" xfId="0" applyAlignment="1">
      <alignment horizontal="center"/>
    </xf>
    <xf numFmtId="10" fontId="2" fillId="2" borderId="1" xfId="2" applyNumberFormat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4" fillId="3" borderId="0" xfId="0" applyFont="1" applyFill="1" applyAlignment="1">
      <alignment horizontal="right" vertical="top"/>
    </xf>
    <xf numFmtId="0" fontId="0" fillId="5" borderId="0" xfId="0" applyFill="1" applyAlignment="1">
      <alignment vertical="top"/>
    </xf>
    <xf numFmtId="0" fontId="0" fillId="5" borderId="0" xfId="0" applyFill="1"/>
    <xf numFmtId="0" fontId="7" fillId="5" borderId="2" xfId="0" applyFont="1" applyFill="1" applyBorder="1" applyAlignment="1">
      <alignment horizontal="center"/>
    </xf>
    <xf numFmtId="3" fontId="0" fillId="0" borderId="0" xfId="0" applyNumberFormat="1"/>
    <xf numFmtId="10" fontId="0" fillId="0" borderId="0" xfId="1" applyNumberFormat="1" applyFont="1" applyAlignment="1">
      <alignment vertical="top"/>
    </xf>
    <xf numFmtId="2" fontId="7" fillId="5" borderId="2" xfId="0" applyNumberFormat="1" applyFont="1" applyFill="1" applyBorder="1"/>
    <xf numFmtId="10" fontId="0" fillId="0" borderId="3" xfId="1" applyNumberFormat="1" applyFont="1" applyBorder="1" applyAlignment="1">
      <alignment vertical="top"/>
    </xf>
    <xf numFmtId="2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9" fillId="0" borderId="5" xfId="0" applyFont="1" applyBorder="1"/>
    <xf numFmtId="3" fontId="0" fillId="0" borderId="6" xfId="0" applyNumberFormat="1" applyBorder="1"/>
    <xf numFmtId="3" fontId="0" fillId="3" borderId="7" xfId="0" applyNumberFormat="1" applyFill="1" applyBorder="1"/>
    <xf numFmtId="3" fontId="0" fillId="3" borderId="0" xfId="0" applyNumberFormat="1" applyFill="1"/>
    <xf numFmtId="2" fontId="7" fillId="5" borderId="8" xfId="0" applyNumberFormat="1" applyFont="1" applyFill="1" applyBorder="1"/>
    <xf numFmtId="0" fontId="10" fillId="6" borderId="0" xfId="0" applyFont="1" applyFill="1"/>
    <xf numFmtId="0" fontId="0" fillId="6" borderId="0" xfId="0" applyFill="1"/>
    <xf numFmtId="0" fontId="3" fillId="6" borderId="0" xfId="0" applyFont="1" applyFill="1"/>
    <xf numFmtId="0" fontId="7" fillId="5" borderId="2" xfId="0" applyFont="1" applyFill="1" applyBorder="1" applyAlignment="1">
      <alignment horizontal="center" vertical="center"/>
    </xf>
    <xf numFmtId="3" fontId="8" fillId="0" borderId="10" xfId="0" applyNumberFormat="1" applyFont="1" applyBorder="1" applyAlignment="1">
      <alignment vertical="top"/>
    </xf>
    <xf numFmtId="10" fontId="8" fillId="0" borderId="10" xfId="0" applyNumberFormat="1" applyFont="1" applyBorder="1" applyAlignment="1">
      <alignment vertical="top"/>
    </xf>
    <xf numFmtId="2" fontId="0" fillId="0" borderId="10" xfId="0" applyNumberFormat="1" applyBorder="1"/>
    <xf numFmtId="0" fontId="0" fillId="7" borderId="0" xfId="0" applyFill="1"/>
    <xf numFmtId="0" fontId="7" fillId="7" borderId="2" xfId="0" applyFont="1" applyFill="1" applyBorder="1" applyAlignment="1">
      <alignment horizontal="center" vertical="center"/>
    </xf>
    <xf numFmtId="164" fontId="0" fillId="7" borderId="0" xfId="0" applyNumberFormat="1" applyFill="1"/>
    <xf numFmtId="2" fontId="7" fillId="7" borderId="9" xfId="0" applyNumberFormat="1" applyFont="1" applyFill="1" applyBorder="1"/>
    <xf numFmtId="0" fontId="8" fillId="7" borderId="0" xfId="0" applyFont="1" applyFill="1" applyAlignment="1">
      <alignment vertical="top"/>
    </xf>
    <xf numFmtId="0" fontId="7" fillId="7" borderId="2" xfId="0" applyFont="1" applyFill="1" applyBorder="1" applyAlignment="1">
      <alignment horizontal="center"/>
    </xf>
    <xf numFmtId="2" fontId="7" fillId="7" borderId="2" xfId="0" applyNumberFormat="1" applyFont="1" applyFill="1" applyBorder="1"/>
    <xf numFmtId="165" fontId="7" fillId="7" borderId="8" xfId="0" applyNumberFormat="1" applyFont="1" applyFill="1" applyBorder="1"/>
    <xf numFmtId="0" fontId="0" fillId="8" borderId="0" xfId="0" applyFill="1"/>
    <xf numFmtId="0" fontId="7" fillId="8" borderId="2" xfId="0" applyFont="1" applyFill="1" applyBorder="1" applyAlignment="1">
      <alignment horizontal="center" vertical="center"/>
    </xf>
    <xf numFmtId="164" fontId="0" fillId="8" borderId="0" xfId="0" applyNumberFormat="1" applyFill="1"/>
    <xf numFmtId="2" fontId="7" fillId="8" borderId="9" xfId="0" applyNumberFormat="1" applyFont="1" applyFill="1" applyBorder="1"/>
    <xf numFmtId="0" fontId="8" fillId="8" borderId="0" xfId="0" applyFont="1" applyFill="1" applyAlignment="1">
      <alignment vertical="top"/>
    </xf>
    <xf numFmtId="0" fontId="7" fillId="8" borderId="2" xfId="0" applyFont="1" applyFill="1" applyBorder="1" applyAlignment="1">
      <alignment horizontal="center"/>
    </xf>
    <xf numFmtId="2" fontId="7" fillId="8" borderId="2" xfId="0" applyNumberFormat="1" applyFont="1" applyFill="1" applyBorder="1"/>
    <xf numFmtId="3" fontId="0" fillId="5" borderId="4" xfId="0" applyNumberFormat="1" applyFill="1" applyBorder="1" applyAlignment="1">
      <alignment vertical="top"/>
    </xf>
    <xf numFmtId="10" fontId="0" fillId="5" borderId="4" xfId="0" applyNumberFormat="1" applyFill="1" applyBorder="1" applyAlignment="1">
      <alignment vertical="top"/>
    </xf>
    <xf numFmtId="164" fontId="0" fillId="5" borderId="0" xfId="0" applyNumberFormat="1" applyFill="1"/>
    <xf numFmtId="166" fontId="0" fillId="0" borderId="0" xfId="0" applyNumberFormat="1"/>
    <xf numFmtId="166" fontId="8" fillId="0" borderId="10" xfId="0" applyNumberFormat="1" applyFont="1" applyBorder="1" applyAlignment="1">
      <alignment vertical="top"/>
    </xf>
    <xf numFmtId="0" fontId="3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5" fontId="7" fillId="8" borderId="8" xfId="0" applyNumberFormat="1" applyFont="1" applyFill="1" applyBorder="1"/>
    <xf numFmtId="0" fontId="3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0" fillId="4" borderId="0" xfId="0" applyFill="1"/>
    <xf numFmtId="0" fontId="0" fillId="9" borderId="0" xfId="0" applyFill="1" applyAlignment="1">
      <alignment horizontal="center" vertical="top"/>
    </xf>
    <xf numFmtId="14" fontId="0" fillId="3" borderId="0" xfId="0" applyNumberFormat="1" applyFill="1"/>
    <xf numFmtId="0" fontId="3" fillId="4" borderId="0" xfId="0" applyFont="1" applyFill="1" applyAlignment="1">
      <alignment horizontal="center" vertical="top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vertical="top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10" fontId="17" fillId="11" borderId="1" xfId="5" applyNumberFormat="1" applyBorder="1" applyAlignment="1">
      <alignment horizontal="center" vertical="center"/>
    </xf>
    <xf numFmtId="0" fontId="16" fillId="0" borderId="0" xfId="0" applyFont="1"/>
    <xf numFmtId="0" fontId="0" fillId="0" borderId="11" xfId="0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vertical="top"/>
    </xf>
    <xf numFmtId="0" fontId="8" fillId="12" borderId="0" xfId="0" applyFont="1" applyFill="1" applyAlignment="1">
      <alignment vertical="top"/>
    </xf>
    <xf numFmtId="3" fontId="0" fillId="12" borderId="0" xfId="0" applyNumberFormat="1" applyFill="1"/>
    <xf numFmtId="10" fontId="0" fillId="12" borderId="3" xfId="1" applyNumberFormat="1" applyFont="1" applyFill="1" applyBorder="1" applyAlignment="1">
      <alignment vertical="top"/>
    </xf>
    <xf numFmtId="2" fontId="7" fillId="12" borderId="2" xfId="0" applyNumberFormat="1" applyFont="1" applyFill="1" applyBorder="1"/>
    <xf numFmtId="0" fontId="10" fillId="12" borderId="0" xfId="0" applyFont="1" applyFill="1"/>
    <xf numFmtId="166" fontId="0" fillId="12" borderId="0" xfId="0" applyNumberFormat="1" applyFill="1"/>
    <xf numFmtId="3" fontId="8" fillId="12" borderId="10" xfId="0" applyNumberFormat="1" applyFont="1" applyFill="1" applyBorder="1" applyAlignment="1">
      <alignment vertical="top"/>
    </xf>
    <xf numFmtId="10" fontId="8" fillId="12" borderId="10" xfId="0" applyNumberFormat="1" applyFont="1" applyFill="1" applyBorder="1" applyAlignment="1">
      <alignment vertical="top"/>
    </xf>
    <xf numFmtId="2" fontId="0" fillId="12" borderId="10" xfId="0" applyNumberFormat="1" applyFill="1" applyBorder="1"/>
    <xf numFmtId="165" fontId="7" fillId="12" borderId="8" xfId="0" applyNumberFormat="1" applyFont="1" applyFill="1" applyBorder="1"/>
    <xf numFmtId="1" fontId="0" fillId="0" borderId="11" xfId="0" applyNumberFormat="1" applyBorder="1" applyAlignment="1">
      <alignment horizontal="center" vertical="center"/>
    </xf>
    <xf numFmtId="0" fontId="0" fillId="10" borderId="0" xfId="0" applyFill="1" applyAlignment="1">
      <alignment vertical="top" wrapText="1"/>
    </xf>
    <xf numFmtId="0" fontId="0" fillId="0" borderId="0" xfId="0" applyAlignment="1">
      <alignment horizontal="center" vertical="top"/>
    </xf>
    <xf numFmtId="167" fontId="0" fillId="0" borderId="0" xfId="0" applyNumberFormat="1"/>
    <xf numFmtId="3" fontId="15" fillId="0" borderId="0" xfId="4" applyNumberFormat="1"/>
    <xf numFmtId="10" fontId="2" fillId="12" borderId="1" xfId="2" applyNumberFormat="1" applyFill="1" applyBorder="1" applyAlignment="1">
      <alignment horizontal="center" vertical="center"/>
    </xf>
    <xf numFmtId="10" fontId="2" fillId="2" borderId="0" xfId="2" applyNumberFormat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14" fontId="16" fillId="0" borderId="11" xfId="0" applyNumberFormat="1" applyFont="1" applyBorder="1" applyAlignment="1">
      <alignment horizontal="left" vertical="center"/>
    </xf>
    <xf numFmtId="2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/>
    <xf numFmtId="0" fontId="16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/>
    <xf numFmtId="14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10" fontId="2" fillId="2" borderId="0" xfId="2" applyNumberFormat="1" applyAlignment="1">
      <alignment horizontal="center" vertical="center"/>
    </xf>
  </cellXfs>
  <cellStyles count="6">
    <cellStyle name="Empty Cell" xfId="3" xr:uid="{B09A4417-8A63-43F0-AACC-27FF64E0C8DF}"/>
    <cellStyle name="Good" xfId="2" builtinId="26"/>
    <cellStyle name="Neutral" xfId="5" builtinId="28"/>
    <cellStyle name="Normal" xfId="0" builtinId="0"/>
    <cellStyle name="Normal 2" xfId="4" xr:uid="{3A28F6DC-F670-41B5-9804-1ED37EC3C05C}"/>
    <cellStyle name="Percent" xfId="1" builtinId="5"/>
  </cellStyles>
  <dxfs count="300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numFmt numFmtId="13" formatCode="0%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numFmt numFmtId="13" formatCode="0%"/>
      <fill>
        <patternFill>
          <bgColor rgb="FF92D050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  <dxf>
      <font>
        <color rgb="FFFF0000"/>
      </font>
      <numFmt numFmtId="168" formatCode="0.00;[Red]0.00"/>
    </dxf>
    <dxf>
      <fill>
        <patternFill>
          <bgColor rgb="FFECE95D"/>
        </patternFill>
      </fill>
    </dxf>
  </dxfs>
  <tableStyles count="0" defaultTableStyle="TableStyleMedium2" defaultPivotStyle="PivotStyleLight16"/>
  <colors>
    <mruColors>
      <color rgb="FFE0EF21"/>
      <color rgb="FFECE95D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7CA8-4ECE-4E0B-8A72-B8D62112624D}">
  <sheetPr codeName="Sheet1"/>
  <dimension ref="A1:L24"/>
  <sheetViews>
    <sheetView topLeftCell="C1" workbookViewId="0">
      <selection activeCell="D24" sqref="D24"/>
    </sheetView>
  </sheetViews>
  <sheetFormatPr defaultRowHeight="14.5" x14ac:dyDescent="0.35"/>
  <cols>
    <col min="1" max="1" width="0" style="72" hidden="1" customWidth="1"/>
    <col min="2" max="2" width="10.1796875" style="72" customWidth="1"/>
    <col min="3" max="4" width="65.1796875" customWidth="1"/>
    <col min="5" max="5" width="16.81640625" style="72" customWidth="1"/>
    <col min="6" max="6" width="8.81640625" style="72"/>
    <col min="7" max="7" width="18.453125" style="72" customWidth="1"/>
    <col min="8" max="8" width="11.54296875" customWidth="1"/>
  </cols>
  <sheetData>
    <row r="1" spans="1:12" x14ac:dyDescent="0.35">
      <c r="A1" s="75" t="s">
        <v>0</v>
      </c>
      <c r="B1" s="75" t="s">
        <v>205</v>
      </c>
      <c r="C1" s="76" t="s">
        <v>2</v>
      </c>
      <c r="D1" s="76"/>
      <c r="E1" s="75" t="s">
        <v>3</v>
      </c>
      <c r="F1" s="75" t="s">
        <v>4</v>
      </c>
      <c r="G1" s="75" t="s">
        <v>5</v>
      </c>
      <c r="H1" s="75" t="s">
        <v>175</v>
      </c>
    </row>
    <row r="2" spans="1:12" x14ac:dyDescent="0.35">
      <c r="A2" s="92">
        <v>1</v>
      </c>
      <c r="B2" s="99">
        <v>45326</v>
      </c>
      <c r="C2" s="100" t="s">
        <v>6</v>
      </c>
      <c r="D2" s="100"/>
      <c r="E2" s="99" t="s">
        <v>7</v>
      </c>
      <c r="F2" s="99" t="s">
        <v>8</v>
      </c>
      <c r="G2" s="101">
        <v>4.2300000000000004</v>
      </c>
      <c r="H2" s="99" t="s">
        <v>176</v>
      </c>
    </row>
    <row r="3" spans="1:12" x14ac:dyDescent="0.35">
      <c r="A3" s="68">
        <v>2</v>
      </c>
      <c r="B3" s="99">
        <v>45519</v>
      </c>
      <c r="C3" s="102" t="s">
        <v>9</v>
      </c>
      <c r="D3" s="102"/>
      <c r="E3" s="103" t="s">
        <v>10</v>
      </c>
      <c r="F3" s="103" t="s">
        <v>8</v>
      </c>
      <c r="G3" s="104">
        <v>13.83</v>
      </c>
      <c r="H3" s="103" t="s">
        <v>177</v>
      </c>
    </row>
    <row r="4" spans="1:12" x14ac:dyDescent="0.35">
      <c r="A4" s="68">
        <v>3</v>
      </c>
      <c r="B4" s="99">
        <v>45554</v>
      </c>
      <c r="C4" s="102" t="s">
        <v>11</v>
      </c>
      <c r="D4" s="102"/>
      <c r="E4" s="103" t="s">
        <v>12</v>
      </c>
      <c r="F4" s="103" t="s">
        <v>8</v>
      </c>
      <c r="G4" s="104">
        <v>1.4</v>
      </c>
      <c r="H4" s="103" t="s">
        <v>176</v>
      </c>
    </row>
    <row r="5" spans="1:12" x14ac:dyDescent="0.35">
      <c r="A5" s="68">
        <v>4</v>
      </c>
      <c r="B5" s="99">
        <v>45600</v>
      </c>
      <c r="C5" s="102" t="s">
        <v>13</v>
      </c>
      <c r="D5" s="102"/>
      <c r="E5" s="103" t="s">
        <v>12</v>
      </c>
      <c r="F5" s="103" t="s">
        <v>8</v>
      </c>
      <c r="G5" s="104">
        <v>3.7</v>
      </c>
      <c r="H5" s="103" t="s">
        <v>176</v>
      </c>
    </row>
    <row r="6" spans="1:12" x14ac:dyDescent="0.35">
      <c r="A6" s="68">
        <v>5</v>
      </c>
      <c r="B6" s="99">
        <v>45637</v>
      </c>
      <c r="C6" s="102" t="s">
        <v>14</v>
      </c>
      <c r="D6" s="102"/>
      <c r="E6" s="103" t="s">
        <v>15</v>
      </c>
      <c r="F6" s="103" t="s">
        <v>8</v>
      </c>
      <c r="G6" s="104">
        <v>3.17</v>
      </c>
      <c r="H6" s="103" t="s">
        <v>178</v>
      </c>
    </row>
    <row r="7" spans="1:12" x14ac:dyDescent="0.35">
      <c r="A7" s="68"/>
      <c r="B7" s="103"/>
      <c r="C7" s="105" t="s">
        <v>16</v>
      </c>
      <c r="D7" s="105"/>
      <c r="E7" s="103"/>
      <c r="F7" s="103"/>
      <c r="G7" s="103">
        <f>AVERAGE(G2:G6)</f>
        <v>5.266</v>
      </c>
      <c r="H7" s="103"/>
    </row>
    <row r="11" spans="1:12" x14ac:dyDescent="0.35">
      <c r="A11" s="75" t="s">
        <v>0</v>
      </c>
      <c r="B11" s="75" t="s">
        <v>1</v>
      </c>
      <c r="C11" s="76" t="s">
        <v>17</v>
      </c>
      <c r="D11" s="76"/>
      <c r="E11" s="75" t="s">
        <v>3</v>
      </c>
      <c r="F11" s="75" t="s">
        <v>4</v>
      </c>
      <c r="G11" s="75" t="s">
        <v>5</v>
      </c>
      <c r="H11" s="75" t="s">
        <v>175</v>
      </c>
    </row>
    <row r="12" spans="1:12" x14ac:dyDescent="0.35">
      <c r="A12" s="68">
        <v>1</v>
      </c>
      <c r="B12" s="70">
        <v>45735</v>
      </c>
      <c r="C12" s="69" t="s">
        <v>18</v>
      </c>
      <c r="D12" s="69"/>
      <c r="E12" s="68" t="s">
        <v>206</v>
      </c>
      <c r="F12" s="68" t="s">
        <v>8</v>
      </c>
      <c r="G12" s="79">
        <v>9.3800000000000008</v>
      </c>
      <c r="H12" s="68" t="s">
        <v>176</v>
      </c>
    </row>
    <row r="13" spans="1:12" x14ac:dyDescent="0.35">
      <c r="A13" s="68">
        <v>2</v>
      </c>
      <c r="B13" s="70">
        <v>45747</v>
      </c>
      <c r="C13" s="69" t="s">
        <v>19</v>
      </c>
      <c r="D13" s="69"/>
      <c r="E13" s="68" t="s">
        <v>207</v>
      </c>
      <c r="F13" s="68" t="s">
        <v>8</v>
      </c>
      <c r="G13" s="79">
        <v>3.05</v>
      </c>
      <c r="H13" s="68" t="s">
        <v>176</v>
      </c>
      <c r="L13" s="79">
        <v>4.9800000000000004</v>
      </c>
    </row>
    <row r="14" spans="1:12" x14ac:dyDescent="0.35">
      <c r="A14" s="68">
        <v>3</v>
      </c>
      <c r="B14" s="70">
        <v>45819</v>
      </c>
      <c r="C14" s="69" t="s">
        <v>20</v>
      </c>
      <c r="D14" s="69"/>
      <c r="E14" s="68" t="s">
        <v>208</v>
      </c>
      <c r="F14" s="68" t="s">
        <v>8</v>
      </c>
      <c r="G14" s="79">
        <v>4.9800000000000004</v>
      </c>
      <c r="H14" s="68" t="s">
        <v>178</v>
      </c>
      <c r="L14" s="79">
        <v>1.33</v>
      </c>
    </row>
    <row r="15" spans="1:12" x14ac:dyDescent="0.35">
      <c r="A15" s="68">
        <v>4</v>
      </c>
      <c r="B15" s="70">
        <v>45821</v>
      </c>
      <c r="C15" s="69" t="s">
        <v>21</v>
      </c>
      <c r="D15" s="69"/>
      <c r="E15" s="68" t="s">
        <v>209</v>
      </c>
      <c r="F15" s="68" t="s">
        <v>8</v>
      </c>
      <c r="G15" s="79">
        <v>1.33</v>
      </c>
      <c r="H15" s="68" t="s">
        <v>177</v>
      </c>
      <c r="L15" s="79">
        <v>1</v>
      </c>
    </row>
    <row r="16" spans="1:12" x14ac:dyDescent="0.35">
      <c r="A16" s="68">
        <v>5</v>
      </c>
      <c r="B16" s="70">
        <v>45834</v>
      </c>
      <c r="C16" s="69" t="s">
        <v>173</v>
      </c>
      <c r="D16" s="69"/>
      <c r="E16" s="68" t="s">
        <v>210</v>
      </c>
      <c r="F16" s="68" t="s">
        <v>8</v>
      </c>
      <c r="G16" s="79">
        <v>1</v>
      </c>
      <c r="H16" s="68" t="s">
        <v>177</v>
      </c>
      <c r="L16" s="79">
        <v>3.45</v>
      </c>
    </row>
    <row r="17" spans="1:12" x14ac:dyDescent="0.35">
      <c r="A17" s="68">
        <v>6</v>
      </c>
      <c r="B17" s="70">
        <v>45838</v>
      </c>
      <c r="C17" s="69" t="s">
        <v>174</v>
      </c>
      <c r="D17" s="69"/>
      <c r="E17" s="68" t="s">
        <v>211</v>
      </c>
      <c r="F17" s="68" t="s">
        <v>8</v>
      </c>
      <c r="G17" s="79">
        <v>3.45</v>
      </c>
      <c r="H17" s="68" t="s">
        <v>176</v>
      </c>
      <c r="L17">
        <f>SUM(L13:L16)</f>
        <v>10.760000000000002</v>
      </c>
    </row>
    <row r="18" spans="1:12" x14ac:dyDescent="0.35">
      <c r="A18" s="68"/>
      <c r="B18" s="70">
        <v>46000</v>
      </c>
      <c r="C18" s="69" t="s">
        <v>270</v>
      </c>
      <c r="D18" s="69"/>
      <c r="E18" s="68" t="s">
        <v>268</v>
      </c>
      <c r="F18" s="68" t="s">
        <v>8</v>
      </c>
      <c r="G18" s="79">
        <v>6</v>
      </c>
      <c r="H18" s="68" t="s">
        <v>269</v>
      </c>
    </row>
    <row r="19" spans="1:12" x14ac:dyDescent="0.35">
      <c r="A19" s="68"/>
      <c r="B19" s="68"/>
      <c r="C19" s="71" t="s">
        <v>16</v>
      </c>
      <c r="D19" s="71"/>
      <c r="E19" s="68"/>
      <c r="F19" s="68"/>
      <c r="G19" s="68">
        <f>AVERAGE(G12:G18)</f>
        <v>4.17</v>
      </c>
      <c r="H19" s="68"/>
    </row>
    <row r="20" spans="1:12" x14ac:dyDescent="0.35">
      <c r="B20" s="73"/>
    </row>
    <row r="23" spans="1:12" x14ac:dyDescent="0.35">
      <c r="B23" s="106" t="s">
        <v>1</v>
      </c>
      <c r="C23" s="107" t="s">
        <v>280</v>
      </c>
      <c r="D23" s="107" t="s">
        <v>282</v>
      </c>
      <c r="E23" s="106" t="s">
        <v>3</v>
      </c>
      <c r="F23" s="106" t="s">
        <v>4</v>
      </c>
      <c r="G23" s="106" t="s">
        <v>279</v>
      </c>
      <c r="H23" s="106" t="s">
        <v>175</v>
      </c>
    </row>
    <row r="24" spans="1:12" x14ac:dyDescent="0.35">
      <c r="B24" s="108">
        <v>46064</v>
      </c>
      <c r="C24" s="109" t="s">
        <v>281</v>
      </c>
      <c r="D24" s="109" t="s">
        <v>48</v>
      </c>
      <c r="E24" s="110" t="s">
        <v>277</v>
      </c>
      <c r="F24" s="110" t="s">
        <v>8</v>
      </c>
      <c r="G24" s="110">
        <v>2.8</v>
      </c>
      <c r="H24" s="109" t="s">
        <v>278</v>
      </c>
    </row>
  </sheetData>
  <conditionalFormatting sqref="G12:G18">
    <cfRule type="containsBlanks" dxfId="299" priority="3">
      <formula>LEN(TRIM(G12))=0</formula>
    </cfRule>
    <cfRule type="cellIs" dxfId="298" priority="4" operator="greaterThan">
      <formula>0</formula>
    </cfRule>
  </conditionalFormatting>
  <conditionalFormatting sqref="L13:L16">
    <cfRule type="containsBlanks" dxfId="297" priority="1">
      <formula>LEN(TRIM(L13))=0</formula>
    </cfRule>
    <cfRule type="cellIs" dxfId="296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B71A-BDC8-4C39-8F60-3B2B7CF20F52}">
  <sheetPr codeName="Sheet2">
    <tabColor theme="5" tint="0.59999389629810485"/>
  </sheetPr>
  <dimension ref="A1:BI56"/>
  <sheetViews>
    <sheetView topLeftCell="AU4" workbookViewId="0">
      <selection activeCell="BI2" sqref="BI2"/>
    </sheetView>
  </sheetViews>
  <sheetFormatPr defaultColWidth="8.81640625" defaultRowHeight="14.5" x14ac:dyDescent="0.35"/>
  <cols>
    <col min="1" max="1" width="22.7265625" style="2" customWidth="1"/>
    <col min="2" max="2" width="8.81640625" style="2" hidden="1" customWidth="1"/>
    <col min="3" max="3" width="10.26953125" style="2" hidden="1" customWidth="1"/>
    <col min="4" max="4" width="10.54296875" style="2" hidden="1" customWidth="1"/>
    <col min="5" max="20" width="8.81640625" style="2" hidden="1" customWidth="1"/>
    <col min="21" max="21" width="10.1796875" style="2" hidden="1" customWidth="1"/>
    <col min="22" max="24" width="8.81640625" style="2" hidden="1" customWidth="1"/>
    <col min="25" max="25" width="9.453125" style="2" hidden="1" customWidth="1"/>
    <col min="26" max="26" width="9.7265625" style="2" hidden="1" customWidth="1"/>
    <col min="27" max="27" width="10" style="2" hidden="1" customWidth="1"/>
    <col min="28" max="28" width="8.81640625" style="2" hidden="1" customWidth="1"/>
    <col min="29" max="29" width="9.7265625" style="2" hidden="1" customWidth="1"/>
    <col min="30" max="30" width="10.1796875" style="2" hidden="1" customWidth="1"/>
    <col min="31" max="31" width="9.7265625" style="2" hidden="1" customWidth="1"/>
    <col min="32" max="33" width="0" style="2" hidden="1" customWidth="1"/>
    <col min="34" max="34" width="11.7265625" style="2" hidden="1" customWidth="1"/>
    <col min="35" max="35" width="11.1796875" style="2" hidden="1" customWidth="1"/>
    <col min="36" max="36" width="9.26953125" style="2" hidden="1" customWidth="1"/>
    <col min="37" max="37" width="8.81640625" style="2"/>
    <col min="38" max="38" width="10.81640625" style="2" customWidth="1"/>
    <col min="39" max="39" width="10.54296875" style="2" customWidth="1"/>
    <col min="40" max="40" width="10" style="2" customWidth="1"/>
    <col min="41" max="41" width="10.81640625" style="2" customWidth="1"/>
    <col min="42" max="42" width="10.453125" style="2" customWidth="1"/>
    <col min="43" max="43" width="10.54296875" style="2" customWidth="1"/>
    <col min="44" max="44" width="12" style="2" customWidth="1"/>
    <col min="45" max="45" width="10.81640625" style="2" customWidth="1"/>
    <col min="46" max="46" width="10.26953125" style="2" customWidth="1"/>
    <col min="47" max="47" width="11.7265625" style="2" customWidth="1"/>
    <col min="48" max="48" width="11" style="2" customWidth="1"/>
    <col min="49" max="49" width="10.7265625" style="2" customWidth="1"/>
    <col min="50" max="50" width="10.26953125" style="2" customWidth="1"/>
    <col min="51" max="51" width="11.26953125" style="2" customWidth="1"/>
    <col min="52" max="52" width="10.54296875" style="2" customWidth="1"/>
    <col min="53" max="53" width="11.26953125" style="2" customWidth="1"/>
    <col min="54" max="60" width="11" style="2" customWidth="1"/>
    <col min="61" max="16384" width="8.81640625" style="2"/>
  </cols>
  <sheetData>
    <row r="1" spans="1:61" x14ac:dyDescent="0.35">
      <c r="A1" s="9" t="s">
        <v>22</v>
      </c>
      <c r="B1" s="1">
        <v>168</v>
      </c>
      <c r="C1" s="1">
        <v>168</v>
      </c>
      <c r="D1" s="1">
        <v>168</v>
      </c>
      <c r="E1" s="1">
        <v>168</v>
      </c>
      <c r="F1" s="1">
        <v>168</v>
      </c>
      <c r="G1" s="1">
        <v>168</v>
      </c>
      <c r="H1" s="1">
        <v>168</v>
      </c>
      <c r="I1" s="1">
        <v>168</v>
      </c>
      <c r="J1" s="1">
        <v>168</v>
      </c>
      <c r="K1" s="1">
        <v>168</v>
      </c>
      <c r="L1" s="1">
        <v>168</v>
      </c>
      <c r="M1" s="1">
        <v>168</v>
      </c>
      <c r="N1" s="1">
        <v>168</v>
      </c>
      <c r="O1" s="1">
        <v>168</v>
      </c>
      <c r="P1" s="1">
        <v>168</v>
      </c>
      <c r="Q1" s="1">
        <v>168</v>
      </c>
      <c r="R1" s="1">
        <v>168</v>
      </c>
      <c r="S1" s="1">
        <v>168</v>
      </c>
      <c r="T1" s="1">
        <v>168</v>
      </c>
      <c r="U1" s="1">
        <v>168</v>
      </c>
      <c r="V1" s="1">
        <v>168</v>
      </c>
      <c r="W1" s="1">
        <v>168</v>
      </c>
      <c r="X1" s="1">
        <v>168</v>
      </c>
      <c r="Y1" s="1">
        <v>168</v>
      </c>
      <c r="Z1" s="1">
        <v>168</v>
      </c>
      <c r="AA1" s="1">
        <v>168</v>
      </c>
      <c r="AB1" s="1">
        <v>168</v>
      </c>
      <c r="AC1" s="1">
        <v>168</v>
      </c>
      <c r="AD1" s="1">
        <v>168</v>
      </c>
      <c r="AE1" s="1">
        <v>168</v>
      </c>
      <c r="AF1" s="1">
        <v>168</v>
      </c>
      <c r="AG1" s="1">
        <v>168</v>
      </c>
      <c r="AH1" s="1">
        <v>168</v>
      </c>
      <c r="AI1" s="1">
        <v>168</v>
      </c>
      <c r="AJ1" s="1">
        <v>168</v>
      </c>
      <c r="AK1" s="1">
        <v>168</v>
      </c>
      <c r="AL1" s="1">
        <v>168</v>
      </c>
      <c r="AM1" s="1">
        <v>168</v>
      </c>
      <c r="AN1" s="1">
        <v>168</v>
      </c>
      <c r="AO1" s="1">
        <v>168</v>
      </c>
      <c r="AP1" s="1">
        <v>168</v>
      </c>
      <c r="AQ1" s="1">
        <v>168</v>
      </c>
      <c r="AR1" s="1">
        <v>168</v>
      </c>
      <c r="AS1" s="1">
        <v>168</v>
      </c>
      <c r="AT1" s="1">
        <v>168</v>
      </c>
      <c r="AU1" s="1">
        <v>168</v>
      </c>
      <c r="AV1" s="1">
        <v>168</v>
      </c>
      <c r="AW1" s="1">
        <v>168</v>
      </c>
      <c r="AX1" s="1">
        <v>168</v>
      </c>
      <c r="AY1" s="1">
        <v>168</v>
      </c>
      <c r="AZ1" s="1">
        <v>168</v>
      </c>
      <c r="BA1" s="1">
        <v>168</v>
      </c>
      <c r="BB1" s="1">
        <v>168</v>
      </c>
      <c r="BC1" s="1">
        <v>168</v>
      </c>
      <c r="BD1" s="1">
        <v>168</v>
      </c>
      <c r="BE1" s="1">
        <v>168</v>
      </c>
      <c r="BF1" s="1">
        <v>168</v>
      </c>
      <c r="BG1" s="1">
        <v>168</v>
      </c>
      <c r="BH1" s="1">
        <v>168</v>
      </c>
      <c r="BI1" s="1">
        <v>168</v>
      </c>
    </row>
    <row r="2" spans="1:6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</row>
    <row r="3" spans="1:6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</row>
    <row r="4" spans="1:6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1" x14ac:dyDescent="0.35">
      <c r="A5" s="8" t="s">
        <v>26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3.45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1" x14ac:dyDescent="0.35">
      <c r="A6" s="8" t="s">
        <v>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3.45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1" x14ac:dyDescent="0.35">
      <c r="A7" s="8" t="s">
        <v>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3.45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</row>
    <row r="8" spans="1:61" x14ac:dyDescent="0.35">
      <c r="A8" s="7" t="s">
        <v>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1" x14ac:dyDescent="0.35">
      <c r="A9" s="8" t="s">
        <v>26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4.9800000000000004</v>
      </c>
      <c r="Z9" s="4">
        <v>0</v>
      </c>
      <c r="AA9" s="4">
        <v>0</v>
      </c>
      <c r="AB9" s="4">
        <v>3.45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1" x14ac:dyDescent="0.35">
      <c r="A10" s="8" t="s">
        <v>27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4.9800000000000004</v>
      </c>
      <c r="Z10" s="4">
        <v>0</v>
      </c>
      <c r="AA10" s="4">
        <v>0</v>
      </c>
      <c r="AB10" s="4">
        <v>3.45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spans="1:61" x14ac:dyDescent="0.35">
      <c r="A11" s="8" t="s">
        <v>28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4.9800000000000004</v>
      </c>
      <c r="Z11" s="4">
        <v>0</v>
      </c>
      <c r="AA11" s="4">
        <v>0</v>
      </c>
      <c r="AB11" s="4">
        <v>3.45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1" x14ac:dyDescent="0.3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1" x14ac:dyDescent="0.35">
      <c r="A13" s="8" t="s">
        <v>26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3.45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1" x14ac:dyDescent="0.35">
      <c r="A14" s="8" t="s">
        <v>27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3.45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1" x14ac:dyDescent="0.35">
      <c r="A15" s="8" t="s">
        <v>28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3.45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1" x14ac:dyDescent="0.35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8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3.45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35">
      <c r="A18" s="8" t="s">
        <v>27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3.45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35">
      <c r="A19" s="8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3.45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35">
      <c r="A20" s="7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8" t="s">
        <v>26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3.45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</row>
    <row r="22" spans="1:60" x14ac:dyDescent="0.35">
      <c r="A22" s="7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8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1.33</v>
      </c>
      <c r="Z23" s="4">
        <v>0</v>
      </c>
      <c r="AA23" s="4">
        <v>1</v>
      </c>
      <c r="AB23" s="4">
        <v>3.45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</row>
    <row r="24" spans="1:60" x14ac:dyDescent="0.35">
      <c r="A24" s="8" t="s">
        <v>27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1.33</v>
      </c>
      <c r="Z24" s="4">
        <v>0</v>
      </c>
      <c r="AA24" s="4">
        <v>0</v>
      </c>
      <c r="AB24" s="4">
        <v>3.45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35">
      <c r="A25" s="8" t="s">
        <v>28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1.33</v>
      </c>
      <c r="Z25" s="4">
        <v>0</v>
      </c>
      <c r="AA25" s="4">
        <v>0</v>
      </c>
      <c r="AB25" s="4">
        <v>3.45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9" spans="1:60" x14ac:dyDescent="0.35">
      <c r="A29" s="7" t="s">
        <v>34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 x14ac:dyDescent="0.35">
      <c r="A30" s="7" t="s">
        <v>35</v>
      </c>
      <c r="B30" s="54">
        <v>1</v>
      </c>
      <c r="C30" s="54">
        <v>2</v>
      </c>
      <c r="D30" s="54">
        <v>3</v>
      </c>
      <c r="E30" s="54">
        <v>4</v>
      </c>
      <c r="F30" s="54">
        <v>5</v>
      </c>
      <c r="G30" s="54">
        <v>6</v>
      </c>
      <c r="H30" s="54">
        <v>7</v>
      </c>
      <c r="I30" s="54">
        <v>8</v>
      </c>
      <c r="J30" s="54">
        <v>9</v>
      </c>
      <c r="K30" s="54">
        <v>10</v>
      </c>
      <c r="L30" s="54">
        <v>11</v>
      </c>
      <c r="M30" s="54">
        <v>12</v>
      </c>
      <c r="N30" s="54">
        <v>13</v>
      </c>
      <c r="O30" s="54">
        <v>14</v>
      </c>
      <c r="P30" s="54">
        <v>15</v>
      </c>
      <c r="Q30" s="54">
        <v>16</v>
      </c>
      <c r="R30" s="54">
        <v>17</v>
      </c>
      <c r="S30" s="54">
        <v>18</v>
      </c>
      <c r="T30" s="54">
        <v>19</v>
      </c>
      <c r="U30" s="54">
        <v>20</v>
      </c>
      <c r="V30" s="54">
        <v>21</v>
      </c>
      <c r="W30" s="54">
        <v>22</v>
      </c>
      <c r="X30" s="54">
        <v>23</v>
      </c>
      <c r="Y30" s="54">
        <v>24</v>
      </c>
      <c r="Z30" s="54">
        <v>25</v>
      </c>
      <c r="AA30" s="54">
        <v>26</v>
      </c>
      <c r="AB30" s="54">
        <v>27</v>
      </c>
      <c r="AC30" s="54">
        <v>28</v>
      </c>
      <c r="AD30" s="54">
        <v>29</v>
      </c>
      <c r="AE30" s="54">
        <v>30</v>
      </c>
      <c r="AF30" s="54">
        <v>31</v>
      </c>
      <c r="AG30" s="54">
        <v>32</v>
      </c>
      <c r="AH30" s="54">
        <v>33</v>
      </c>
      <c r="AI30" s="54">
        <v>34</v>
      </c>
      <c r="AJ30" s="54">
        <v>35</v>
      </c>
      <c r="AK30" s="54">
        <v>36</v>
      </c>
      <c r="AL30" s="54">
        <v>37</v>
      </c>
      <c r="AM30" s="54">
        <v>38</v>
      </c>
      <c r="AN30" s="54">
        <v>39</v>
      </c>
      <c r="AO30" s="54">
        <v>40</v>
      </c>
      <c r="AP30" s="54">
        <v>41</v>
      </c>
      <c r="AQ30" s="54">
        <v>42</v>
      </c>
      <c r="AR30" s="54">
        <v>43</v>
      </c>
      <c r="AS30" s="54">
        <v>44</v>
      </c>
      <c r="AT30" s="54">
        <v>45</v>
      </c>
      <c r="AU30" s="54">
        <v>46</v>
      </c>
      <c r="AV30" s="54">
        <v>47</v>
      </c>
      <c r="AW30" s="54">
        <v>48</v>
      </c>
      <c r="AX30" s="54">
        <v>49</v>
      </c>
      <c r="AY30" s="54">
        <v>50</v>
      </c>
      <c r="AZ30" s="54">
        <v>51</v>
      </c>
      <c r="BA30" s="54">
        <v>52</v>
      </c>
      <c r="BB30" s="54"/>
      <c r="BC30" s="54"/>
      <c r="BD30" s="54"/>
      <c r="BE30" s="54"/>
      <c r="BF30" s="54"/>
      <c r="BG30" s="54"/>
      <c r="BH30" s="54"/>
    </row>
    <row r="31" spans="1:60" hidden="1" x14ac:dyDescent="0.35">
      <c r="A31" s="8" t="s">
        <v>26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98"/>
      <c r="BC31" s="98"/>
      <c r="BD31" s="98"/>
      <c r="BE31" s="98"/>
      <c r="BF31" s="98"/>
      <c r="BG31" s="98"/>
      <c r="BH31" s="98"/>
    </row>
    <row r="32" spans="1:60" hidden="1" x14ac:dyDescent="0.35">
      <c r="A32" s="8" t="s">
        <v>27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98"/>
      <c r="BC32" s="98"/>
      <c r="BD32" s="98"/>
      <c r="BE32" s="98"/>
      <c r="BF32" s="98"/>
      <c r="BG32" s="98"/>
      <c r="BH32" s="98"/>
    </row>
    <row r="33" spans="1:60" hidden="1" x14ac:dyDescent="0.35">
      <c r="A33" s="8" t="s">
        <v>28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98"/>
      <c r="BC33" s="98"/>
      <c r="BD33" s="98"/>
      <c r="BE33" s="98"/>
      <c r="BF33" s="98"/>
      <c r="BG33" s="98"/>
      <c r="BH33" s="98"/>
    </row>
    <row r="34" spans="1:60" x14ac:dyDescent="0.35">
      <c r="A34" s="7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x14ac:dyDescent="0.35">
      <c r="A35" s="8" t="s">
        <v>26</v>
      </c>
      <c r="B35" s="5">
        <f>1-(B5/B1)</f>
        <v>1</v>
      </c>
      <c r="C35" s="5">
        <f t="shared" ref="C35:BA35" si="0">1-(C5/C1)</f>
        <v>1</v>
      </c>
      <c r="D35" s="5">
        <f t="shared" si="0"/>
        <v>1</v>
      </c>
      <c r="E35" s="5">
        <f t="shared" si="0"/>
        <v>1</v>
      </c>
      <c r="F35" s="5">
        <f t="shared" si="0"/>
        <v>1</v>
      </c>
      <c r="G35" s="5">
        <f t="shared" si="0"/>
        <v>1</v>
      </c>
      <c r="H35" s="5">
        <f t="shared" si="0"/>
        <v>1</v>
      </c>
      <c r="I35" s="5">
        <f t="shared" si="0"/>
        <v>1</v>
      </c>
      <c r="J35" s="5">
        <f t="shared" si="0"/>
        <v>1</v>
      </c>
      <c r="K35" s="5">
        <f t="shared" si="0"/>
        <v>1</v>
      </c>
      <c r="L35" s="5">
        <f t="shared" si="0"/>
        <v>1</v>
      </c>
      <c r="M35" s="5">
        <f t="shared" si="0"/>
        <v>1</v>
      </c>
      <c r="N35" s="5">
        <f t="shared" si="0"/>
        <v>1</v>
      </c>
      <c r="O35" s="5">
        <f t="shared" si="0"/>
        <v>1</v>
      </c>
      <c r="P35" s="5">
        <f t="shared" si="0"/>
        <v>1</v>
      </c>
      <c r="Q35" s="5">
        <f t="shared" si="0"/>
        <v>1</v>
      </c>
      <c r="R35" s="5">
        <f t="shared" si="0"/>
        <v>1</v>
      </c>
      <c r="S35" s="5">
        <f t="shared" si="0"/>
        <v>1</v>
      </c>
      <c r="T35" s="5">
        <f t="shared" si="0"/>
        <v>1</v>
      </c>
      <c r="U35" s="5">
        <f t="shared" si="0"/>
        <v>1</v>
      </c>
      <c r="V35" s="5">
        <f t="shared" si="0"/>
        <v>1</v>
      </c>
      <c r="W35" s="5">
        <f t="shared" si="0"/>
        <v>1</v>
      </c>
      <c r="X35" s="5">
        <f t="shared" si="0"/>
        <v>1</v>
      </c>
      <c r="Y35" s="5">
        <f t="shared" si="0"/>
        <v>1</v>
      </c>
      <c r="Z35" s="5">
        <f t="shared" si="0"/>
        <v>1</v>
      </c>
      <c r="AA35" s="5">
        <f t="shared" si="0"/>
        <v>1</v>
      </c>
      <c r="AB35" s="5">
        <f t="shared" si="0"/>
        <v>0.97946428571428568</v>
      </c>
      <c r="AC35" s="5">
        <f t="shared" si="0"/>
        <v>1</v>
      </c>
      <c r="AD35" s="5">
        <f t="shared" si="0"/>
        <v>1</v>
      </c>
      <c r="AE35" s="5">
        <f t="shared" si="0"/>
        <v>1</v>
      </c>
      <c r="AF35" s="5">
        <f t="shared" si="0"/>
        <v>1</v>
      </c>
      <c r="AG35" s="5">
        <f t="shared" si="0"/>
        <v>1</v>
      </c>
      <c r="AH35" s="5">
        <f t="shared" si="0"/>
        <v>1</v>
      </c>
      <c r="AI35" s="5">
        <f t="shared" si="0"/>
        <v>1</v>
      </c>
      <c r="AJ35" s="5">
        <f t="shared" si="0"/>
        <v>1</v>
      </c>
      <c r="AK35" s="5">
        <f t="shared" si="0"/>
        <v>1</v>
      </c>
      <c r="AL35" s="5">
        <f t="shared" si="0"/>
        <v>1</v>
      </c>
      <c r="AM35" s="5">
        <f t="shared" si="0"/>
        <v>1</v>
      </c>
      <c r="AN35" s="5">
        <f t="shared" si="0"/>
        <v>1</v>
      </c>
      <c r="AO35" s="5">
        <f t="shared" si="0"/>
        <v>1</v>
      </c>
      <c r="AP35" s="5">
        <f t="shared" si="0"/>
        <v>1</v>
      </c>
      <c r="AQ35" s="5">
        <f t="shared" si="0"/>
        <v>1</v>
      </c>
      <c r="AR35" s="5">
        <f t="shared" si="0"/>
        <v>1</v>
      </c>
      <c r="AS35" s="5">
        <f t="shared" si="0"/>
        <v>1</v>
      </c>
      <c r="AT35" s="5">
        <f t="shared" si="0"/>
        <v>1</v>
      </c>
      <c r="AU35" s="5">
        <f t="shared" si="0"/>
        <v>1</v>
      </c>
      <c r="AV35" s="5">
        <f t="shared" si="0"/>
        <v>1</v>
      </c>
      <c r="AW35" s="5">
        <f t="shared" si="0"/>
        <v>1</v>
      </c>
      <c r="AX35" s="5">
        <f t="shared" si="0"/>
        <v>1</v>
      </c>
      <c r="AY35" s="5">
        <f t="shared" si="0"/>
        <v>1</v>
      </c>
      <c r="AZ35" s="5">
        <f t="shared" si="0"/>
        <v>1</v>
      </c>
      <c r="BA35" s="5">
        <f t="shared" si="0"/>
        <v>1</v>
      </c>
      <c r="BB35" s="5">
        <f t="shared" ref="BB35:BG35" si="1">1-(BB5/BB1)</f>
        <v>1</v>
      </c>
      <c r="BC35" s="5">
        <f t="shared" si="1"/>
        <v>1</v>
      </c>
      <c r="BD35" s="5">
        <f t="shared" si="1"/>
        <v>1</v>
      </c>
      <c r="BE35" s="5">
        <f t="shared" si="1"/>
        <v>1</v>
      </c>
      <c r="BF35" s="5">
        <f t="shared" si="1"/>
        <v>1</v>
      </c>
      <c r="BG35" s="5">
        <f t="shared" si="1"/>
        <v>1</v>
      </c>
      <c r="BH35" s="5">
        <f t="shared" ref="BH35" si="2">1-(BH5/BH1)</f>
        <v>1</v>
      </c>
    </row>
    <row r="36" spans="1:60" x14ac:dyDescent="0.35">
      <c r="A36" s="8" t="s">
        <v>27</v>
      </c>
      <c r="B36" s="5">
        <f>1-(B6/B1)</f>
        <v>1</v>
      </c>
      <c r="C36" s="5">
        <f t="shared" ref="C36:BA36" si="3">1-(C6/C1)</f>
        <v>1</v>
      </c>
      <c r="D36" s="5">
        <f t="shared" si="3"/>
        <v>1</v>
      </c>
      <c r="E36" s="5">
        <f t="shared" si="3"/>
        <v>1</v>
      </c>
      <c r="F36" s="5">
        <f t="shared" si="3"/>
        <v>1</v>
      </c>
      <c r="G36" s="5">
        <f t="shared" si="3"/>
        <v>1</v>
      </c>
      <c r="H36" s="5">
        <f t="shared" si="3"/>
        <v>1</v>
      </c>
      <c r="I36" s="5">
        <f t="shared" si="3"/>
        <v>1</v>
      </c>
      <c r="J36" s="5">
        <f t="shared" si="3"/>
        <v>1</v>
      </c>
      <c r="K36" s="5">
        <f t="shared" si="3"/>
        <v>1</v>
      </c>
      <c r="L36" s="5">
        <f t="shared" si="3"/>
        <v>1</v>
      </c>
      <c r="M36" s="5">
        <f t="shared" si="3"/>
        <v>1</v>
      </c>
      <c r="N36" s="5">
        <f t="shared" si="3"/>
        <v>1</v>
      </c>
      <c r="O36" s="5">
        <f t="shared" si="3"/>
        <v>1</v>
      </c>
      <c r="P36" s="5">
        <f t="shared" si="3"/>
        <v>1</v>
      </c>
      <c r="Q36" s="5">
        <f t="shared" si="3"/>
        <v>1</v>
      </c>
      <c r="R36" s="5">
        <f t="shared" si="3"/>
        <v>1</v>
      </c>
      <c r="S36" s="5">
        <f t="shared" si="3"/>
        <v>1</v>
      </c>
      <c r="T36" s="5">
        <f t="shared" si="3"/>
        <v>1</v>
      </c>
      <c r="U36" s="5">
        <f t="shared" si="3"/>
        <v>1</v>
      </c>
      <c r="V36" s="5">
        <f t="shared" si="3"/>
        <v>1</v>
      </c>
      <c r="W36" s="5">
        <f t="shared" si="3"/>
        <v>1</v>
      </c>
      <c r="X36" s="5">
        <f t="shared" si="3"/>
        <v>1</v>
      </c>
      <c r="Y36" s="5">
        <f t="shared" si="3"/>
        <v>1</v>
      </c>
      <c r="Z36" s="5">
        <f t="shared" si="3"/>
        <v>1</v>
      </c>
      <c r="AA36" s="5">
        <f t="shared" si="3"/>
        <v>1</v>
      </c>
      <c r="AB36" s="5">
        <f t="shared" si="3"/>
        <v>0.97946428571428568</v>
      </c>
      <c r="AC36" s="5">
        <f t="shared" si="3"/>
        <v>1</v>
      </c>
      <c r="AD36" s="5">
        <f t="shared" si="3"/>
        <v>1</v>
      </c>
      <c r="AE36" s="5">
        <f t="shared" si="3"/>
        <v>1</v>
      </c>
      <c r="AF36" s="5">
        <f t="shared" si="3"/>
        <v>1</v>
      </c>
      <c r="AG36" s="5">
        <f t="shared" si="3"/>
        <v>1</v>
      </c>
      <c r="AH36" s="5">
        <f t="shared" si="3"/>
        <v>1</v>
      </c>
      <c r="AI36" s="5">
        <f t="shared" si="3"/>
        <v>1</v>
      </c>
      <c r="AJ36" s="5">
        <f t="shared" si="3"/>
        <v>1</v>
      </c>
      <c r="AK36" s="5">
        <f t="shared" si="3"/>
        <v>1</v>
      </c>
      <c r="AL36" s="5">
        <f t="shared" si="3"/>
        <v>1</v>
      </c>
      <c r="AM36" s="5">
        <f t="shared" si="3"/>
        <v>1</v>
      </c>
      <c r="AN36" s="5">
        <f t="shared" si="3"/>
        <v>1</v>
      </c>
      <c r="AO36" s="5">
        <f t="shared" si="3"/>
        <v>1</v>
      </c>
      <c r="AP36" s="5">
        <f t="shared" si="3"/>
        <v>1</v>
      </c>
      <c r="AQ36" s="5">
        <f t="shared" si="3"/>
        <v>1</v>
      </c>
      <c r="AR36" s="5">
        <f t="shared" si="3"/>
        <v>1</v>
      </c>
      <c r="AS36" s="5">
        <f t="shared" si="3"/>
        <v>1</v>
      </c>
      <c r="AT36" s="5">
        <f t="shared" si="3"/>
        <v>1</v>
      </c>
      <c r="AU36" s="5">
        <f t="shared" si="3"/>
        <v>1</v>
      </c>
      <c r="AV36" s="5">
        <f t="shared" si="3"/>
        <v>1</v>
      </c>
      <c r="AW36" s="5">
        <f t="shared" si="3"/>
        <v>1</v>
      </c>
      <c r="AX36" s="5">
        <f t="shared" si="3"/>
        <v>1</v>
      </c>
      <c r="AY36" s="5">
        <f t="shared" si="3"/>
        <v>1</v>
      </c>
      <c r="AZ36" s="5">
        <f t="shared" si="3"/>
        <v>1</v>
      </c>
      <c r="BA36" s="5">
        <f t="shared" si="3"/>
        <v>1</v>
      </c>
      <c r="BB36" s="5">
        <f t="shared" ref="BB36:BG36" si="4">1-(BB6/BB1)</f>
        <v>1</v>
      </c>
      <c r="BC36" s="5">
        <f t="shared" si="4"/>
        <v>1</v>
      </c>
      <c r="BD36" s="5">
        <f t="shared" si="4"/>
        <v>1</v>
      </c>
      <c r="BE36" s="5">
        <f t="shared" si="4"/>
        <v>1</v>
      </c>
      <c r="BF36" s="5">
        <f t="shared" si="4"/>
        <v>1</v>
      </c>
      <c r="BG36" s="5">
        <f t="shared" si="4"/>
        <v>1</v>
      </c>
      <c r="BH36" s="5">
        <f t="shared" ref="BH36" si="5">1-(BH6/BH1)</f>
        <v>1</v>
      </c>
    </row>
    <row r="37" spans="1:60" x14ac:dyDescent="0.35">
      <c r="A37" s="8" t="s">
        <v>28</v>
      </c>
      <c r="B37" s="5">
        <f>1-(B7/B1)</f>
        <v>1</v>
      </c>
      <c r="C37" s="5">
        <f t="shared" ref="C37:BA37" si="6">1-(C7/C1)</f>
        <v>1</v>
      </c>
      <c r="D37" s="5">
        <f t="shared" si="6"/>
        <v>1</v>
      </c>
      <c r="E37" s="5">
        <f t="shared" si="6"/>
        <v>1</v>
      </c>
      <c r="F37" s="5">
        <f t="shared" si="6"/>
        <v>1</v>
      </c>
      <c r="G37" s="5">
        <f t="shared" si="6"/>
        <v>1</v>
      </c>
      <c r="H37" s="5">
        <f t="shared" si="6"/>
        <v>1</v>
      </c>
      <c r="I37" s="5">
        <f t="shared" si="6"/>
        <v>1</v>
      </c>
      <c r="J37" s="5">
        <f t="shared" si="6"/>
        <v>1</v>
      </c>
      <c r="K37" s="5">
        <f t="shared" si="6"/>
        <v>1</v>
      </c>
      <c r="L37" s="5">
        <f t="shared" si="6"/>
        <v>1</v>
      </c>
      <c r="M37" s="5">
        <f t="shared" si="6"/>
        <v>1</v>
      </c>
      <c r="N37" s="5">
        <f t="shared" si="6"/>
        <v>1</v>
      </c>
      <c r="O37" s="5">
        <f t="shared" si="6"/>
        <v>1</v>
      </c>
      <c r="P37" s="5">
        <f t="shared" si="6"/>
        <v>1</v>
      </c>
      <c r="Q37" s="5">
        <f t="shared" si="6"/>
        <v>1</v>
      </c>
      <c r="R37" s="5">
        <f t="shared" si="6"/>
        <v>1</v>
      </c>
      <c r="S37" s="5">
        <f t="shared" si="6"/>
        <v>1</v>
      </c>
      <c r="T37" s="5">
        <f t="shared" si="6"/>
        <v>1</v>
      </c>
      <c r="U37" s="5">
        <f t="shared" si="6"/>
        <v>1</v>
      </c>
      <c r="V37" s="5">
        <f t="shared" si="6"/>
        <v>1</v>
      </c>
      <c r="W37" s="5">
        <f t="shared" si="6"/>
        <v>1</v>
      </c>
      <c r="X37" s="5">
        <f t="shared" si="6"/>
        <v>1</v>
      </c>
      <c r="Y37" s="5">
        <f t="shared" si="6"/>
        <v>1</v>
      </c>
      <c r="Z37" s="5">
        <f t="shared" si="6"/>
        <v>1</v>
      </c>
      <c r="AA37" s="5">
        <f t="shared" si="6"/>
        <v>1</v>
      </c>
      <c r="AB37" s="5">
        <f t="shared" si="6"/>
        <v>0.97946428571428568</v>
      </c>
      <c r="AC37" s="5">
        <f t="shared" si="6"/>
        <v>1</v>
      </c>
      <c r="AD37" s="5">
        <f t="shared" si="6"/>
        <v>1</v>
      </c>
      <c r="AE37" s="5">
        <f t="shared" si="6"/>
        <v>1</v>
      </c>
      <c r="AF37" s="5">
        <f t="shared" si="6"/>
        <v>1</v>
      </c>
      <c r="AG37" s="5">
        <f t="shared" si="6"/>
        <v>1</v>
      </c>
      <c r="AH37" s="5">
        <f t="shared" si="6"/>
        <v>1</v>
      </c>
      <c r="AI37" s="5">
        <f t="shared" si="6"/>
        <v>1</v>
      </c>
      <c r="AJ37" s="5">
        <f t="shared" si="6"/>
        <v>1</v>
      </c>
      <c r="AK37" s="5">
        <f t="shared" si="6"/>
        <v>1</v>
      </c>
      <c r="AL37" s="5">
        <f t="shared" si="6"/>
        <v>1</v>
      </c>
      <c r="AM37" s="5">
        <f t="shared" si="6"/>
        <v>1</v>
      </c>
      <c r="AN37" s="5">
        <f t="shared" si="6"/>
        <v>1</v>
      </c>
      <c r="AO37" s="5">
        <f t="shared" si="6"/>
        <v>1</v>
      </c>
      <c r="AP37" s="5">
        <f t="shared" si="6"/>
        <v>1</v>
      </c>
      <c r="AQ37" s="5">
        <f t="shared" si="6"/>
        <v>1</v>
      </c>
      <c r="AR37" s="5">
        <f t="shared" si="6"/>
        <v>1</v>
      </c>
      <c r="AS37" s="5">
        <f t="shared" si="6"/>
        <v>1</v>
      </c>
      <c r="AT37" s="5">
        <f t="shared" si="6"/>
        <v>1</v>
      </c>
      <c r="AU37" s="5">
        <f t="shared" si="6"/>
        <v>1</v>
      </c>
      <c r="AV37" s="5">
        <f t="shared" si="6"/>
        <v>1</v>
      </c>
      <c r="AW37" s="5">
        <f t="shared" si="6"/>
        <v>1</v>
      </c>
      <c r="AX37" s="5">
        <f t="shared" si="6"/>
        <v>1</v>
      </c>
      <c r="AY37" s="5">
        <f t="shared" si="6"/>
        <v>1</v>
      </c>
      <c r="AZ37" s="5">
        <f t="shared" si="6"/>
        <v>1</v>
      </c>
      <c r="BA37" s="5">
        <f t="shared" si="6"/>
        <v>1</v>
      </c>
      <c r="BB37" s="5">
        <f t="shared" ref="BB37:BG37" si="7">1-(BB7/BB1)</f>
        <v>1</v>
      </c>
      <c r="BC37" s="5">
        <f t="shared" si="7"/>
        <v>1</v>
      </c>
      <c r="BD37" s="5">
        <f t="shared" si="7"/>
        <v>1</v>
      </c>
      <c r="BE37" s="5">
        <f t="shared" si="7"/>
        <v>1</v>
      </c>
      <c r="BF37" s="5">
        <f t="shared" si="7"/>
        <v>1</v>
      </c>
      <c r="BG37" s="5">
        <f t="shared" si="7"/>
        <v>1</v>
      </c>
      <c r="BH37" s="5">
        <f t="shared" ref="BH37" si="8">1-(BH7/BH1)</f>
        <v>1</v>
      </c>
    </row>
    <row r="38" spans="1:60" x14ac:dyDescent="0.35">
      <c r="A38" s="7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x14ac:dyDescent="0.35">
      <c r="A39" s="8" t="s">
        <v>26</v>
      </c>
      <c r="B39" s="5">
        <f>1-(B9/B1)</f>
        <v>1</v>
      </c>
      <c r="C39" s="5">
        <f t="shared" ref="C39:BA39" si="9">1-(C9/C1)</f>
        <v>1</v>
      </c>
      <c r="D39" s="5">
        <f t="shared" si="9"/>
        <v>1</v>
      </c>
      <c r="E39" s="5">
        <f t="shared" si="9"/>
        <v>1</v>
      </c>
      <c r="F39" s="5">
        <f t="shared" si="9"/>
        <v>1</v>
      </c>
      <c r="G39" s="5">
        <f t="shared" si="9"/>
        <v>1</v>
      </c>
      <c r="H39" s="5">
        <f t="shared" si="9"/>
        <v>1</v>
      </c>
      <c r="I39" s="5">
        <f t="shared" si="9"/>
        <v>1</v>
      </c>
      <c r="J39" s="5">
        <f t="shared" si="9"/>
        <v>1</v>
      </c>
      <c r="K39" s="5">
        <f t="shared" si="9"/>
        <v>1</v>
      </c>
      <c r="L39" s="5">
        <f t="shared" si="9"/>
        <v>1</v>
      </c>
      <c r="M39" s="5">
        <f t="shared" si="9"/>
        <v>1</v>
      </c>
      <c r="N39" s="5">
        <f t="shared" si="9"/>
        <v>1</v>
      </c>
      <c r="O39" s="5">
        <f t="shared" si="9"/>
        <v>1</v>
      </c>
      <c r="P39" s="5">
        <f t="shared" si="9"/>
        <v>1</v>
      </c>
      <c r="Q39" s="5">
        <f t="shared" si="9"/>
        <v>1</v>
      </c>
      <c r="R39" s="5">
        <f t="shared" si="9"/>
        <v>1</v>
      </c>
      <c r="S39" s="5">
        <f t="shared" si="9"/>
        <v>1</v>
      </c>
      <c r="T39" s="5">
        <f t="shared" si="9"/>
        <v>1</v>
      </c>
      <c r="U39" s="5">
        <f t="shared" si="9"/>
        <v>1</v>
      </c>
      <c r="V39" s="5">
        <f t="shared" si="9"/>
        <v>1</v>
      </c>
      <c r="W39" s="5">
        <f t="shared" si="9"/>
        <v>1</v>
      </c>
      <c r="X39" s="5">
        <f t="shared" si="9"/>
        <v>1</v>
      </c>
      <c r="Y39" s="5">
        <f t="shared" si="9"/>
        <v>0.97035714285714281</v>
      </c>
      <c r="Z39" s="5">
        <f t="shared" si="9"/>
        <v>1</v>
      </c>
      <c r="AA39" s="5">
        <f t="shared" si="9"/>
        <v>1</v>
      </c>
      <c r="AB39" s="5">
        <f t="shared" si="9"/>
        <v>0.97946428571428568</v>
      </c>
      <c r="AC39" s="5">
        <f t="shared" si="9"/>
        <v>1</v>
      </c>
      <c r="AD39" s="5">
        <f t="shared" si="9"/>
        <v>1</v>
      </c>
      <c r="AE39" s="5">
        <f t="shared" si="9"/>
        <v>1</v>
      </c>
      <c r="AF39" s="5">
        <f t="shared" si="9"/>
        <v>1</v>
      </c>
      <c r="AG39" s="5">
        <f t="shared" si="9"/>
        <v>1</v>
      </c>
      <c r="AH39" s="5">
        <f t="shared" si="9"/>
        <v>1</v>
      </c>
      <c r="AI39" s="5">
        <f t="shared" si="9"/>
        <v>1</v>
      </c>
      <c r="AJ39" s="5">
        <f t="shared" si="9"/>
        <v>1</v>
      </c>
      <c r="AK39" s="5">
        <f t="shared" si="9"/>
        <v>1</v>
      </c>
      <c r="AL39" s="5">
        <f t="shared" si="9"/>
        <v>1</v>
      </c>
      <c r="AM39" s="5">
        <f t="shared" si="9"/>
        <v>1</v>
      </c>
      <c r="AN39" s="5">
        <f t="shared" si="9"/>
        <v>1</v>
      </c>
      <c r="AO39" s="5">
        <f t="shared" si="9"/>
        <v>1</v>
      </c>
      <c r="AP39" s="5">
        <f t="shared" si="9"/>
        <v>1</v>
      </c>
      <c r="AQ39" s="5">
        <f t="shared" si="9"/>
        <v>1</v>
      </c>
      <c r="AR39" s="5">
        <f t="shared" si="9"/>
        <v>1</v>
      </c>
      <c r="AS39" s="5">
        <f t="shared" si="9"/>
        <v>1</v>
      </c>
      <c r="AT39" s="5">
        <f t="shared" si="9"/>
        <v>1</v>
      </c>
      <c r="AU39" s="5">
        <f t="shared" si="9"/>
        <v>1</v>
      </c>
      <c r="AV39" s="5">
        <f t="shared" si="9"/>
        <v>1</v>
      </c>
      <c r="AW39" s="5">
        <f t="shared" si="9"/>
        <v>1</v>
      </c>
      <c r="AX39" s="5">
        <f t="shared" si="9"/>
        <v>1</v>
      </c>
      <c r="AY39" s="5">
        <f t="shared" si="9"/>
        <v>1</v>
      </c>
      <c r="AZ39" s="5">
        <f t="shared" si="9"/>
        <v>1</v>
      </c>
      <c r="BA39" s="5">
        <f t="shared" si="9"/>
        <v>1</v>
      </c>
      <c r="BB39" s="5">
        <f t="shared" ref="BB39:BG39" si="10">1-(BB9/BB1)</f>
        <v>1</v>
      </c>
      <c r="BC39" s="5">
        <f t="shared" si="10"/>
        <v>1</v>
      </c>
      <c r="BD39" s="5">
        <f t="shared" si="10"/>
        <v>1</v>
      </c>
      <c r="BE39" s="5">
        <f t="shared" si="10"/>
        <v>1</v>
      </c>
      <c r="BF39" s="5">
        <f t="shared" si="10"/>
        <v>1</v>
      </c>
      <c r="BG39" s="5">
        <f t="shared" si="10"/>
        <v>1</v>
      </c>
      <c r="BH39" s="5">
        <f t="shared" ref="BH39" si="11">1-(BH9/BH1)</f>
        <v>1</v>
      </c>
    </row>
    <row r="40" spans="1:60" x14ac:dyDescent="0.35">
      <c r="A40" s="8" t="s">
        <v>27</v>
      </c>
      <c r="B40" s="5">
        <f>1-(B10/B1)</f>
        <v>1</v>
      </c>
      <c r="C40" s="5">
        <f t="shared" ref="C40:BA40" si="12">1-(C10/C1)</f>
        <v>1</v>
      </c>
      <c r="D40" s="5">
        <f t="shared" si="12"/>
        <v>1</v>
      </c>
      <c r="E40" s="5">
        <f t="shared" si="12"/>
        <v>1</v>
      </c>
      <c r="F40" s="5">
        <f t="shared" si="12"/>
        <v>1</v>
      </c>
      <c r="G40" s="5">
        <f t="shared" si="12"/>
        <v>1</v>
      </c>
      <c r="H40" s="5">
        <f t="shared" si="12"/>
        <v>1</v>
      </c>
      <c r="I40" s="5">
        <f t="shared" si="12"/>
        <v>1</v>
      </c>
      <c r="J40" s="5">
        <f t="shared" si="12"/>
        <v>1</v>
      </c>
      <c r="K40" s="5">
        <f t="shared" si="12"/>
        <v>1</v>
      </c>
      <c r="L40" s="5">
        <f t="shared" si="12"/>
        <v>1</v>
      </c>
      <c r="M40" s="5">
        <f t="shared" si="12"/>
        <v>1</v>
      </c>
      <c r="N40" s="5">
        <f t="shared" si="12"/>
        <v>1</v>
      </c>
      <c r="O40" s="5">
        <f t="shared" si="12"/>
        <v>1</v>
      </c>
      <c r="P40" s="5">
        <f t="shared" si="12"/>
        <v>1</v>
      </c>
      <c r="Q40" s="5">
        <f t="shared" si="12"/>
        <v>1</v>
      </c>
      <c r="R40" s="5">
        <f t="shared" si="12"/>
        <v>1</v>
      </c>
      <c r="S40" s="5">
        <f t="shared" si="12"/>
        <v>1</v>
      </c>
      <c r="T40" s="5">
        <f t="shared" si="12"/>
        <v>1</v>
      </c>
      <c r="U40" s="5">
        <f t="shared" si="12"/>
        <v>1</v>
      </c>
      <c r="V40" s="5">
        <f t="shared" si="12"/>
        <v>1</v>
      </c>
      <c r="W40" s="5">
        <f t="shared" si="12"/>
        <v>1</v>
      </c>
      <c r="X40" s="5">
        <f t="shared" si="12"/>
        <v>1</v>
      </c>
      <c r="Y40" s="5">
        <f t="shared" si="12"/>
        <v>0.97035714285714281</v>
      </c>
      <c r="Z40" s="5">
        <f t="shared" si="12"/>
        <v>1</v>
      </c>
      <c r="AA40" s="5">
        <f t="shared" si="12"/>
        <v>1</v>
      </c>
      <c r="AB40" s="5">
        <f t="shared" si="12"/>
        <v>0.97946428571428568</v>
      </c>
      <c r="AC40" s="5">
        <f t="shared" si="12"/>
        <v>1</v>
      </c>
      <c r="AD40" s="5">
        <f t="shared" si="12"/>
        <v>1</v>
      </c>
      <c r="AE40" s="5">
        <f t="shared" si="12"/>
        <v>1</v>
      </c>
      <c r="AF40" s="5">
        <f t="shared" si="12"/>
        <v>1</v>
      </c>
      <c r="AG40" s="5">
        <f t="shared" si="12"/>
        <v>1</v>
      </c>
      <c r="AH40" s="5">
        <f t="shared" si="12"/>
        <v>1</v>
      </c>
      <c r="AI40" s="5">
        <f t="shared" si="12"/>
        <v>1</v>
      </c>
      <c r="AJ40" s="5">
        <f t="shared" si="12"/>
        <v>1</v>
      </c>
      <c r="AK40" s="5">
        <f t="shared" si="12"/>
        <v>1</v>
      </c>
      <c r="AL40" s="5">
        <f t="shared" si="12"/>
        <v>1</v>
      </c>
      <c r="AM40" s="5">
        <f t="shared" si="12"/>
        <v>1</v>
      </c>
      <c r="AN40" s="5">
        <f t="shared" si="12"/>
        <v>1</v>
      </c>
      <c r="AO40" s="5">
        <f t="shared" si="12"/>
        <v>1</v>
      </c>
      <c r="AP40" s="5">
        <f t="shared" si="12"/>
        <v>1</v>
      </c>
      <c r="AQ40" s="5">
        <f t="shared" si="12"/>
        <v>1</v>
      </c>
      <c r="AR40" s="5">
        <f t="shared" si="12"/>
        <v>1</v>
      </c>
      <c r="AS40" s="5">
        <f t="shared" si="12"/>
        <v>1</v>
      </c>
      <c r="AT40" s="5">
        <f t="shared" si="12"/>
        <v>1</v>
      </c>
      <c r="AU40" s="5">
        <f t="shared" si="12"/>
        <v>1</v>
      </c>
      <c r="AV40" s="5">
        <f t="shared" si="12"/>
        <v>1</v>
      </c>
      <c r="AW40" s="5">
        <f t="shared" si="12"/>
        <v>1</v>
      </c>
      <c r="AX40" s="5">
        <f t="shared" si="12"/>
        <v>1</v>
      </c>
      <c r="AY40" s="5">
        <f t="shared" si="12"/>
        <v>1</v>
      </c>
      <c r="AZ40" s="5">
        <f t="shared" si="12"/>
        <v>1</v>
      </c>
      <c r="BA40" s="5">
        <f t="shared" si="12"/>
        <v>1</v>
      </c>
      <c r="BB40" s="5">
        <f t="shared" ref="BB40:BG40" si="13">1-(BB10/BB1)</f>
        <v>1</v>
      </c>
      <c r="BC40" s="5">
        <f t="shared" si="13"/>
        <v>1</v>
      </c>
      <c r="BD40" s="5">
        <f t="shared" si="13"/>
        <v>1</v>
      </c>
      <c r="BE40" s="5">
        <f t="shared" si="13"/>
        <v>1</v>
      </c>
      <c r="BF40" s="5">
        <f t="shared" si="13"/>
        <v>1</v>
      </c>
      <c r="BG40" s="5">
        <f t="shared" si="13"/>
        <v>1</v>
      </c>
      <c r="BH40" s="5">
        <f t="shared" ref="BH40" si="14">1-(BH10/BH1)</f>
        <v>1</v>
      </c>
    </row>
    <row r="41" spans="1:60" x14ac:dyDescent="0.35">
      <c r="A41" s="8" t="s">
        <v>28</v>
      </c>
      <c r="B41" s="5">
        <f>1-(B11/B1)</f>
        <v>1</v>
      </c>
      <c r="C41" s="5">
        <f t="shared" ref="C41:BA41" si="15">1-(C11/C1)</f>
        <v>1</v>
      </c>
      <c r="D41" s="5">
        <f t="shared" si="15"/>
        <v>1</v>
      </c>
      <c r="E41" s="5">
        <f t="shared" si="15"/>
        <v>1</v>
      </c>
      <c r="F41" s="5">
        <f t="shared" si="15"/>
        <v>1</v>
      </c>
      <c r="G41" s="5">
        <f t="shared" si="15"/>
        <v>1</v>
      </c>
      <c r="H41" s="5">
        <f t="shared" si="15"/>
        <v>1</v>
      </c>
      <c r="I41" s="5">
        <f t="shared" si="15"/>
        <v>1</v>
      </c>
      <c r="J41" s="5">
        <f t="shared" si="15"/>
        <v>1</v>
      </c>
      <c r="K41" s="5">
        <f t="shared" si="15"/>
        <v>1</v>
      </c>
      <c r="L41" s="5">
        <f t="shared" si="15"/>
        <v>1</v>
      </c>
      <c r="M41" s="5">
        <f t="shared" si="15"/>
        <v>1</v>
      </c>
      <c r="N41" s="5">
        <f t="shared" si="15"/>
        <v>1</v>
      </c>
      <c r="O41" s="5">
        <f t="shared" si="15"/>
        <v>1</v>
      </c>
      <c r="P41" s="5">
        <f t="shared" si="15"/>
        <v>1</v>
      </c>
      <c r="Q41" s="5">
        <f t="shared" si="15"/>
        <v>1</v>
      </c>
      <c r="R41" s="5">
        <f t="shared" si="15"/>
        <v>1</v>
      </c>
      <c r="S41" s="5">
        <f t="shared" si="15"/>
        <v>1</v>
      </c>
      <c r="T41" s="5">
        <f t="shared" si="15"/>
        <v>1</v>
      </c>
      <c r="U41" s="5">
        <f t="shared" si="15"/>
        <v>1</v>
      </c>
      <c r="V41" s="5">
        <f t="shared" si="15"/>
        <v>1</v>
      </c>
      <c r="W41" s="5">
        <f t="shared" si="15"/>
        <v>1</v>
      </c>
      <c r="X41" s="5">
        <f t="shared" si="15"/>
        <v>1</v>
      </c>
      <c r="Y41" s="5">
        <f t="shared" si="15"/>
        <v>0.97035714285714281</v>
      </c>
      <c r="Z41" s="5">
        <f t="shared" si="15"/>
        <v>1</v>
      </c>
      <c r="AA41" s="5">
        <f t="shared" si="15"/>
        <v>1</v>
      </c>
      <c r="AB41" s="5">
        <f t="shared" si="15"/>
        <v>0.97946428571428568</v>
      </c>
      <c r="AC41" s="5">
        <f t="shared" si="15"/>
        <v>1</v>
      </c>
      <c r="AD41" s="5">
        <f t="shared" si="15"/>
        <v>1</v>
      </c>
      <c r="AE41" s="5">
        <f t="shared" si="15"/>
        <v>1</v>
      </c>
      <c r="AF41" s="5">
        <f t="shared" si="15"/>
        <v>1</v>
      </c>
      <c r="AG41" s="5">
        <f t="shared" si="15"/>
        <v>1</v>
      </c>
      <c r="AH41" s="5">
        <f t="shared" si="15"/>
        <v>1</v>
      </c>
      <c r="AI41" s="5">
        <f t="shared" si="15"/>
        <v>1</v>
      </c>
      <c r="AJ41" s="5">
        <f t="shared" si="15"/>
        <v>1</v>
      </c>
      <c r="AK41" s="5">
        <f t="shared" si="15"/>
        <v>1</v>
      </c>
      <c r="AL41" s="5">
        <f t="shared" si="15"/>
        <v>1</v>
      </c>
      <c r="AM41" s="5">
        <f t="shared" si="15"/>
        <v>1</v>
      </c>
      <c r="AN41" s="5">
        <f t="shared" si="15"/>
        <v>1</v>
      </c>
      <c r="AO41" s="5">
        <f t="shared" si="15"/>
        <v>1</v>
      </c>
      <c r="AP41" s="5">
        <f t="shared" si="15"/>
        <v>1</v>
      </c>
      <c r="AQ41" s="5">
        <f t="shared" si="15"/>
        <v>1</v>
      </c>
      <c r="AR41" s="5">
        <f t="shared" si="15"/>
        <v>1</v>
      </c>
      <c r="AS41" s="5">
        <f t="shared" si="15"/>
        <v>1</v>
      </c>
      <c r="AT41" s="5">
        <f t="shared" si="15"/>
        <v>1</v>
      </c>
      <c r="AU41" s="5">
        <f t="shared" si="15"/>
        <v>1</v>
      </c>
      <c r="AV41" s="5">
        <f t="shared" si="15"/>
        <v>1</v>
      </c>
      <c r="AW41" s="5">
        <f t="shared" si="15"/>
        <v>1</v>
      </c>
      <c r="AX41" s="5">
        <f t="shared" si="15"/>
        <v>1</v>
      </c>
      <c r="AY41" s="5">
        <f t="shared" si="15"/>
        <v>1</v>
      </c>
      <c r="AZ41" s="5">
        <f t="shared" si="15"/>
        <v>1</v>
      </c>
      <c r="BA41" s="5">
        <f t="shared" si="15"/>
        <v>1</v>
      </c>
      <c r="BB41" s="5">
        <f t="shared" ref="BB41:BG41" si="16">1-(BB11/BB1)</f>
        <v>1</v>
      </c>
      <c r="BC41" s="5">
        <f t="shared" si="16"/>
        <v>1</v>
      </c>
      <c r="BD41" s="5">
        <f t="shared" si="16"/>
        <v>1</v>
      </c>
      <c r="BE41" s="5">
        <f t="shared" si="16"/>
        <v>1</v>
      </c>
      <c r="BF41" s="5">
        <f t="shared" si="16"/>
        <v>1</v>
      </c>
      <c r="BG41" s="5">
        <f t="shared" si="16"/>
        <v>1</v>
      </c>
      <c r="BH41" s="5">
        <f t="shared" ref="BH41" si="17">1-(BH11/BH1)</f>
        <v>1</v>
      </c>
    </row>
    <row r="42" spans="1:60" x14ac:dyDescent="0.35">
      <c r="A42" s="7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x14ac:dyDescent="0.35">
      <c r="A43" s="8" t="s">
        <v>26</v>
      </c>
      <c r="B43" s="5">
        <f>1-(B13/B1)</f>
        <v>1</v>
      </c>
      <c r="C43" s="5">
        <f t="shared" ref="C43:BA43" si="18">1-(C13/C1)</f>
        <v>1</v>
      </c>
      <c r="D43" s="5">
        <f t="shared" si="18"/>
        <v>1</v>
      </c>
      <c r="E43" s="5">
        <f t="shared" si="18"/>
        <v>1</v>
      </c>
      <c r="F43" s="5">
        <f t="shared" si="18"/>
        <v>1</v>
      </c>
      <c r="G43" s="5">
        <f t="shared" si="18"/>
        <v>1</v>
      </c>
      <c r="H43" s="5">
        <f t="shared" si="18"/>
        <v>1</v>
      </c>
      <c r="I43" s="5">
        <f t="shared" si="18"/>
        <v>1</v>
      </c>
      <c r="J43" s="5">
        <f t="shared" si="18"/>
        <v>1</v>
      </c>
      <c r="K43" s="5">
        <f t="shared" si="18"/>
        <v>1</v>
      </c>
      <c r="L43" s="5">
        <f t="shared" si="18"/>
        <v>1</v>
      </c>
      <c r="M43" s="5">
        <f t="shared" si="18"/>
        <v>1</v>
      </c>
      <c r="N43" s="5">
        <f t="shared" si="18"/>
        <v>1</v>
      </c>
      <c r="O43" s="5">
        <f t="shared" si="18"/>
        <v>1</v>
      </c>
      <c r="P43" s="5">
        <f t="shared" si="18"/>
        <v>1</v>
      </c>
      <c r="Q43" s="5">
        <f t="shared" si="18"/>
        <v>1</v>
      </c>
      <c r="R43" s="5">
        <f t="shared" si="18"/>
        <v>1</v>
      </c>
      <c r="S43" s="5">
        <f t="shared" si="18"/>
        <v>1</v>
      </c>
      <c r="T43" s="5">
        <f t="shared" si="18"/>
        <v>1</v>
      </c>
      <c r="U43" s="5">
        <f t="shared" si="18"/>
        <v>1</v>
      </c>
      <c r="V43" s="5">
        <f t="shared" si="18"/>
        <v>1</v>
      </c>
      <c r="W43" s="5">
        <f t="shared" si="18"/>
        <v>1</v>
      </c>
      <c r="X43" s="5">
        <f t="shared" si="18"/>
        <v>1</v>
      </c>
      <c r="Y43" s="5">
        <f t="shared" si="18"/>
        <v>1</v>
      </c>
      <c r="Z43" s="5">
        <f t="shared" si="18"/>
        <v>1</v>
      </c>
      <c r="AA43" s="5">
        <f t="shared" si="18"/>
        <v>1</v>
      </c>
      <c r="AB43" s="5">
        <f t="shared" si="18"/>
        <v>0.97946428571428568</v>
      </c>
      <c r="AC43" s="5">
        <f t="shared" si="18"/>
        <v>1</v>
      </c>
      <c r="AD43" s="5">
        <f t="shared" si="18"/>
        <v>1</v>
      </c>
      <c r="AE43" s="5">
        <f t="shared" si="18"/>
        <v>1</v>
      </c>
      <c r="AF43" s="5">
        <f t="shared" si="18"/>
        <v>1</v>
      </c>
      <c r="AG43" s="5">
        <f t="shared" si="18"/>
        <v>1</v>
      </c>
      <c r="AH43" s="5">
        <f t="shared" si="18"/>
        <v>1</v>
      </c>
      <c r="AI43" s="5">
        <f t="shared" si="18"/>
        <v>1</v>
      </c>
      <c r="AJ43" s="5">
        <f t="shared" si="18"/>
        <v>1</v>
      </c>
      <c r="AK43" s="5">
        <f t="shared" si="18"/>
        <v>1</v>
      </c>
      <c r="AL43" s="5">
        <f t="shared" si="18"/>
        <v>1</v>
      </c>
      <c r="AM43" s="5">
        <f t="shared" si="18"/>
        <v>1</v>
      </c>
      <c r="AN43" s="5">
        <f t="shared" si="18"/>
        <v>1</v>
      </c>
      <c r="AO43" s="5">
        <f t="shared" si="18"/>
        <v>1</v>
      </c>
      <c r="AP43" s="5">
        <f t="shared" si="18"/>
        <v>1</v>
      </c>
      <c r="AQ43" s="5">
        <f t="shared" si="18"/>
        <v>1</v>
      </c>
      <c r="AR43" s="5">
        <f t="shared" si="18"/>
        <v>1</v>
      </c>
      <c r="AS43" s="5">
        <f t="shared" si="18"/>
        <v>1</v>
      </c>
      <c r="AT43" s="5">
        <f t="shared" si="18"/>
        <v>1</v>
      </c>
      <c r="AU43" s="5">
        <f t="shared" si="18"/>
        <v>1</v>
      </c>
      <c r="AV43" s="5">
        <f t="shared" si="18"/>
        <v>1</v>
      </c>
      <c r="AW43" s="5">
        <f t="shared" si="18"/>
        <v>1</v>
      </c>
      <c r="AX43" s="5">
        <f t="shared" si="18"/>
        <v>1</v>
      </c>
      <c r="AY43" s="5">
        <f t="shared" si="18"/>
        <v>1</v>
      </c>
      <c r="AZ43" s="5">
        <f t="shared" si="18"/>
        <v>1</v>
      </c>
      <c r="BA43" s="5">
        <f t="shared" si="18"/>
        <v>1</v>
      </c>
      <c r="BB43" s="5">
        <f t="shared" ref="BB43:BG43" si="19">1-(BB13/BB1)</f>
        <v>1</v>
      </c>
      <c r="BC43" s="5">
        <f t="shared" si="19"/>
        <v>1</v>
      </c>
      <c r="BD43" s="5">
        <f t="shared" si="19"/>
        <v>1</v>
      </c>
      <c r="BE43" s="5">
        <f t="shared" si="19"/>
        <v>1</v>
      </c>
      <c r="BF43" s="5">
        <f t="shared" si="19"/>
        <v>1</v>
      </c>
      <c r="BG43" s="5">
        <f t="shared" si="19"/>
        <v>1</v>
      </c>
      <c r="BH43" s="5">
        <f t="shared" ref="BH43" si="20">1-(BH13/BH1)</f>
        <v>1</v>
      </c>
    </row>
    <row r="44" spans="1:60" x14ac:dyDescent="0.35">
      <c r="A44" s="8" t="s">
        <v>27</v>
      </c>
      <c r="B44" s="5">
        <f>1-(B14/B1)</f>
        <v>1</v>
      </c>
      <c r="C44" s="5">
        <f t="shared" ref="C44:BA44" si="21">1-(C14/C1)</f>
        <v>1</v>
      </c>
      <c r="D44" s="5">
        <f t="shared" si="21"/>
        <v>1</v>
      </c>
      <c r="E44" s="5">
        <f t="shared" si="21"/>
        <v>1</v>
      </c>
      <c r="F44" s="5">
        <f t="shared" si="21"/>
        <v>1</v>
      </c>
      <c r="G44" s="5">
        <f t="shared" si="21"/>
        <v>1</v>
      </c>
      <c r="H44" s="5">
        <f t="shared" si="21"/>
        <v>1</v>
      </c>
      <c r="I44" s="5">
        <f t="shared" si="21"/>
        <v>1</v>
      </c>
      <c r="J44" s="5">
        <f t="shared" si="21"/>
        <v>1</v>
      </c>
      <c r="K44" s="5">
        <f t="shared" si="21"/>
        <v>1</v>
      </c>
      <c r="L44" s="5">
        <f t="shared" si="21"/>
        <v>1</v>
      </c>
      <c r="M44" s="5">
        <f t="shared" si="21"/>
        <v>1</v>
      </c>
      <c r="N44" s="5">
        <f t="shared" si="21"/>
        <v>1</v>
      </c>
      <c r="O44" s="5">
        <f t="shared" si="21"/>
        <v>1</v>
      </c>
      <c r="P44" s="5">
        <f t="shared" si="21"/>
        <v>1</v>
      </c>
      <c r="Q44" s="5">
        <f t="shared" si="21"/>
        <v>1</v>
      </c>
      <c r="R44" s="5">
        <f t="shared" si="21"/>
        <v>1</v>
      </c>
      <c r="S44" s="5">
        <f t="shared" si="21"/>
        <v>1</v>
      </c>
      <c r="T44" s="5">
        <f t="shared" si="21"/>
        <v>1</v>
      </c>
      <c r="U44" s="5">
        <f t="shared" si="21"/>
        <v>1</v>
      </c>
      <c r="V44" s="5">
        <f t="shared" si="21"/>
        <v>1</v>
      </c>
      <c r="W44" s="5">
        <f t="shared" si="21"/>
        <v>1</v>
      </c>
      <c r="X44" s="5">
        <f t="shared" si="21"/>
        <v>1</v>
      </c>
      <c r="Y44" s="5">
        <f t="shared" si="21"/>
        <v>1</v>
      </c>
      <c r="Z44" s="5">
        <f t="shared" si="21"/>
        <v>1</v>
      </c>
      <c r="AA44" s="5">
        <f t="shared" si="21"/>
        <v>1</v>
      </c>
      <c r="AB44" s="5">
        <f t="shared" si="21"/>
        <v>0.97946428571428568</v>
      </c>
      <c r="AC44" s="5">
        <f t="shared" si="21"/>
        <v>1</v>
      </c>
      <c r="AD44" s="5">
        <f t="shared" si="21"/>
        <v>1</v>
      </c>
      <c r="AE44" s="5">
        <f t="shared" si="21"/>
        <v>1</v>
      </c>
      <c r="AF44" s="5">
        <f t="shared" si="21"/>
        <v>1</v>
      </c>
      <c r="AG44" s="5">
        <f t="shared" si="21"/>
        <v>1</v>
      </c>
      <c r="AH44" s="5">
        <f t="shared" si="21"/>
        <v>1</v>
      </c>
      <c r="AI44" s="5">
        <f t="shared" si="21"/>
        <v>1</v>
      </c>
      <c r="AJ44" s="5">
        <f t="shared" si="21"/>
        <v>1</v>
      </c>
      <c r="AK44" s="5">
        <f t="shared" si="21"/>
        <v>1</v>
      </c>
      <c r="AL44" s="5">
        <f t="shared" si="21"/>
        <v>1</v>
      </c>
      <c r="AM44" s="5">
        <f t="shared" si="21"/>
        <v>1</v>
      </c>
      <c r="AN44" s="5">
        <f t="shared" si="21"/>
        <v>1</v>
      </c>
      <c r="AO44" s="5">
        <f t="shared" si="21"/>
        <v>1</v>
      </c>
      <c r="AP44" s="5">
        <f t="shared" si="21"/>
        <v>1</v>
      </c>
      <c r="AQ44" s="5">
        <f t="shared" si="21"/>
        <v>1</v>
      </c>
      <c r="AR44" s="5">
        <f t="shared" si="21"/>
        <v>1</v>
      </c>
      <c r="AS44" s="5">
        <f t="shared" si="21"/>
        <v>1</v>
      </c>
      <c r="AT44" s="5">
        <f t="shared" si="21"/>
        <v>1</v>
      </c>
      <c r="AU44" s="5">
        <f t="shared" si="21"/>
        <v>1</v>
      </c>
      <c r="AV44" s="5">
        <f t="shared" si="21"/>
        <v>1</v>
      </c>
      <c r="AW44" s="5">
        <f t="shared" si="21"/>
        <v>1</v>
      </c>
      <c r="AX44" s="5">
        <f t="shared" si="21"/>
        <v>1</v>
      </c>
      <c r="AY44" s="5">
        <f t="shared" si="21"/>
        <v>1</v>
      </c>
      <c r="AZ44" s="5">
        <f t="shared" si="21"/>
        <v>1</v>
      </c>
      <c r="BA44" s="5">
        <f t="shared" si="21"/>
        <v>1</v>
      </c>
      <c r="BB44" s="5">
        <f t="shared" ref="BB44:BG44" si="22">1-(BB14/BB1)</f>
        <v>1</v>
      </c>
      <c r="BC44" s="5">
        <f t="shared" si="22"/>
        <v>1</v>
      </c>
      <c r="BD44" s="5">
        <f t="shared" si="22"/>
        <v>1</v>
      </c>
      <c r="BE44" s="5">
        <f t="shared" si="22"/>
        <v>1</v>
      </c>
      <c r="BF44" s="5">
        <f t="shared" si="22"/>
        <v>1</v>
      </c>
      <c r="BG44" s="5">
        <f t="shared" si="22"/>
        <v>1</v>
      </c>
      <c r="BH44" s="5">
        <f t="shared" ref="BH44" si="23">1-(BH14/BH1)</f>
        <v>1</v>
      </c>
    </row>
    <row r="45" spans="1:60" x14ac:dyDescent="0.35">
      <c r="A45" s="8" t="s">
        <v>28</v>
      </c>
      <c r="B45" s="5">
        <f>1-(B15/B1)</f>
        <v>1</v>
      </c>
      <c r="C45" s="5">
        <f t="shared" ref="C45:BA45" si="24">1-(C15/C1)</f>
        <v>1</v>
      </c>
      <c r="D45" s="5">
        <f t="shared" si="24"/>
        <v>1</v>
      </c>
      <c r="E45" s="5">
        <f t="shared" si="24"/>
        <v>1</v>
      </c>
      <c r="F45" s="5">
        <f t="shared" si="24"/>
        <v>1</v>
      </c>
      <c r="G45" s="5">
        <f t="shared" si="24"/>
        <v>1</v>
      </c>
      <c r="H45" s="5">
        <f t="shared" si="24"/>
        <v>1</v>
      </c>
      <c r="I45" s="5">
        <f t="shared" si="24"/>
        <v>1</v>
      </c>
      <c r="J45" s="5">
        <f t="shared" si="24"/>
        <v>1</v>
      </c>
      <c r="K45" s="5">
        <f t="shared" si="24"/>
        <v>1</v>
      </c>
      <c r="L45" s="5">
        <f t="shared" si="24"/>
        <v>1</v>
      </c>
      <c r="M45" s="5">
        <f t="shared" si="24"/>
        <v>1</v>
      </c>
      <c r="N45" s="5">
        <f t="shared" si="24"/>
        <v>1</v>
      </c>
      <c r="O45" s="5">
        <f t="shared" si="24"/>
        <v>1</v>
      </c>
      <c r="P45" s="5">
        <f t="shared" si="24"/>
        <v>1</v>
      </c>
      <c r="Q45" s="5">
        <f t="shared" si="24"/>
        <v>1</v>
      </c>
      <c r="R45" s="5">
        <f t="shared" si="24"/>
        <v>1</v>
      </c>
      <c r="S45" s="5">
        <f t="shared" si="24"/>
        <v>1</v>
      </c>
      <c r="T45" s="5">
        <f t="shared" si="24"/>
        <v>1</v>
      </c>
      <c r="U45" s="5">
        <f t="shared" si="24"/>
        <v>1</v>
      </c>
      <c r="V45" s="5">
        <f t="shared" si="24"/>
        <v>1</v>
      </c>
      <c r="W45" s="5">
        <f t="shared" si="24"/>
        <v>1</v>
      </c>
      <c r="X45" s="5">
        <f t="shared" si="24"/>
        <v>1</v>
      </c>
      <c r="Y45" s="5">
        <f t="shared" si="24"/>
        <v>1</v>
      </c>
      <c r="Z45" s="5">
        <f t="shared" si="24"/>
        <v>1</v>
      </c>
      <c r="AA45" s="5">
        <f t="shared" si="24"/>
        <v>1</v>
      </c>
      <c r="AB45" s="5">
        <f t="shared" si="24"/>
        <v>0.97946428571428568</v>
      </c>
      <c r="AC45" s="5">
        <f t="shared" si="24"/>
        <v>1</v>
      </c>
      <c r="AD45" s="5">
        <f t="shared" si="24"/>
        <v>1</v>
      </c>
      <c r="AE45" s="5">
        <f t="shared" si="24"/>
        <v>1</v>
      </c>
      <c r="AF45" s="5">
        <f t="shared" si="24"/>
        <v>1</v>
      </c>
      <c r="AG45" s="5">
        <f t="shared" si="24"/>
        <v>1</v>
      </c>
      <c r="AH45" s="5">
        <f t="shared" si="24"/>
        <v>1</v>
      </c>
      <c r="AI45" s="5">
        <f t="shared" si="24"/>
        <v>1</v>
      </c>
      <c r="AJ45" s="5">
        <f t="shared" si="24"/>
        <v>1</v>
      </c>
      <c r="AK45" s="5">
        <f t="shared" si="24"/>
        <v>1</v>
      </c>
      <c r="AL45" s="5">
        <f t="shared" si="24"/>
        <v>1</v>
      </c>
      <c r="AM45" s="5">
        <f t="shared" si="24"/>
        <v>1</v>
      </c>
      <c r="AN45" s="5">
        <f t="shared" si="24"/>
        <v>1</v>
      </c>
      <c r="AO45" s="5">
        <f t="shared" si="24"/>
        <v>1</v>
      </c>
      <c r="AP45" s="5">
        <f t="shared" si="24"/>
        <v>1</v>
      </c>
      <c r="AQ45" s="5">
        <f t="shared" si="24"/>
        <v>1</v>
      </c>
      <c r="AR45" s="5">
        <f t="shared" si="24"/>
        <v>1</v>
      </c>
      <c r="AS45" s="5">
        <f t="shared" si="24"/>
        <v>1</v>
      </c>
      <c r="AT45" s="5">
        <f t="shared" si="24"/>
        <v>1</v>
      </c>
      <c r="AU45" s="5">
        <f t="shared" si="24"/>
        <v>1</v>
      </c>
      <c r="AV45" s="5">
        <f t="shared" si="24"/>
        <v>1</v>
      </c>
      <c r="AW45" s="5">
        <f t="shared" si="24"/>
        <v>1</v>
      </c>
      <c r="AX45" s="5">
        <f t="shared" si="24"/>
        <v>1</v>
      </c>
      <c r="AY45" s="5">
        <f t="shared" si="24"/>
        <v>1</v>
      </c>
      <c r="AZ45" s="5">
        <f t="shared" si="24"/>
        <v>1</v>
      </c>
      <c r="BA45" s="5">
        <f t="shared" si="24"/>
        <v>1</v>
      </c>
      <c r="BB45" s="5">
        <f t="shared" ref="BB45:BG45" si="25">1-(BB15/BB1)</f>
        <v>1</v>
      </c>
      <c r="BC45" s="5">
        <f t="shared" si="25"/>
        <v>1</v>
      </c>
      <c r="BD45" s="5">
        <f t="shared" si="25"/>
        <v>1</v>
      </c>
      <c r="BE45" s="5">
        <f t="shared" si="25"/>
        <v>1</v>
      </c>
      <c r="BF45" s="5">
        <f t="shared" si="25"/>
        <v>1</v>
      </c>
      <c r="BG45" s="5">
        <f t="shared" si="25"/>
        <v>1</v>
      </c>
      <c r="BH45" s="5">
        <f t="shared" ref="BH45" si="26">1-(BH15/BH1)</f>
        <v>1</v>
      </c>
    </row>
    <row r="46" spans="1:60" x14ac:dyDescent="0.35">
      <c r="A46" s="7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x14ac:dyDescent="0.35">
      <c r="A47" s="8" t="s">
        <v>26</v>
      </c>
      <c r="B47" s="5">
        <f>1-(B17/B1)</f>
        <v>1</v>
      </c>
      <c r="C47" s="5">
        <f t="shared" ref="C47:BA47" si="27">1-(C17/C1)</f>
        <v>1</v>
      </c>
      <c r="D47" s="5">
        <f t="shared" si="27"/>
        <v>1</v>
      </c>
      <c r="E47" s="5">
        <f t="shared" si="27"/>
        <v>1</v>
      </c>
      <c r="F47" s="5">
        <f t="shared" si="27"/>
        <v>1</v>
      </c>
      <c r="G47" s="5">
        <f t="shared" si="27"/>
        <v>1</v>
      </c>
      <c r="H47" s="5">
        <f t="shared" si="27"/>
        <v>1</v>
      </c>
      <c r="I47" s="5">
        <f t="shared" si="27"/>
        <v>1</v>
      </c>
      <c r="J47" s="5">
        <f t="shared" si="27"/>
        <v>1</v>
      </c>
      <c r="K47" s="5">
        <f t="shared" si="27"/>
        <v>1</v>
      </c>
      <c r="L47" s="5">
        <f t="shared" si="27"/>
        <v>1</v>
      </c>
      <c r="M47" s="5">
        <f t="shared" si="27"/>
        <v>1</v>
      </c>
      <c r="N47" s="5">
        <f t="shared" si="27"/>
        <v>1</v>
      </c>
      <c r="O47" s="5">
        <f t="shared" si="27"/>
        <v>1</v>
      </c>
      <c r="P47" s="5">
        <f t="shared" si="27"/>
        <v>1</v>
      </c>
      <c r="Q47" s="5">
        <f t="shared" si="27"/>
        <v>1</v>
      </c>
      <c r="R47" s="5">
        <f t="shared" si="27"/>
        <v>1</v>
      </c>
      <c r="S47" s="5">
        <f t="shared" si="27"/>
        <v>1</v>
      </c>
      <c r="T47" s="5">
        <f t="shared" si="27"/>
        <v>1</v>
      </c>
      <c r="U47" s="5">
        <f t="shared" si="27"/>
        <v>1</v>
      </c>
      <c r="V47" s="5">
        <f>1-(V17/V1)</f>
        <v>1</v>
      </c>
      <c r="W47" s="5">
        <f t="shared" si="27"/>
        <v>1</v>
      </c>
      <c r="X47" s="5">
        <f t="shared" si="27"/>
        <v>1</v>
      </c>
      <c r="Y47" s="5">
        <f t="shared" si="27"/>
        <v>1</v>
      </c>
      <c r="Z47" s="5">
        <f t="shared" si="27"/>
        <v>1</v>
      </c>
      <c r="AA47" s="5">
        <f t="shared" si="27"/>
        <v>1</v>
      </c>
      <c r="AB47" s="5">
        <f t="shared" si="27"/>
        <v>0.97946428571428568</v>
      </c>
      <c r="AC47" s="5">
        <f t="shared" si="27"/>
        <v>1</v>
      </c>
      <c r="AD47" s="5">
        <f t="shared" si="27"/>
        <v>1</v>
      </c>
      <c r="AE47" s="5">
        <f t="shared" si="27"/>
        <v>1</v>
      </c>
      <c r="AF47" s="5">
        <f t="shared" si="27"/>
        <v>1</v>
      </c>
      <c r="AG47" s="5">
        <f t="shared" si="27"/>
        <v>1</v>
      </c>
      <c r="AH47" s="5">
        <f t="shared" si="27"/>
        <v>1</v>
      </c>
      <c r="AI47" s="5">
        <f t="shared" si="27"/>
        <v>1</v>
      </c>
      <c r="AJ47" s="5">
        <f t="shared" si="27"/>
        <v>1</v>
      </c>
      <c r="AK47" s="5">
        <f t="shared" si="27"/>
        <v>1</v>
      </c>
      <c r="AL47" s="5">
        <f t="shared" si="27"/>
        <v>1</v>
      </c>
      <c r="AM47" s="5">
        <f t="shared" si="27"/>
        <v>1</v>
      </c>
      <c r="AN47" s="5">
        <f t="shared" si="27"/>
        <v>1</v>
      </c>
      <c r="AO47" s="5">
        <f t="shared" si="27"/>
        <v>1</v>
      </c>
      <c r="AP47" s="5">
        <f t="shared" si="27"/>
        <v>1</v>
      </c>
      <c r="AQ47" s="5">
        <f t="shared" si="27"/>
        <v>1</v>
      </c>
      <c r="AR47" s="5">
        <f t="shared" si="27"/>
        <v>1</v>
      </c>
      <c r="AS47" s="5">
        <f t="shared" si="27"/>
        <v>1</v>
      </c>
      <c r="AT47" s="5">
        <f t="shared" si="27"/>
        <v>1</v>
      </c>
      <c r="AU47" s="5">
        <f t="shared" si="27"/>
        <v>1</v>
      </c>
      <c r="AV47" s="5">
        <f t="shared" si="27"/>
        <v>1</v>
      </c>
      <c r="AW47" s="5">
        <f t="shared" si="27"/>
        <v>1</v>
      </c>
      <c r="AX47" s="5">
        <f t="shared" si="27"/>
        <v>1</v>
      </c>
      <c r="AY47" s="5">
        <f t="shared" si="27"/>
        <v>1</v>
      </c>
      <c r="AZ47" s="5">
        <f t="shared" si="27"/>
        <v>1</v>
      </c>
      <c r="BA47" s="5">
        <f t="shared" si="27"/>
        <v>1</v>
      </c>
      <c r="BB47" s="5">
        <f t="shared" ref="BB47:BG47" si="28">1-(BB17/BB1)</f>
        <v>1</v>
      </c>
      <c r="BC47" s="5">
        <f t="shared" si="28"/>
        <v>1</v>
      </c>
      <c r="BD47" s="5">
        <f t="shared" si="28"/>
        <v>1</v>
      </c>
      <c r="BE47" s="5">
        <f t="shared" si="28"/>
        <v>1</v>
      </c>
      <c r="BF47" s="5">
        <f t="shared" si="28"/>
        <v>1</v>
      </c>
      <c r="BG47" s="5">
        <f t="shared" si="28"/>
        <v>1</v>
      </c>
      <c r="BH47" s="5">
        <f t="shared" ref="BH47" si="29">1-(BH17/BH1)</f>
        <v>1</v>
      </c>
    </row>
    <row r="48" spans="1:60" x14ac:dyDescent="0.35">
      <c r="A48" s="8" t="s">
        <v>27</v>
      </c>
      <c r="B48" s="5">
        <f>1-(B18/B1)</f>
        <v>1</v>
      </c>
      <c r="C48" s="5">
        <f t="shared" ref="C48:BA48" si="30">1-(C18/C1)</f>
        <v>1</v>
      </c>
      <c r="D48" s="5">
        <f t="shared" si="30"/>
        <v>1</v>
      </c>
      <c r="E48" s="5">
        <f t="shared" si="30"/>
        <v>1</v>
      </c>
      <c r="F48" s="5">
        <f t="shared" si="30"/>
        <v>1</v>
      </c>
      <c r="G48" s="5">
        <f t="shared" si="30"/>
        <v>1</v>
      </c>
      <c r="H48" s="5">
        <f t="shared" si="30"/>
        <v>1</v>
      </c>
      <c r="I48" s="5">
        <f t="shared" si="30"/>
        <v>1</v>
      </c>
      <c r="J48" s="5">
        <f t="shared" si="30"/>
        <v>1</v>
      </c>
      <c r="K48" s="5">
        <f t="shared" si="30"/>
        <v>1</v>
      </c>
      <c r="L48" s="5">
        <f t="shared" si="30"/>
        <v>1</v>
      </c>
      <c r="M48" s="5">
        <f t="shared" si="30"/>
        <v>1</v>
      </c>
      <c r="N48" s="5">
        <f t="shared" si="30"/>
        <v>1</v>
      </c>
      <c r="O48" s="5">
        <f t="shared" si="30"/>
        <v>1</v>
      </c>
      <c r="P48" s="5">
        <f t="shared" si="30"/>
        <v>1</v>
      </c>
      <c r="Q48" s="5">
        <f t="shared" si="30"/>
        <v>1</v>
      </c>
      <c r="R48" s="5">
        <f t="shared" si="30"/>
        <v>1</v>
      </c>
      <c r="S48" s="5">
        <f t="shared" si="30"/>
        <v>1</v>
      </c>
      <c r="T48" s="5">
        <f t="shared" si="30"/>
        <v>1</v>
      </c>
      <c r="U48" s="5">
        <f t="shared" si="30"/>
        <v>1</v>
      </c>
      <c r="V48" s="5">
        <f t="shared" si="30"/>
        <v>1</v>
      </c>
      <c r="W48" s="5">
        <f t="shared" si="30"/>
        <v>1</v>
      </c>
      <c r="X48" s="5">
        <f t="shared" si="30"/>
        <v>1</v>
      </c>
      <c r="Y48" s="5">
        <f t="shared" si="30"/>
        <v>1</v>
      </c>
      <c r="Z48" s="5">
        <f t="shared" si="30"/>
        <v>1</v>
      </c>
      <c r="AA48" s="5">
        <f t="shared" si="30"/>
        <v>1</v>
      </c>
      <c r="AB48" s="5">
        <f t="shared" si="30"/>
        <v>0.97946428571428568</v>
      </c>
      <c r="AC48" s="5">
        <f t="shared" si="30"/>
        <v>1</v>
      </c>
      <c r="AD48" s="5">
        <f t="shared" si="30"/>
        <v>1</v>
      </c>
      <c r="AE48" s="5">
        <f t="shared" si="30"/>
        <v>1</v>
      </c>
      <c r="AF48" s="5">
        <f t="shared" si="30"/>
        <v>1</v>
      </c>
      <c r="AG48" s="5">
        <f t="shared" si="30"/>
        <v>1</v>
      </c>
      <c r="AH48" s="5">
        <f t="shared" si="30"/>
        <v>1</v>
      </c>
      <c r="AI48" s="5">
        <f t="shared" si="30"/>
        <v>1</v>
      </c>
      <c r="AJ48" s="5">
        <f t="shared" si="30"/>
        <v>1</v>
      </c>
      <c r="AK48" s="5">
        <f t="shared" si="30"/>
        <v>1</v>
      </c>
      <c r="AL48" s="5">
        <f t="shared" si="30"/>
        <v>1</v>
      </c>
      <c r="AM48" s="5">
        <f t="shared" si="30"/>
        <v>1</v>
      </c>
      <c r="AN48" s="5">
        <f t="shared" si="30"/>
        <v>1</v>
      </c>
      <c r="AO48" s="5">
        <f t="shared" si="30"/>
        <v>1</v>
      </c>
      <c r="AP48" s="5">
        <f t="shared" si="30"/>
        <v>1</v>
      </c>
      <c r="AQ48" s="5">
        <f t="shared" si="30"/>
        <v>1</v>
      </c>
      <c r="AR48" s="5">
        <f t="shared" si="30"/>
        <v>1</v>
      </c>
      <c r="AS48" s="5">
        <f t="shared" si="30"/>
        <v>1</v>
      </c>
      <c r="AT48" s="5">
        <f t="shared" si="30"/>
        <v>1</v>
      </c>
      <c r="AU48" s="5">
        <f t="shared" si="30"/>
        <v>1</v>
      </c>
      <c r="AV48" s="5">
        <f t="shared" si="30"/>
        <v>1</v>
      </c>
      <c r="AW48" s="5">
        <f t="shared" si="30"/>
        <v>1</v>
      </c>
      <c r="AX48" s="5">
        <f t="shared" si="30"/>
        <v>1</v>
      </c>
      <c r="AY48" s="5">
        <f t="shared" si="30"/>
        <v>1</v>
      </c>
      <c r="AZ48" s="5">
        <f t="shared" si="30"/>
        <v>1</v>
      </c>
      <c r="BA48" s="5">
        <f t="shared" si="30"/>
        <v>1</v>
      </c>
      <c r="BB48" s="5">
        <f t="shared" ref="BB48:BG48" si="31">1-(BB18/BB1)</f>
        <v>1</v>
      </c>
      <c r="BC48" s="5">
        <f t="shared" si="31"/>
        <v>1</v>
      </c>
      <c r="BD48" s="5">
        <f t="shared" si="31"/>
        <v>1</v>
      </c>
      <c r="BE48" s="5">
        <f t="shared" si="31"/>
        <v>1</v>
      </c>
      <c r="BF48" s="5">
        <f t="shared" si="31"/>
        <v>1</v>
      </c>
      <c r="BG48" s="5">
        <f t="shared" si="31"/>
        <v>1</v>
      </c>
      <c r="BH48" s="5">
        <f t="shared" ref="BH48" si="32">1-(BH18/BH1)</f>
        <v>1</v>
      </c>
    </row>
    <row r="49" spans="1:60" x14ac:dyDescent="0.35">
      <c r="A49" s="8" t="s">
        <v>28</v>
      </c>
      <c r="B49" s="5">
        <f>1-(B19/B1)</f>
        <v>1</v>
      </c>
      <c r="C49" s="5">
        <f t="shared" ref="C49:BA49" si="33">1-(C19/C1)</f>
        <v>1</v>
      </c>
      <c r="D49" s="5">
        <f t="shared" si="33"/>
        <v>1</v>
      </c>
      <c r="E49" s="5">
        <f t="shared" si="33"/>
        <v>1</v>
      </c>
      <c r="F49" s="5">
        <f t="shared" si="33"/>
        <v>1</v>
      </c>
      <c r="G49" s="5">
        <f t="shared" si="33"/>
        <v>1</v>
      </c>
      <c r="H49" s="5">
        <f t="shared" si="33"/>
        <v>1</v>
      </c>
      <c r="I49" s="5">
        <f t="shared" si="33"/>
        <v>1</v>
      </c>
      <c r="J49" s="5">
        <f t="shared" si="33"/>
        <v>1</v>
      </c>
      <c r="K49" s="5">
        <f t="shared" si="33"/>
        <v>1</v>
      </c>
      <c r="L49" s="5">
        <f t="shared" si="33"/>
        <v>1</v>
      </c>
      <c r="M49" s="5">
        <f t="shared" si="33"/>
        <v>1</v>
      </c>
      <c r="N49" s="5">
        <f t="shared" si="33"/>
        <v>1</v>
      </c>
      <c r="O49" s="5">
        <f t="shared" si="33"/>
        <v>1</v>
      </c>
      <c r="P49" s="5">
        <f t="shared" si="33"/>
        <v>1</v>
      </c>
      <c r="Q49" s="5">
        <f t="shared" si="33"/>
        <v>1</v>
      </c>
      <c r="R49" s="5">
        <f t="shared" si="33"/>
        <v>1</v>
      </c>
      <c r="S49" s="5">
        <f t="shared" si="33"/>
        <v>1</v>
      </c>
      <c r="T49" s="5">
        <f t="shared" si="33"/>
        <v>1</v>
      </c>
      <c r="U49" s="5">
        <f t="shared" si="33"/>
        <v>1</v>
      </c>
      <c r="V49" s="5">
        <f t="shared" si="33"/>
        <v>1</v>
      </c>
      <c r="W49" s="5">
        <f t="shared" si="33"/>
        <v>1</v>
      </c>
      <c r="X49" s="5">
        <f t="shared" si="33"/>
        <v>1</v>
      </c>
      <c r="Y49" s="5">
        <f t="shared" si="33"/>
        <v>1</v>
      </c>
      <c r="Z49" s="5">
        <f t="shared" si="33"/>
        <v>1</v>
      </c>
      <c r="AA49" s="5">
        <f t="shared" si="33"/>
        <v>1</v>
      </c>
      <c r="AB49" s="5">
        <f t="shared" si="33"/>
        <v>0.97946428571428568</v>
      </c>
      <c r="AC49" s="5">
        <f t="shared" si="33"/>
        <v>1</v>
      </c>
      <c r="AD49" s="5">
        <f t="shared" si="33"/>
        <v>1</v>
      </c>
      <c r="AE49" s="5">
        <f t="shared" si="33"/>
        <v>1</v>
      </c>
      <c r="AF49" s="5">
        <f t="shared" si="33"/>
        <v>1</v>
      </c>
      <c r="AG49" s="5">
        <f t="shared" si="33"/>
        <v>1</v>
      </c>
      <c r="AH49" s="5">
        <f t="shared" si="33"/>
        <v>1</v>
      </c>
      <c r="AI49" s="5">
        <f t="shared" si="33"/>
        <v>1</v>
      </c>
      <c r="AJ49" s="5">
        <f t="shared" si="33"/>
        <v>1</v>
      </c>
      <c r="AK49" s="5">
        <f t="shared" si="33"/>
        <v>1</v>
      </c>
      <c r="AL49" s="5">
        <f t="shared" si="33"/>
        <v>1</v>
      </c>
      <c r="AM49" s="5">
        <f t="shared" si="33"/>
        <v>1</v>
      </c>
      <c r="AN49" s="5">
        <f t="shared" si="33"/>
        <v>1</v>
      </c>
      <c r="AO49" s="5">
        <f t="shared" si="33"/>
        <v>1</v>
      </c>
      <c r="AP49" s="5">
        <f t="shared" si="33"/>
        <v>1</v>
      </c>
      <c r="AQ49" s="5">
        <f t="shared" si="33"/>
        <v>1</v>
      </c>
      <c r="AR49" s="5">
        <f t="shared" si="33"/>
        <v>1</v>
      </c>
      <c r="AS49" s="5">
        <f t="shared" si="33"/>
        <v>1</v>
      </c>
      <c r="AT49" s="5">
        <f t="shared" si="33"/>
        <v>1</v>
      </c>
      <c r="AU49" s="5">
        <f t="shared" si="33"/>
        <v>1</v>
      </c>
      <c r="AV49" s="5">
        <f t="shared" si="33"/>
        <v>1</v>
      </c>
      <c r="AW49" s="5">
        <f t="shared" si="33"/>
        <v>1</v>
      </c>
      <c r="AX49" s="5">
        <f t="shared" si="33"/>
        <v>1</v>
      </c>
      <c r="AY49" s="5">
        <f t="shared" si="33"/>
        <v>1</v>
      </c>
      <c r="AZ49" s="5">
        <f t="shared" si="33"/>
        <v>1</v>
      </c>
      <c r="BA49" s="5">
        <f t="shared" si="33"/>
        <v>1</v>
      </c>
      <c r="BB49" s="5">
        <f t="shared" ref="BB49:BG49" si="34">1-(BB19/BB1)</f>
        <v>1</v>
      </c>
      <c r="BC49" s="5">
        <f t="shared" si="34"/>
        <v>1</v>
      </c>
      <c r="BD49" s="5">
        <f t="shared" si="34"/>
        <v>1</v>
      </c>
      <c r="BE49" s="5">
        <f t="shared" si="34"/>
        <v>1</v>
      </c>
      <c r="BF49" s="5">
        <f t="shared" si="34"/>
        <v>1</v>
      </c>
      <c r="BG49" s="5">
        <f t="shared" si="34"/>
        <v>1</v>
      </c>
      <c r="BH49" s="5">
        <f t="shared" ref="BH49" si="35">1-(BH19/BH1)</f>
        <v>1</v>
      </c>
    </row>
    <row r="50" spans="1:60" x14ac:dyDescent="0.35">
      <c r="A50" s="7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x14ac:dyDescent="0.35">
      <c r="A51" s="8" t="s">
        <v>26</v>
      </c>
      <c r="B51" s="5">
        <f>1-(B21/B1)</f>
        <v>1</v>
      </c>
      <c r="C51" s="5">
        <f t="shared" ref="C51:BA51" si="36">1-(C21/C1)</f>
        <v>1</v>
      </c>
      <c r="D51" s="5">
        <f t="shared" si="36"/>
        <v>1</v>
      </c>
      <c r="E51" s="5">
        <f t="shared" si="36"/>
        <v>1</v>
      </c>
      <c r="F51" s="5">
        <f t="shared" si="36"/>
        <v>1</v>
      </c>
      <c r="G51" s="5">
        <f t="shared" si="36"/>
        <v>1</v>
      </c>
      <c r="H51" s="5">
        <f t="shared" si="36"/>
        <v>1</v>
      </c>
      <c r="I51" s="5">
        <f t="shared" si="36"/>
        <v>1</v>
      </c>
      <c r="J51" s="5">
        <f t="shared" si="36"/>
        <v>1</v>
      </c>
      <c r="K51" s="5">
        <f t="shared" si="36"/>
        <v>1</v>
      </c>
      <c r="L51" s="5">
        <f t="shared" si="36"/>
        <v>1</v>
      </c>
      <c r="M51" s="5">
        <f t="shared" si="36"/>
        <v>1</v>
      </c>
      <c r="N51" s="5">
        <f t="shared" si="36"/>
        <v>1</v>
      </c>
      <c r="O51" s="5">
        <f t="shared" si="36"/>
        <v>1</v>
      </c>
      <c r="P51" s="5">
        <f t="shared" si="36"/>
        <v>1</v>
      </c>
      <c r="Q51" s="5">
        <f t="shared" si="36"/>
        <v>1</v>
      </c>
      <c r="R51" s="5">
        <f t="shared" si="36"/>
        <v>1</v>
      </c>
      <c r="S51" s="5">
        <f t="shared" si="36"/>
        <v>1</v>
      </c>
      <c r="T51" s="5">
        <f t="shared" si="36"/>
        <v>1</v>
      </c>
      <c r="U51" s="5">
        <f t="shared" si="36"/>
        <v>1</v>
      </c>
      <c r="V51" s="5">
        <f t="shared" si="36"/>
        <v>1</v>
      </c>
      <c r="W51" s="5">
        <f t="shared" si="36"/>
        <v>1</v>
      </c>
      <c r="X51" s="5">
        <f t="shared" si="36"/>
        <v>1</v>
      </c>
      <c r="Y51" s="5">
        <f t="shared" si="36"/>
        <v>1</v>
      </c>
      <c r="Z51" s="5">
        <f t="shared" si="36"/>
        <v>1</v>
      </c>
      <c r="AA51" s="5">
        <f t="shared" si="36"/>
        <v>1</v>
      </c>
      <c r="AB51" s="5">
        <f t="shared" si="36"/>
        <v>0.97946428571428568</v>
      </c>
      <c r="AC51" s="5">
        <f t="shared" si="36"/>
        <v>1</v>
      </c>
      <c r="AD51" s="5">
        <f t="shared" si="36"/>
        <v>1</v>
      </c>
      <c r="AE51" s="5">
        <f t="shared" si="36"/>
        <v>1</v>
      </c>
      <c r="AF51" s="5">
        <f t="shared" si="36"/>
        <v>1</v>
      </c>
      <c r="AG51" s="5">
        <f t="shared" si="36"/>
        <v>1</v>
      </c>
      <c r="AH51" s="5">
        <f t="shared" si="36"/>
        <v>1</v>
      </c>
      <c r="AI51" s="5">
        <f t="shared" si="36"/>
        <v>1</v>
      </c>
      <c r="AJ51" s="5">
        <f t="shared" si="36"/>
        <v>1</v>
      </c>
      <c r="AK51" s="5">
        <f t="shared" si="36"/>
        <v>1</v>
      </c>
      <c r="AL51" s="5">
        <f t="shared" si="36"/>
        <v>1</v>
      </c>
      <c r="AM51" s="5">
        <f t="shared" si="36"/>
        <v>1</v>
      </c>
      <c r="AN51" s="5">
        <f t="shared" si="36"/>
        <v>1</v>
      </c>
      <c r="AO51" s="5">
        <f t="shared" si="36"/>
        <v>1</v>
      </c>
      <c r="AP51" s="5">
        <f t="shared" si="36"/>
        <v>1</v>
      </c>
      <c r="AQ51" s="5">
        <f t="shared" si="36"/>
        <v>1</v>
      </c>
      <c r="AR51" s="5">
        <f t="shared" si="36"/>
        <v>1</v>
      </c>
      <c r="AS51" s="5">
        <f t="shared" si="36"/>
        <v>1</v>
      </c>
      <c r="AT51" s="5">
        <f t="shared" si="36"/>
        <v>1</v>
      </c>
      <c r="AU51" s="5">
        <f t="shared" si="36"/>
        <v>1</v>
      </c>
      <c r="AV51" s="5">
        <f t="shared" si="36"/>
        <v>1</v>
      </c>
      <c r="AW51" s="5">
        <f t="shared" si="36"/>
        <v>1</v>
      </c>
      <c r="AX51" s="5">
        <f t="shared" si="36"/>
        <v>1</v>
      </c>
      <c r="AY51" s="5">
        <f t="shared" si="36"/>
        <v>1</v>
      </c>
      <c r="AZ51" s="5">
        <f t="shared" si="36"/>
        <v>1</v>
      </c>
      <c r="BA51" s="5">
        <f t="shared" si="36"/>
        <v>1</v>
      </c>
      <c r="BB51" s="5">
        <f t="shared" ref="BB51:BG51" si="37">1-(BB21/BB1)</f>
        <v>1</v>
      </c>
      <c r="BC51" s="5">
        <f t="shared" si="37"/>
        <v>1</v>
      </c>
      <c r="BD51" s="5">
        <f t="shared" si="37"/>
        <v>1</v>
      </c>
      <c r="BE51" s="5">
        <f t="shared" si="37"/>
        <v>1</v>
      </c>
      <c r="BF51" s="5">
        <f t="shared" si="37"/>
        <v>1</v>
      </c>
      <c r="BG51" s="5">
        <f t="shared" si="37"/>
        <v>1</v>
      </c>
      <c r="BH51" s="5">
        <f t="shared" ref="BH51" si="38">1-(BH21/BH1)</f>
        <v>1</v>
      </c>
    </row>
    <row r="52" spans="1:60" x14ac:dyDescent="0.35">
      <c r="A52" s="7" t="s">
        <v>33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x14ac:dyDescent="0.35">
      <c r="A53" s="8" t="s">
        <v>26</v>
      </c>
      <c r="B53" s="5">
        <f>1-(B23/B1)</f>
        <v>1</v>
      </c>
      <c r="C53" s="5">
        <f t="shared" ref="C53:BA53" si="39">1-(C23/C1)</f>
        <v>1</v>
      </c>
      <c r="D53" s="5">
        <f t="shared" si="39"/>
        <v>1</v>
      </c>
      <c r="E53" s="5">
        <f t="shared" si="39"/>
        <v>1</v>
      </c>
      <c r="F53" s="5">
        <f t="shared" si="39"/>
        <v>1</v>
      </c>
      <c r="G53" s="5">
        <f t="shared" si="39"/>
        <v>1</v>
      </c>
      <c r="H53" s="5">
        <f t="shared" si="39"/>
        <v>1</v>
      </c>
      <c r="I53" s="5">
        <f t="shared" si="39"/>
        <v>1</v>
      </c>
      <c r="J53" s="5">
        <f t="shared" si="39"/>
        <v>1</v>
      </c>
      <c r="K53" s="5">
        <f t="shared" si="39"/>
        <v>1</v>
      </c>
      <c r="L53" s="5">
        <f t="shared" si="39"/>
        <v>1</v>
      </c>
      <c r="M53" s="5">
        <f t="shared" si="39"/>
        <v>1</v>
      </c>
      <c r="N53" s="5">
        <f t="shared" si="39"/>
        <v>1</v>
      </c>
      <c r="O53" s="5">
        <f t="shared" si="39"/>
        <v>1</v>
      </c>
      <c r="P53" s="5">
        <f t="shared" si="39"/>
        <v>1</v>
      </c>
      <c r="Q53" s="5">
        <f t="shared" si="39"/>
        <v>1</v>
      </c>
      <c r="R53" s="5">
        <f t="shared" si="39"/>
        <v>1</v>
      </c>
      <c r="S53" s="5">
        <f t="shared" si="39"/>
        <v>1</v>
      </c>
      <c r="T53" s="5">
        <f t="shared" si="39"/>
        <v>1</v>
      </c>
      <c r="U53" s="5">
        <f t="shared" si="39"/>
        <v>1</v>
      </c>
      <c r="V53" s="5">
        <f t="shared" si="39"/>
        <v>1</v>
      </c>
      <c r="W53" s="5">
        <f t="shared" si="39"/>
        <v>1</v>
      </c>
      <c r="X53" s="5">
        <f t="shared" si="39"/>
        <v>1</v>
      </c>
      <c r="Y53" s="5">
        <f t="shared" si="39"/>
        <v>0.99208333333333332</v>
      </c>
      <c r="Z53" s="5">
        <f t="shared" si="39"/>
        <v>1</v>
      </c>
      <c r="AA53" s="5">
        <f t="shared" si="39"/>
        <v>0.99404761904761907</v>
      </c>
      <c r="AB53" s="5">
        <f t="shared" si="39"/>
        <v>0.97946428571428568</v>
      </c>
      <c r="AC53" s="5">
        <f t="shared" si="39"/>
        <v>1</v>
      </c>
      <c r="AD53" s="5">
        <f t="shared" si="39"/>
        <v>1</v>
      </c>
      <c r="AE53" s="5">
        <f t="shared" si="39"/>
        <v>1</v>
      </c>
      <c r="AF53" s="5">
        <f t="shared" si="39"/>
        <v>1</v>
      </c>
      <c r="AG53" s="5">
        <f t="shared" si="39"/>
        <v>1</v>
      </c>
      <c r="AH53" s="5">
        <f t="shared" si="39"/>
        <v>1</v>
      </c>
      <c r="AI53" s="5">
        <f t="shared" si="39"/>
        <v>1</v>
      </c>
      <c r="AJ53" s="5">
        <f t="shared" si="39"/>
        <v>1</v>
      </c>
      <c r="AK53" s="5">
        <f t="shared" si="39"/>
        <v>1</v>
      </c>
      <c r="AL53" s="5">
        <f t="shared" si="39"/>
        <v>1</v>
      </c>
      <c r="AM53" s="5">
        <f t="shared" si="39"/>
        <v>1</v>
      </c>
      <c r="AN53" s="5">
        <f t="shared" si="39"/>
        <v>1</v>
      </c>
      <c r="AO53" s="5">
        <f t="shared" si="39"/>
        <v>1</v>
      </c>
      <c r="AP53" s="5">
        <f t="shared" si="39"/>
        <v>1</v>
      </c>
      <c r="AQ53" s="5">
        <f t="shared" si="39"/>
        <v>1</v>
      </c>
      <c r="AR53" s="5">
        <f t="shared" si="39"/>
        <v>1</v>
      </c>
      <c r="AS53" s="5">
        <f t="shared" si="39"/>
        <v>1</v>
      </c>
      <c r="AT53" s="5">
        <f t="shared" si="39"/>
        <v>1</v>
      </c>
      <c r="AU53" s="5">
        <f t="shared" si="39"/>
        <v>1</v>
      </c>
      <c r="AV53" s="5">
        <f t="shared" si="39"/>
        <v>1</v>
      </c>
      <c r="AW53" s="5">
        <f t="shared" si="39"/>
        <v>1</v>
      </c>
      <c r="AX53" s="5">
        <f t="shared" si="39"/>
        <v>1</v>
      </c>
      <c r="AY53" s="5">
        <f t="shared" si="39"/>
        <v>1</v>
      </c>
      <c r="AZ53" s="5">
        <f t="shared" si="39"/>
        <v>1</v>
      </c>
      <c r="BA53" s="5">
        <f t="shared" si="39"/>
        <v>1</v>
      </c>
      <c r="BB53" s="5">
        <f t="shared" ref="BB53:BG53" si="40">1-(BB23/BB1)</f>
        <v>1</v>
      </c>
      <c r="BC53" s="5">
        <f t="shared" si="40"/>
        <v>1</v>
      </c>
      <c r="BD53" s="5">
        <f t="shared" si="40"/>
        <v>1</v>
      </c>
      <c r="BE53" s="5">
        <f t="shared" si="40"/>
        <v>1</v>
      </c>
      <c r="BF53" s="5">
        <f t="shared" si="40"/>
        <v>1</v>
      </c>
      <c r="BG53" s="5">
        <f t="shared" si="40"/>
        <v>1</v>
      </c>
      <c r="BH53" s="5">
        <f t="shared" ref="BH53" si="41">1-(BH23/BH1)</f>
        <v>1</v>
      </c>
    </row>
    <row r="54" spans="1:60" x14ac:dyDescent="0.35">
      <c r="A54" s="8" t="s">
        <v>27</v>
      </c>
      <c r="B54" s="5">
        <f>1-(B24/B1)</f>
        <v>1</v>
      </c>
      <c r="C54" s="5">
        <f t="shared" ref="C54:BA54" si="42">1-(C24/C1)</f>
        <v>1</v>
      </c>
      <c r="D54" s="5">
        <f t="shared" si="42"/>
        <v>1</v>
      </c>
      <c r="E54" s="5">
        <f t="shared" si="42"/>
        <v>1</v>
      </c>
      <c r="F54" s="5">
        <f t="shared" si="42"/>
        <v>1</v>
      </c>
      <c r="G54" s="5">
        <f t="shared" si="42"/>
        <v>1</v>
      </c>
      <c r="H54" s="5">
        <f t="shared" si="42"/>
        <v>1</v>
      </c>
      <c r="I54" s="5">
        <f t="shared" si="42"/>
        <v>1</v>
      </c>
      <c r="J54" s="5">
        <f t="shared" si="42"/>
        <v>1</v>
      </c>
      <c r="K54" s="5">
        <f t="shared" si="42"/>
        <v>1</v>
      </c>
      <c r="L54" s="5">
        <f t="shared" si="42"/>
        <v>1</v>
      </c>
      <c r="M54" s="5">
        <f t="shared" si="42"/>
        <v>1</v>
      </c>
      <c r="N54" s="5">
        <f t="shared" si="42"/>
        <v>1</v>
      </c>
      <c r="O54" s="5">
        <f t="shared" si="42"/>
        <v>1</v>
      </c>
      <c r="P54" s="5">
        <f t="shared" si="42"/>
        <v>1</v>
      </c>
      <c r="Q54" s="5">
        <f t="shared" si="42"/>
        <v>1</v>
      </c>
      <c r="R54" s="5">
        <f t="shared" si="42"/>
        <v>1</v>
      </c>
      <c r="S54" s="5">
        <f t="shared" si="42"/>
        <v>1</v>
      </c>
      <c r="T54" s="5">
        <f t="shared" si="42"/>
        <v>1</v>
      </c>
      <c r="U54" s="5">
        <f t="shared" si="42"/>
        <v>1</v>
      </c>
      <c r="V54" s="5">
        <f t="shared" si="42"/>
        <v>1</v>
      </c>
      <c r="W54" s="5">
        <f t="shared" si="42"/>
        <v>1</v>
      </c>
      <c r="X54" s="5">
        <f t="shared" si="42"/>
        <v>1</v>
      </c>
      <c r="Y54" s="5">
        <f t="shared" si="42"/>
        <v>0.99208333333333332</v>
      </c>
      <c r="Z54" s="5">
        <f t="shared" si="42"/>
        <v>1</v>
      </c>
      <c r="AA54" s="5">
        <f t="shared" si="42"/>
        <v>1</v>
      </c>
      <c r="AB54" s="5">
        <f t="shared" si="42"/>
        <v>0.97946428571428568</v>
      </c>
      <c r="AC54" s="5">
        <f t="shared" si="42"/>
        <v>1</v>
      </c>
      <c r="AD54" s="5">
        <f t="shared" si="42"/>
        <v>1</v>
      </c>
      <c r="AE54" s="5">
        <f t="shared" si="42"/>
        <v>1</v>
      </c>
      <c r="AF54" s="5">
        <f t="shared" si="42"/>
        <v>1</v>
      </c>
      <c r="AG54" s="5">
        <f t="shared" si="42"/>
        <v>1</v>
      </c>
      <c r="AH54" s="5">
        <f t="shared" si="42"/>
        <v>1</v>
      </c>
      <c r="AI54" s="5">
        <f t="shared" si="42"/>
        <v>1</v>
      </c>
      <c r="AJ54" s="5">
        <f t="shared" si="42"/>
        <v>1</v>
      </c>
      <c r="AK54" s="5">
        <f t="shared" si="42"/>
        <v>1</v>
      </c>
      <c r="AL54" s="5">
        <f t="shared" si="42"/>
        <v>1</v>
      </c>
      <c r="AM54" s="5">
        <f t="shared" si="42"/>
        <v>1</v>
      </c>
      <c r="AN54" s="5">
        <f t="shared" si="42"/>
        <v>1</v>
      </c>
      <c r="AO54" s="5">
        <f t="shared" si="42"/>
        <v>1</v>
      </c>
      <c r="AP54" s="5">
        <f t="shared" si="42"/>
        <v>1</v>
      </c>
      <c r="AQ54" s="5">
        <f t="shared" si="42"/>
        <v>1</v>
      </c>
      <c r="AR54" s="5">
        <f t="shared" si="42"/>
        <v>1</v>
      </c>
      <c r="AS54" s="5">
        <f t="shared" si="42"/>
        <v>1</v>
      </c>
      <c r="AT54" s="5">
        <f t="shared" si="42"/>
        <v>1</v>
      </c>
      <c r="AU54" s="5">
        <f t="shared" si="42"/>
        <v>1</v>
      </c>
      <c r="AV54" s="5">
        <f t="shared" si="42"/>
        <v>1</v>
      </c>
      <c r="AW54" s="5">
        <f t="shared" si="42"/>
        <v>1</v>
      </c>
      <c r="AX54" s="5">
        <f t="shared" si="42"/>
        <v>1</v>
      </c>
      <c r="AY54" s="5">
        <f t="shared" si="42"/>
        <v>1</v>
      </c>
      <c r="AZ54" s="5">
        <f t="shared" si="42"/>
        <v>1</v>
      </c>
      <c r="BA54" s="5">
        <f t="shared" si="42"/>
        <v>1</v>
      </c>
      <c r="BB54" s="5">
        <f t="shared" ref="BB54:BG54" si="43">1-(BB24/BB1)</f>
        <v>1</v>
      </c>
      <c r="BC54" s="5">
        <f t="shared" si="43"/>
        <v>1</v>
      </c>
      <c r="BD54" s="5">
        <f t="shared" si="43"/>
        <v>1</v>
      </c>
      <c r="BE54" s="5">
        <f t="shared" si="43"/>
        <v>1</v>
      </c>
      <c r="BF54" s="5">
        <f t="shared" si="43"/>
        <v>1</v>
      </c>
      <c r="BG54" s="5">
        <f t="shared" si="43"/>
        <v>1</v>
      </c>
      <c r="BH54" s="5">
        <f t="shared" ref="BH54" si="44">1-(BH24/BH1)</f>
        <v>1</v>
      </c>
    </row>
    <row r="55" spans="1:60" x14ac:dyDescent="0.35">
      <c r="A55" s="8" t="s">
        <v>28</v>
      </c>
      <c r="B55" s="5">
        <f>1-(B25/B1)</f>
        <v>1</v>
      </c>
      <c r="C55" s="5">
        <f t="shared" ref="C55:BA55" si="45">1-(C25/C1)</f>
        <v>1</v>
      </c>
      <c r="D55" s="5">
        <f t="shared" si="45"/>
        <v>1</v>
      </c>
      <c r="E55" s="5">
        <f t="shared" si="45"/>
        <v>1</v>
      </c>
      <c r="F55" s="5">
        <f t="shared" si="45"/>
        <v>1</v>
      </c>
      <c r="G55" s="5">
        <f t="shared" si="45"/>
        <v>1</v>
      </c>
      <c r="H55" s="5">
        <f t="shared" si="45"/>
        <v>1</v>
      </c>
      <c r="I55" s="5">
        <f t="shared" si="45"/>
        <v>1</v>
      </c>
      <c r="J55" s="5">
        <f t="shared" si="45"/>
        <v>1</v>
      </c>
      <c r="K55" s="5">
        <f t="shared" si="45"/>
        <v>1</v>
      </c>
      <c r="L55" s="5">
        <f t="shared" si="45"/>
        <v>1</v>
      </c>
      <c r="M55" s="5">
        <f t="shared" si="45"/>
        <v>1</v>
      </c>
      <c r="N55" s="5">
        <f t="shared" si="45"/>
        <v>1</v>
      </c>
      <c r="O55" s="5">
        <f t="shared" si="45"/>
        <v>1</v>
      </c>
      <c r="P55" s="5">
        <f t="shared" si="45"/>
        <v>1</v>
      </c>
      <c r="Q55" s="5">
        <f t="shared" si="45"/>
        <v>1</v>
      </c>
      <c r="R55" s="5">
        <f t="shared" si="45"/>
        <v>1</v>
      </c>
      <c r="S55" s="5">
        <f t="shared" si="45"/>
        <v>1</v>
      </c>
      <c r="T55" s="5">
        <f t="shared" si="45"/>
        <v>1</v>
      </c>
      <c r="U55" s="5">
        <f t="shared" si="45"/>
        <v>1</v>
      </c>
      <c r="V55" s="5">
        <f t="shared" si="45"/>
        <v>1</v>
      </c>
      <c r="W55" s="5">
        <f t="shared" si="45"/>
        <v>1</v>
      </c>
      <c r="X55" s="5">
        <f t="shared" si="45"/>
        <v>1</v>
      </c>
      <c r="Y55" s="5">
        <f t="shared" si="45"/>
        <v>0.99208333333333332</v>
      </c>
      <c r="Z55" s="5">
        <f t="shared" si="45"/>
        <v>1</v>
      </c>
      <c r="AA55" s="5">
        <f t="shared" si="45"/>
        <v>1</v>
      </c>
      <c r="AB55" s="5">
        <f t="shared" si="45"/>
        <v>0.97946428571428568</v>
      </c>
      <c r="AC55" s="5">
        <f t="shared" si="45"/>
        <v>1</v>
      </c>
      <c r="AD55" s="5">
        <f t="shared" si="45"/>
        <v>1</v>
      </c>
      <c r="AE55" s="5">
        <f t="shared" si="45"/>
        <v>1</v>
      </c>
      <c r="AF55" s="5">
        <f t="shared" si="45"/>
        <v>1</v>
      </c>
      <c r="AG55" s="5">
        <f t="shared" si="45"/>
        <v>1</v>
      </c>
      <c r="AH55" s="5">
        <f t="shared" si="45"/>
        <v>1</v>
      </c>
      <c r="AI55" s="5">
        <f t="shared" si="45"/>
        <v>1</v>
      </c>
      <c r="AJ55" s="5">
        <f t="shared" si="45"/>
        <v>1</v>
      </c>
      <c r="AK55" s="5">
        <f t="shared" si="45"/>
        <v>1</v>
      </c>
      <c r="AL55" s="5">
        <f t="shared" si="45"/>
        <v>1</v>
      </c>
      <c r="AM55" s="5">
        <f t="shared" si="45"/>
        <v>1</v>
      </c>
      <c r="AN55" s="5">
        <f t="shared" si="45"/>
        <v>1</v>
      </c>
      <c r="AO55" s="5">
        <f t="shared" si="45"/>
        <v>1</v>
      </c>
      <c r="AP55" s="5">
        <f t="shared" si="45"/>
        <v>1</v>
      </c>
      <c r="AQ55" s="5">
        <f t="shared" si="45"/>
        <v>1</v>
      </c>
      <c r="AR55" s="5">
        <f t="shared" si="45"/>
        <v>1</v>
      </c>
      <c r="AS55" s="5">
        <f t="shared" si="45"/>
        <v>1</v>
      </c>
      <c r="AT55" s="5">
        <f t="shared" si="45"/>
        <v>1</v>
      </c>
      <c r="AU55" s="5">
        <f t="shared" si="45"/>
        <v>1</v>
      </c>
      <c r="AV55" s="5">
        <f t="shared" si="45"/>
        <v>1</v>
      </c>
      <c r="AW55" s="5">
        <f t="shared" si="45"/>
        <v>1</v>
      </c>
      <c r="AX55" s="5">
        <f t="shared" si="45"/>
        <v>1</v>
      </c>
      <c r="AY55" s="5">
        <f t="shared" si="45"/>
        <v>1</v>
      </c>
      <c r="AZ55" s="5">
        <f t="shared" si="45"/>
        <v>1</v>
      </c>
      <c r="BA55" s="5">
        <f t="shared" si="45"/>
        <v>1</v>
      </c>
      <c r="BB55" s="5">
        <f t="shared" ref="BB55:BG55" si="46">1-(BB25/BB1)</f>
        <v>1</v>
      </c>
      <c r="BC55" s="5">
        <f t="shared" si="46"/>
        <v>1</v>
      </c>
      <c r="BD55" s="5">
        <f t="shared" si="46"/>
        <v>1</v>
      </c>
      <c r="BE55" s="5">
        <f t="shared" si="46"/>
        <v>1</v>
      </c>
      <c r="BF55" s="5">
        <f t="shared" si="46"/>
        <v>1</v>
      </c>
      <c r="BG55" s="5">
        <f t="shared" si="46"/>
        <v>1</v>
      </c>
      <c r="BH55" s="5">
        <f t="shared" ref="BH55" si="47">1-(BH25/BH1)</f>
        <v>1</v>
      </c>
    </row>
    <row r="56" spans="1:60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</sheetData>
  <conditionalFormatting sqref="B5:BH7">
    <cfRule type="containsBlanks" dxfId="295" priority="1">
      <formula>LEN(TRIM(B5))=0</formula>
    </cfRule>
    <cfRule type="cellIs" dxfId="294" priority="2" operator="greaterThan">
      <formula>0</formula>
    </cfRule>
  </conditionalFormatting>
  <conditionalFormatting sqref="B9:BH11">
    <cfRule type="containsBlanks" dxfId="293" priority="9">
      <formula>LEN(TRIM(B9))=0</formula>
    </cfRule>
    <cfRule type="cellIs" dxfId="292" priority="10" operator="greaterThan">
      <formula>0</formula>
    </cfRule>
  </conditionalFormatting>
  <conditionalFormatting sqref="B13:BH15">
    <cfRule type="containsBlanks" dxfId="291" priority="7">
      <formula>LEN(TRIM(B13))=0</formula>
    </cfRule>
    <cfRule type="cellIs" dxfId="290" priority="8" operator="greaterThan">
      <formula>0</formula>
    </cfRule>
  </conditionalFormatting>
  <conditionalFormatting sqref="B17:BH19">
    <cfRule type="containsBlanks" dxfId="289" priority="5">
      <formula>LEN(TRIM(B17))=0</formula>
    </cfRule>
    <cfRule type="cellIs" dxfId="288" priority="6" operator="greaterThan">
      <formula>0</formula>
    </cfRule>
  </conditionalFormatting>
  <conditionalFormatting sqref="B21:BH21">
    <cfRule type="containsBlanks" dxfId="287" priority="39">
      <formula>LEN(TRIM(B21))=0</formula>
    </cfRule>
    <cfRule type="cellIs" dxfId="286" priority="40" operator="greaterThan">
      <formula>0</formula>
    </cfRule>
  </conditionalFormatting>
  <conditionalFormatting sqref="B23:BH25">
    <cfRule type="containsBlanks" dxfId="285" priority="3">
      <formula>LEN(TRIM(B23))=0</formula>
    </cfRule>
    <cfRule type="cellIs" dxfId="284" priority="4" operator="greaterThan">
      <formula>0</formula>
    </cfRule>
  </conditionalFormatting>
  <conditionalFormatting sqref="B31:BH33">
    <cfRule type="cellIs" dxfId="283" priority="11" stopIfTrue="1" operator="lessThan">
      <formula>0.999</formula>
    </cfRule>
    <cfRule type="cellIs" dxfId="282" priority="12" stopIfTrue="1" operator="between">
      <formula>0.9989</formula>
      <formula>0.9993</formula>
    </cfRule>
    <cfRule type="cellIs" dxfId="281" priority="13" operator="greaterThanOrEqual">
      <formula>0.9994</formula>
    </cfRule>
    <cfRule type="cellIs" dxfId="280" priority="14" operator="greaterThan">
      <formula>0.9999</formula>
    </cfRule>
  </conditionalFormatting>
  <conditionalFormatting sqref="B35:BH37">
    <cfRule type="cellIs" dxfId="279" priority="31" stopIfTrue="1" operator="lessThan">
      <formula>0.999</formula>
    </cfRule>
    <cfRule type="cellIs" dxfId="278" priority="32" stopIfTrue="1" operator="between">
      <formula>0.9989</formula>
      <formula>0.9993</formula>
    </cfRule>
    <cfRule type="cellIs" dxfId="277" priority="33" operator="greaterThanOrEqual">
      <formula>0.9994</formula>
    </cfRule>
    <cfRule type="cellIs" dxfId="276" priority="34" operator="greaterThan">
      <formula>0.9999</formula>
    </cfRule>
  </conditionalFormatting>
  <conditionalFormatting sqref="B39:BH41">
    <cfRule type="cellIs" dxfId="275" priority="27" stopIfTrue="1" operator="lessThan">
      <formula>0.999</formula>
    </cfRule>
    <cfRule type="cellIs" dxfId="274" priority="28" stopIfTrue="1" operator="between">
      <formula>0.9989</formula>
      <formula>0.9993</formula>
    </cfRule>
    <cfRule type="cellIs" dxfId="273" priority="29" operator="greaterThanOrEqual">
      <formula>0.9994</formula>
    </cfRule>
    <cfRule type="cellIs" dxfId="272" priority="30" operator="greaterThan">
      <formula>0.9999</formula>
    </cfRule>
  </conditionalFormatting>
  <conditionalFormatting sqref="B43:BH45">
    <cfRule type="cellIs" dxfId="271" priority="26" operator="greaterThan">
      <formula>0.9999</formula>
    </cfRule>
    <cfRule type="cellIs" dxfId="270" priority="25" operator="greaterThanOrEqual">
      <formula>0.9994</formula>
    </cfRule>
    <cfRule type="cellIs" dxfId="269" priority="24" stopIfTrue="1" operator="between">
      <formula>0.9989</formula>
      <formula>0.9993</formula>
    </cfRule>
    <cfRule type="cellIs" dxfId="268" priority="23" stopIfTrue="1" operator="lessThan">
      <formula>0.999</formula>
    </cfRule>
  </conditionalFormatting>
  <conditionalFormatting sqref="B47:BH49">
    <cfRule type="cellIs" dxfId="267" priority="21" operator="greaterThanOrEqual">
      <formula>0.9994</formula>
    </cfRule>
    <cfRule type="cellIs" dxfId="266" priority="22" operator="greaterThan">
      <formula>0.9999</formula>
    </cfRule>
    <cfRule type="cellIs" dxfId="265" priority="19" stopIfTrue="1" operator="lessThan">
      <formula>0.999</formula>
    </cfRule>
    <cfRule type="cellIs" dxfId="264" priority="20" stopIfTrue="1" operator="between">
      <formula>0.9989</formula>
      <formula>0.9993</formula>
    </cfRule>
  </conditionalFormatting>
  <conditionalFormatting sqref="B51:BH51">
    <cfRule type="cellIs" dxfId="263" priority="112" stopIfTrue="1" operator="lessThan">
      <formula>0.999</formula>
    </cfRule>
    <cfRule type="cellIs" dxfId="262" priority="113" stopIfTrue="1" operator="between">
      <formula>0.9989</formula>
      <formula>0.9993</formula>
    </cfRule>
    <cfRule type="cellIs" dxfId="261" priority="114" operator="greaterThanOrEqual">
      <formula>0.9994</formula>
    </cfRule>
    <cfRule type="cellIs" dxfId="260" priority="115" operator="greaterThan">
      <formula>0.9999</formula>
    </cfRule>
  </conditionalFormatting>
  <conditionalFormatting sqref="B53:BH55">
    <cfRule type="cellIs" dxfId="259" priority="16" stopIfTrue="1" operator="between">
      <formula>0.9989</formula>
      <formula>0.9993</formula>
    </cfRule>
    <cfRule type="cellIs" dxfId="258" priority="15" stopIfTrue="1" operator="lessThan">
      <formula>0.999</formula>
    </cfRule>
    <cfRule type="cellIs" dxfId="257" priority="18" operator="greaterThan">
      <formula>0.9999</formula>
    </cfRule>
    <cfRule type="cellIs" dxfId="256" priority="17" operator="greaterThanOrEqual">
      <formula>0.9994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5D10-7C90-4902-B748-BEA6D46FAEA0}">
  <sheetPr codeName="Sheet3">
    <tabColor theme="5" tint="0.59999389629810485"/>
  </sheetPr>
  <dimension ref="A1:BI50"/>
  <sheetViews>
    <sheetView workbookViewId="0">
      <selection activeCell="BL20" sqref="BL20"/>
    </sheetView>
  </sheetViews>
  <sheetFormatPr defaultRowHeight="14.5" x14ac:dyDescent="0.35"/>
  <cols>
    <col min="1" max="1" width="38.54296875" customWidth="1"/>
    <col min="2" max="51" width="10.26953125" hidden="1" customWidth="1"/>
    <col min="52" max="61" width="10.26953125" customWidth="1"/>
    <col min="63" max="63" width="0" hidden="1" customWidth="1"/>
  </cols>
  <sheetData>
    <row r="1" spans="1:61" s="2" customFormat="1" x14ac:dyDescent="0.35">
      <c r="A1" s="9" t="s">
        <v>22</v>
      </c>
      <c r="B1" s="1">
        <v>168</v>
      </c>
      <c r="C1" s="1">
        <v>168</v>
      </c>
      <c r="D1" s="1">
        <v>168</v>
      </c>
      <c r="E1" s="1">
        <v>168</v>
      </c>
      <c r="F1" s="1">
        <v>168</v>
      </c>
      <c r="G1" s="1">
        <v>168</v>
      </c>
      <c r="H1" s="1">
        <v>168</v>
      </c>
      <c r="I1" s="1">
        <v>168</v>
      </c>
      <c r="J1" s="1">
        <v>168</v>
      </c>
      <c r="K1" s="1">
        <v>168</v>
      </c>
      <c r="L1" s="1">
        <v>168</v>
      </c>
      <c r="M1" s="1">
        <v>168</v>
      </c>
      <c r="N1" s="1">
        <v>168</v>
      </c>
      <c r="O1" s="1">
        <v>168</v>
      </c>
      <c r="P1" s="1">
        <v>168</v>
      </c>
      <c r="Q1" s="1">
        <v>168</v>
      </c>
      <c r="R1" s="1">
        <v>168</v>
      </c>
      <c r="S1" s="1">
        <v>168</v>
      </c>
      <c r="T1" s="1">
        <v>168</v>
      </c>
      <c r="U1" s="1">
        <v>168</v>
      </c>
      <c r="V1" s="1">
        <v>168</v>
      </c>
      <c r="W1" s="1">
        <v>168</v>
      </c>
      <c r="X1" s="1">
        <v>168</v>
      </c>
      <c r="Y1" s="1">
        <v>168</v>
      </c>
      <c r="Z1" s="1">
        <v>168</v>
      </c>
      <c r="AA1" s="1">
        <v>168</v>
      </c>
      <c r="AB1" s="1">
        <v>168</v>
      </c>
      <c r="AC1" s="1">
        <v>168</v>
      </c>
      <c r="AD1" s="1">
        <v>168</v>
      </c>
      <c r="AE1" s="1">
        <v>168</v>
      </c>
      <c r="AF1" s="1">
        <v>168</v>
      </c>
      <c r="AG1" s="1">
        <v>168</v>
      </c>
      <c r="AH1" s="1">
        <v>168</v>
      </c>
      <c r="AI1" s="1">
        <v>168</v>
      </c>
      <c r="AJ1" s="1">
        <v>168</v>
      </c>
      <c r="AK1" s="1">
        <v>168</v>
      </c>
      <c r="AL1" s="1">
        <v>168</v>
      </c>
      <c r="AM1" s="1">
        <v>168</v>
      </c>
      <c r="AN1" s="1">
        <v>168</v>
      </c>
      <c r="AO1" s="1">
        <v>168</v>
      </c>
      <c r="AP1" s="1">
        <v>168</v>
      </c>
      <c r="AQ1" s="1">
        <v>168</v>
      </c>
      <c r="AR1" s="1">
        <v>168</v>
      </c>
      <c r="AS1" s="1">
        <v>168</v>
      </c>
      <c r="AT1" s="1">
        <v>168</v>
      </c>
      <c r="AU1" s="1">
        <v>168</v>
      </c>
      <c r="AV1" s="1">
        <v>168</v>
      </c>
      <c r="AW1" s="1">
        <v>168</v>
      </c>
      <c r="AX1" s="1">
        <v>168</v>
      </c>
      <c r="AY1" s="1">
        <v>168</v>
      </c>
      <c r="AZ1" s="1">
        <v>168</v>
      </c>
      <c r="BA1" s="1">
        <v>168</v>
      </c>
      <c r="BB1" s="1">
        <v>168</v>
      </c>
      <c r="BC1" s="1">
        <v>168</v>
      </c>
      <c r="BD1" s="1">
        <v>168</v>
      </c>
      <c r="BE1" s="1">
        <v>168</v>
      </c>
      <c r="BF1" s="1">
        <v>168</v>
      </c>
      <c r="BG1" s="1">
        <v>168</v>
      </c>
      <c r="BH1" s="1">
        <v>168</v>
      </c>
      <c r="BI1" s="1">
        <v>168</v>
      </c>
    </row>
    <row r="2" spans="1:61" s="2" customFormat="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8</v>
      </c>
    </row>
    <row r="3" spans="1:61" s="2" customFormat="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  <c r="BI3" s="64">
        <v>46073</v>
      </c>
    </row>
    <row r="4" spans="1:61" s="2" customFormat="1" x14ac:dyDescent="0.35">
      <c r="A4" s="59" t="s">
        <v>36</v>
      </c>
      <c r="B4" s="4">
        <f>SUM(B5:B8)</f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9.3800000000000008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</row>
    <row r="5" spans="1:61" s="2" customFormat="1" x14ac:dyDescent="0.35">
      <c r="A5" s="8" t="s">
        <v>37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</row>
    <row r="6" spans="1:61" s="2" customFormat="1" x14ac:dyDescent="0.35">
      <c r="A6" s="8" t="s">
        <v>38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9.3800000000000008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</row>
    <row r="7" spans="1:61" s="2" customFormat="1" x14ac:dyDescent="0.35">
      <c r="A7" s="8" t="s">
        <v>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</row>
    <row r="8" spans="1:61" s="2" customFormat="1" x14ac:dyDescent="0.35">
      <c r="A8" s="8" t="s">
        <v>40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</row>
    <row r="9" spans="1:61" s="2" customFormat="1" x14ac:dyDescent="0.35">
      <c r="A9" s="6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idden="1" x14ac:dyDescent="0.35">
      <c r="A10" s="7" t="s">
        <v>41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/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</row>
    <row r="11" spans="1:61" x14ac:dyDescent="0.35">
      <c r="A11" s="8" t="s">
        <v>42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3.45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</row>
    <row r="12" spans="1:61" x14ac:dyDescent="0.35">
      <c r="A12" s="8" t="s">
        <v>43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4.9800000000000004</v>
      </c>
      <c r="Z12" s="4">
        <v>0</v>
      </c>
      <c r="AA12" s="4">
        <v>0</v>
      </c>
      <c r="AB12" s="4">
        <v>3.45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</row>
    <row r="13" spans="1:61" x14ac:dyDescent="0.35">
      <c r="A13" s="8" t="s">
        <v>44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3.45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</row>
    <row r="14" spans="1:61" x14ac:dyDescent="0.35">
      <c r="A14" s="8" t="s">
        <v>45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3.45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</row>
    <row r="15" spans="1:61" x14ac:dyDescent="0.35">
      <c r="A15" s="8" t="s">
        <v>46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3.45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</row>
    <row r="16" spans="1:61" x14ac:dyDescent="0.35">
      <c r="A16" s="8" t="s">
        <v>47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1.33</v>
      </c>
      <c r="Z16" s="4">
        <v>0</v>
      </c>
      <c r="AA16" s="4">
        <v>1</v>
      </c>
      <c r="AB16" s="4">
        <v>3.45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</row>
    <row r="17" spans="1:61" x14ac:dyDescent="0.35">
      <c r="A17" s="60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</row>
    <row r="18" spans="1:61" s="2" customFormat="1" x14ac:dyDescent="0.35">
      <c r="A18" s="8" t="s">
        <v>48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2.8</v>
      </c>
      <c r="BI18" s="4">
        <v>0</v>
      </c>
    </row>
    <row r="19" spans="1:61" s="2" customFormat="1" x14ac:dyDescent="0.35">
      <c r="A19" s="8" t="s">
        <v>49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6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</row>
    <row r="20" spans="1:61" s="2" customFormat="1" x14ac:dyDescent="0.35">
      <c r="A20" s="8" t="s">
        <v>50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</row>
    <row r="21" spans="1:61" s="2" customFormat="1" x14ac:dyDescent="0.35">
      <c r="A21" s="8" t="s">
        <v>51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9.3800000000000008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</row>
    <row r="22" spans="1:61" s="2" customFormat="1" x14ac:dyDescent="0.35">
      <c r="A22" s="8" t="s">
        <v>52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3.05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</row>
    <row r="23" spans="1:61" s="2" customForma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s="2" customFormat="1" x14ac:dyDescent="0.35"/>
    <row r="25" spans="1:61" s="2" customFormat="1" x14ac:dyDescent="0.35"/>
    <row r="26" spans="1:61" s="2" customFormat="1" hidden="1" x14ac:dyDescent="0.35"/>
    <row r="27" spans="1:61" s="2" customFormat="1" hidden="1" x14ac:dyDescent="0.35"/>
    <row r="28" spans="1:61" s="2" customFormat="1" hidden="1" x14ac:dyDescent="0.35"/>
    <row r="29" spans="1:61" s="2" customFormat="1" hidden="1" x14ac:dyDescent="0.35"/>
    <row r="30" spans="1:61" s="2" customFormat="1" x14ac:dyDescent="0.35">
      <c r="A30" s="7" t="s">
        <v>34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s="2" customFormat="1" x14ac:dyDescent="0.35">
      <c r="A31" s="7"/>
      <c r="B31" s="65" t="s">
        <v>53</v>
      </c>
      <c r="C31" s="65" t="s">
        <v>54</v>
      </c>
      <c r="D31" s="65" t="s">
        <v>55</v>
      </c>
      <c r="E31" s="65" t="s">
        <v>56</v>
      </c>
      <c r="F31" s="65" t="s">
        <v>57</v>
      </c>
      <c r="G31" s="65" t="s">
        <v>58</v>
      </c>
      <c r="H31" s="65" t="s">
        <v>59</v>
      </c>
      <c r="I31" s="65" t="s">
        <v>60</v>
      </c>
      <c r="J31" s="65" t="s">
        <v>61</v>
      </c>
      <c r="K31" s="65" t="s">
        <v>62</v>
      </c>
      <c r="L31" s="65" t="s">
        <v>63</v>
      </c>
      <c r="M31" s="65" t="s">
        <v>64</v>
      </c>
      <c r="N31" s="65" t="s">
        <v>65</v>
      </c>
      <c r="O31" s="65" t="s">
        <v>66</v>
      </c>
      <c r="P31" s="65" t="s">
        <v>67</v>
      </c>
      <c r="Q31" s="65" t="s">
        <v>68</v>
      </c>
      <c r="R31" s="65" t="s">
        <v>69</v>
      </c>
      <c r="S31" s="65" t="s">
        <v>70</v>
      </c>
      <c r="T31" s="65" t="s">
        <v>71</v>
      </c>
      <c r="U31" s="65" t="s">
        <v>72</v>
      </c>
      <c r="V31" s="65" t="s">
        <v>73</v>
      </c>
      <c r="W31" s="65" t="s">
        <v>74</v>
      </c>
      <c r="X31" s="65" t="s">
        <v>75</v>
      </c>
      <c r="Y31" s="65" t="s">
        <v>76</v>
      </c>
      <c r="Z31" s="65" t="s">
        <v>77</v>
      </c>
      <c r="AA31" s="65" t="s">
        <v>78</v>
      </c>
      <c r="AB31" s="65" t="s">
        <v>79</v>
      </c>
      <c r="AC31" s="65" t="s">
        <v>80</v>
      </c>
      <c r="AD31" s="65" t="s">
        <v>81</v>
      </c>
      <c r="AE31" s="65" t="s">
        <v>82</v>
      </c>
      <c r="AF31" s="65" t="s">
        <v>83</v>
      </c>
      <c r="AG31" s="65" t="s">
        <v>84</v>
      </c>
      <c r="AH31" s="65" t="s">
        <v>85</v>
      </c>
      <c r="AI31" s="65" t="s">
        <v>86</v>
      </c>
      <c r="AJ31" s="65" t="s">
        <v>87</v>
      </c>
      <c r="AK31" s="65" t="s">
        <v>88</v>
      </c>
      <c r="AL31" s="65" t="s">
        <v>89</v>
      </c>
      <c r="AM31" s="65" t="s">
        <v>90</v>
      </c>
      <c r="AN31" s="65" t="s">
        <v>91</v>
      </c>
      <c r="AO31" s="65" t="s">
        <v>92</v>
      </c>
      <c r="AP31" s="65" t="s">
        <v>93</v>
      </c>
      <c r="AQ31" s="65" t="s">
        <v>94</v>
      </c>
      <c r="AR31" s="65" t="s">
        <v>95</v>
      </c>
      <c r="AS31" s="65" t="s">
        <v>96</v>
      </c>
      <c r="AT31" s="65" t="s">
        <v>97</v>
      </c>
      <c r="AU31" s="65" t="s">
        <v>98</v>
      </c>
      <c r="AV31" s="65" t="s">
        <v>99</v>
      </c>
      <c r="AW31" s="65" t="s">
        <v>100</v>
      </c>
      <c r="AX31" s="65" t="s">
        <v>101</v>
      </c>
      <c r="AY31" s="65" t="s">
        <v>102</v>
      </c>
      <c r="AZ31" s="65" t="s">
        <v>103</v>
      </c>
      <c r="BA31" s="65" t="s">
        <v>104</v>
      </c>
      <c r="BB31" s="65"/>
      <c r="BC31" s="65"/>
      <c r="BD31" s="65"/>
      <c r="BE31" s="65"/>
      <c r="BF31" s="65"/>
      <c r="BG31" s="65"/>
      <c r="BH31" s="65"/>
      <c r="BI31" s="65"/>
    </row>
    <row r="32" spans="1:61" s="2" customFormat="1" x14ac:dyDescent="0.35">
      <c r="A32" s="59" t="s">
        <v>36</v>
      </c>
      <c r="B32" s="5">
        <f>1-(B4/B1)</f>
        <v>1</v>
      </c>
      <c r="C32" s="5">
        <f t="shared" ref="C32:BA32" si="0">1-(C4/C1)</f>
        <v>1</v>
      </c>
      <c r="D32" s="5">
        <f t="shared" si="0"/>
        <v>1</v>
      </c>
      <c r="E32" s="5">
        <f t="shared" si="0"/>
        <v>1</v>
      </c>
      <c r="F32" s="5">
        <f t="shared" si="0"/>
        <v>1</v>
      </c>
      <c r="G32" s="5">
        <f t="shared" si="0"/>
        <v>1</v>
      </c>
      <c r="H32" s="5">
        <f t="shared" si="0"/>
        <v>1</v>
      </c>
      <c r="I32" s="5">
        <f t="shared" si="0"/>
        <v>1</v>
      </c>
      <c r="J32" s="5">
        <f t="shared" si="0"/>
        <v>1</v>
      </c>
      <c r="K32" s="5">
        <f t="shared" si="0"/>
        <v>1</v>
      </c>
      <c r="L32" s="5">
        <f t="shared" si="0"/>
        <v>1</v>
      </c>
      <c r="M32" s="5">
        <f t="shared" si="0"/>
        <v>0.94416666666666671</v>
      </c>
      <c r="N32" s="5">
        <f t="shared" si="0"/>
        <v>1</v>
      </c>
      <c r="O32" s="5">
        <f t="shared" si="0"/>
        <v>1</v>
      </c>
      <c r="P32" s="5">
        <f t="shared" si="0"/>
        <v>1</v>
      </c>
      <c r="Q32" s="5">
        <f t="shared" si="0"/>
        <v>1</v>
      </c>
      <c r="R32" s="5">
        <f t="shared" si="0"/>
        <v>1</v>
      </c>
      <c r="S32" s="5">
        <f t="shared" si="0"/>
        <v>1</v>
      </c>
      <c r="T32" s="5">
        <f t="shared" si="0"/>
        <v>1</v>
      </c>
      <c r="U32" s="5">
        <f t="shared" si="0"/>
        <v>1</v>
      </c>
      <c r="V32" s="5">
        <f t="shared" si="0"/>
        <v>1</v>
      </c>
      <c r="W32" s="5">
        <f t="shared" si="0"/>
        <v>1</v>
      </c>
      <c r="X32" s="5">
        <f t="shared" si="0"/>
        <v>1</v>
      </c>
      <c r="Y32" s="5">
        <f t="shared" si="0"/>
        <v>1</v>
      </c>
      <c r="Z32" s="5">
        <f t="shared" si="0"/>
        <v>1</v>
      </c>
      <c r="AA32" s="5">
        <f t="shared" si="0"/>
        <v>1</v>
      </c>
      <c r="AB32" s="5">
        <f t="shared" si="0"/>
        <v>1</v>
      </c>
      <c r="AC32" s="5">
        <f t="shared" si="0"/>
        <v>1</v>
      </c>
      <c r="AD32" s="5">
        <f t="shared" si="0"/>
        <v>1</v>
      </c>
      <c r="AE32" s="5">
        <f t="shared" si="0"/>
        <v>1</v>
      </c>
      <c r="AF32" s="5">
        <f t="shared" si="0"/>
        <v>1</v>
      </c>
      <c r="AG32" s="5">
        <f t="shared" si="0"/>
        <v>1</v>
      </c>
      <c r="AH32" s="5">
        <f t="shared" si="0"/>
        <v>1</v>
      </c>
      <c r="AI32" s="5">
        <f t="shared" si="0"/>
        <v>1</v>
      </c>
      <c r="AJ32" s="5">
        <f t="shared" si="0"/>
        <v>1</v>
      </c>
      <c r="AK32" s="5">
        <f t="shared" si="0"/>
        <v>1</v>
      </c>
      <c r="AL32" s="5">
        <f t="shared" si="0"/>
        <v>1</v>
      </c>
      <c r="AM32" s="5">
        <f t="shared" si="0"/>
        <v>1</v>
      </c>
      <c r="AN32" s="5">
        <f t="shared" si="0"/>
        <v>1</v>
      </c>
      <c r="AO32" s="5">
        <f t="shared" si="0"/>
        <v>1</v>
      </c>
      <c r="AP32" s="5">
        <f t="shared" si="0"/>
        <v>1</v>
      </c>
      <c r="AQ32" s="5">
        <f t="shared" si="0"/>
        <v>1</v>
      </c>
      <c r="AR32" s="5">
        <f t="shared" si="0"/>
        <v>1</v>
      </c>
      <c r="AS32" s="5">
        <f t="shared" si="0"/>
        <v>1</v>
      </c>
      <c r="AT32" s="5">
        <f t="shared" si="0"/>
        <v>1</v>
      </c>
      <c r="AU32" s="5">
        <f t="shared" si="0"/>
        <v>1</v>
      </c>
      <c r="AV32" s="5">
        <f t="shared" si="0"/>
        <v>1</v>
      </c>
      <c r="AW32" s="5">
        <f t="shared" si="0"/>
        <v>1</v>
      </c>
      <c r="AX32" s="5">
        <f t="shared" si="0"/>
        <v>1</v>
      </c>
      <c r="AY32" s="5">
        <f t="shared" si="0"/>
        <v>1</v>
      </c>
      <c r="AZ32" s="5">
        <f t="shared" si="0"/>
        <v>1</v>
      </c>
      <c r="BA32" s="5">
        <f t="shared" si="0"/>
        <v>1</v>
      </c>
      <c r="BB32" s="5">
        <f t="shared" ref="BB32:BG32" si="1">1-(BB4/BB1)</f>
        <v>1</v>
      </c>
      <c r="BC32" s="5">
        <f t="shared" si="1"/>
        <v>1</v>
      </c>
      <c r="BD32" s="5">
        <f t="shared" si="1"/>
        <v>1</v>
      </c>
      <c r="BE32" s="5">
        <f t="shared" si="1"/>
        <v>1</v>
      </c>
      <c r="BF32" s="5">
        <f t="shared" si="1"/>
        <v>1</v>
      </c>
      <c r="BG32" s="5">
        <f t="shared" si="1"/>
        <v>1</v>
      </c>
      <c r="BH32" s="5">
        <f t="shared" ref="BH32:BI32" si="2">1-(BH4/BH1)</f>
        <v>1</v>
      </c>
      <c r="BI32" s="5">
        <f t="shared" si="2"/>
        <v>1</v>
      </c>
    </row>
    <row r="33" spans="1:61" s="2" customFormat="1" x14ac:dyDescent="0.35">
      <c r="A33" s="8" t="s">
        <v>37</v>
      </c>
      <c r="B33" s="5">
        <f>1-(B5/B1)</f>
        <v>1</v>
      </c>
      <c r="C33" s="5">
        <f t="shared" ref="C33:BA33" si="3">1-(C5/C1)</f>
        <v>1</v>
      </c>
      <c r="D33" s="5">
        <f t="shared" si="3"/>
        <v>1</v>
      </c>
      <c r="E33" s="5">
        <f t="shared" si="3"/>
        <v>1</v>
      </c>
      <c r="F33" s="5">
        <f t="shared" si="3"/>
        <v>1</v>
      </c>
      <c r="G33" s="5">
        <f t="shared" si="3"/>
        <v>1</v>
      </c>
      <c r="H33" s="5">
        <f t="shared" si="3"/>
        <v>1</v>
      </c>
      <c r="I33" s="5">
        <f t="shared" si="3"/>
        <v>1</v>
      </c>
      <c r="J33" s="5">
        <f t="shared" si="3"/>
        <v>1</v>
      </c>
      <c r="K33" s="5">
        <f t="shared" si="3"/>
        <v>1</v>
      </c>
      <c r="L33" s="5">
        <f t="shared" si="3"/>
        <v>1</v>
      </c>
      <c r="M33" s="5">
        <f t="shared" si="3"/>
        <v>1</v>
      </c>
      <c r="N33" s="5">
        <f t="shared" si="3"/>
        <v>1</v>
      </c>
      <c r="O33" s="5">
        <f t="shared" si="3"/>
        <v>1</v>
      </c>
      <c r="P33" s="5">
        <f t="shared" si="3"/>
        <v>1</v>
      </c>
      <c r="Q33" s="5">
        <f t="shared" si="3"/>
        <v>1</v>
      </c>
      <c r="R33" s="5">
        <f t="shared" si="3"/>
        <v>1</v>
      </c>
      <c r="S33" s="5">
        <f t="shared" si="3"/>
        <v>1</v>
      </c>
      <c r="T33" s="5">
        <f t="shared" si="3"/>
        <v>1</v>
      </c>
      <c r="U33" s="5">
        <f t="shared" si="3"/>
        <v>1</v>
      </c>
      <c r="V33" s="5">
        <f t="shared" si="3"/>
        <v>1</v>
      </c>
      <c r="W33" s="5">
        <f t="shared" si="3"/>
        <v>1</v>
      </c>
      <c r="X33" s="5">
        <f t="shared" si="3"/>
        <v>1</v>
      </c>
      <c r="Y33" s="5">
        <f t="shared" si="3"/>
        <v>1</v>
      </c>
      <c r="Z33" s="5">
        <f t="shared" si="3"/>
        <v>1</v>
      </c>
      <c r="AA33" s="5">
        <f t="shared" si="3"/>
        <v>1</v>
      </c>
      <c r="AB33" s="5">
        <f t="shared" si="3"/>
        <v>1</v>
      </c>
      <c r="AC33" s="5">
        <f t="shared" si="3"/>
        <v>1</v>
      </c>
      <c r="AD33" s="5">
        <f t="shared" si="3"/>
        <v>1</v>
      </c>
      <c r="AE33" s="5">
        <f t="shared" si="3"/>
        <v>1</v>
      </c>
      <c r="AF33" s="5">
        <f t="shared" si="3"/>
        <v>1</v>
      </c>
      <c r="AG33" s="5">
        <f t="shared" si="3"/>
        <v>1</v>
      </c>
      <c r="AH33" s="5">
        <f t="shared" si="3"/>
        <v>1</v>
      </c>
      <c r="AI33" s="5">
        <f t="shared" si="3"/>
        <v>1</v>
      </c>
      <c r="AJ33" s="5">
        <f t="shared" si="3"/>
        <v>1</v>
      </c>
      <c r="AK33" s="5">
        <f t="shared" si="3"/>
        <v>1</v>
      </c>
      <c r="AL33" s="5">
        <f t="shared" si="3"/>
        <v>1</v>
      </c>
      <c r="AM33" s="5">
        <f t="shared" si="3"/>
        <v>1</v>
      </c>
      <c r="AN33" s="5">
        <f t="shared" si="3"/>
        <v>1</v>
      </c>
      <c r="AO33" s="5">
        <f t="shared" si="3"/>
        <v>1</v>
      </c>
      <c r="AP33" s="5">
        <f t="shared" si="3"/>
        <v>1</v>
      </c>
      <c r="AQ33" s="5">
        <f t="shared" si="3"/>
        <v>1</v>
      </c>
      <c r="AR33" s="5">
        <f t="shared" si="3"/>
        <v>1</v>
      </c>
      <c r="AS33" s="5">
        <f t="shared" si="3"/>
        <v>1</v>
      </c>
      <c r="AT33" s="5">
        <f t="shared" si="3"/>
        <v>1</v>
      </c>
      <c r="AU33" s="5">
        <f t="shared" si="3"/>
        <v>1</v>
      </c>
      <c r="AV33" s="5">
        <f t="shared" si="3"/>
        <v>1</v>
      </c>
      <c r="AW33" s="5">
        <f t="shared" si="3"/>
        <v>1</v>
      </c>
      <c r="AX33" s="5">
        <f t="shared" si="3"/>
        <v>1</v>
      </c>
      <c r="AY33" s="5">
        <f t="shared" si="3"/>
        <v>1</v>
      </c>
      <c r="AZ33" s="5">
        <f t="shared" si="3"/>
        <v>1</v>
      </c>
      <c r="BA33" s="5">
        <f t="shared" si="3"/>
        <v>1</v>
      </c>
      <c r="BB33" s="5">
        <f t="shared" ref="BB33:BG33" si="4">1-(BB5/BB1)</f>
        <v>1</v>
      </c>
      <c r="BC33" s="5">
        <f t="shared" si="4"/>
        <v>1</v>
      </c>
      <c r="BD33" s="5">
        <f t="shared" si="4"/>
        <v>1</v>
      </c>
      <c r="BE33" s="5">
        <f t="shared" si="4"/>
        <v>1</v>
      </c>
      <c r="BF33" s="5">
        <f t="shared" si="4"/>
        <v>1</v>
      </c>
      <c r="BG33" s="5">
        <f t="shared" si="4"/>
        <v>1</v>
      </c>
      <c r="BH33" s="5">
        <f t="shared" ref="BH33:BI33" si="5">1-(BH5/BH1)</f>
        <v>1</v>
      </c>
      <c r="BI33" s="5">
        <f t="shared" si="5"/>
        <v>1</v>
      </c>
    </row>
    <row r="34" spans="1:61" s="2" customFormat="1" x14ac:dyDescent="0.35">
      <c r="A34" s="8" t="s">
        <v>38</v>
      </c>
      <c r="B34" s="5">
        <f>1-(B6/B1)</f>
        <v>1</v>
      </c>
      <c r="C34" s="5">
        <f t="shared" ref="C34:BA34" si="6">1-(C6/C1)</f>
        <v>1</v>
      </c>
      <c r="D34" s="5">
        <f t="shared" si="6"/>
        <v>1</v>
      </c>
      <c r="E34" s="5">
        <f t="shared" si="6"/>
        <v>1</v>
      </c>
      <c r="F34" s="5">
        <f t="shared" si="6"/>
        <v>1</v>
      </c>
      <c r="G34" s="5">
        <f t="shared" si="6"/>
        <v>1</v>
      </c>
      <c r="H34" s="5">
        <f t="shared" si="6"/>
        <v>1</v>
      </c>
      <c r="I34" s="5">
        <f t="shared" si="6"/>
        <v>1</v>
      </c>
      <c r="J34" s="5">
        <f t="shared" si="6"/>
        <v>1</v>
      </c>
      <c r="K34" s="5">
        <f t="shared" si="6"/>
        <v>1</v>
      </c>
      <c r="L34" s="5">
        <f t="shared" si="6"/>
        <v>1</v>
      </c>
      <c r="M34" s="5">
        <f t="shared" si="6"/>
        <v>0.94416666666666671</v>
      </c>
      <c r="N34" s="5">
        <f t="shared" si="6"/>
        <v>1</v>
      </c>
      <c r="O34" s="5">
        <f t="shared" si="6"/>
        <v>1</v>
      </c>
      <c r="P34" s="5">
        <f t="shared" si="6"/>
        <v>1</v>
      </c>
      <c r="Q34" s="5">
        <f t="shared" si="6"/>
        <v>1</v>
      </c>
      <c r="R34" s="5">
        <f t="shared" si="6"/>
        <v>1</v>
      </c>
      <c r="S34" s="5">
        <f t="shared" si="6"/>
        <v>1</v>
      </c>
      <c r="T34" s="5">
        <f t="shared" si="6"/>
        <v>1</v>
      </c>
      <c r="U34" s="5">
        <f t="shared" si="6"/>
        <v>1</v>
      </c>
      <c r="V34" s="5">
        <f t="shared" si="6"/>
        <v>1</v>
      </c>
      <c r="W34" s="5">
        <f>1-(W6/W1)</f>
        <v>1</v>
      </c>
      <c r="X34" s="5">
        <f t="shared" si="6"/>
        <v>1</v>
      </c>
      <c r="Y34" s="5">
        <f t="shared" si="6"/>
        <v>1</v>
      </c>
      <c r="Z34" s="5">
        <f t="shared" si="6"/>
        <v>1</v>
      </c>
      <c r="AA34" s="5">
        <f t="shared" si="6"/>
        <v>1</v>
      </c>
      <c r="AB34" s="5">
        <f t="shared" si="6"/>
        <v>1</v>
      </c>
      <c r="AC34" s="5">
        <f t="shared" si="6"/>
        <v>1</v>
      </c>
      <c r="AD34" s="5">
        <f t="shared" si="6"/>
        <v>1</v>
      </c>
      <c r="AE34" s="5">
        <f t="shared" si="6"/>
        <v>1</v>
      </c>
      <c r="AF34" s="5">
        <f t="shared" si="6"/>
        <v>1</v>
      </c>
      <c r="AG34" s="5">
        <f t="shared" si="6"/>
        <v>1</v>
      </c>
      <c r="AH34" s="5">
        <f t="shared" si="6"/>
        <v>1</v>
      </c>
      <c r="AI34" s="5">
        <f t="shared" si="6"/>
        <v>1</v>
      </c>
      <c r="AJ34" s="5">
        <f t="shared" si="6"/>
        <v>1</v>
      </c>
      <c r="AK34" s="5">
        <f t="shared" si="6"/>
        <v>1</v>
      </c>
      <c r="AL34" s="5">
        <f t="shared" si="6"/>
        <v>1</v>
      </c>
      <c r="AM34" s="5">
        <f t="shared" si="6"/>
        <v>1</v>
      </c>
      <c r="AN34" s="5">
        <f t="shared" si="6"/>
        <v>1</v>
      </c>
      <c r="AO34" s="5">
        <f t="shared" si="6"/>
        <v>1</v>
      </c>
      <c r="AP34" s="5">
        <f t="shared" si="6"/>
        <v>1</v>
      </c>
      <c r="AQ34" s="5">
        <f t="shared" si="6"/>
        <v>1</v>
      </c>
      <c r="AR34" s="5">
        <f t="shared" si="6"/>
        <v>1</v>
      </c>
      <c r="AS34" s="5">
        <f t="shared" si="6"/>
        <v>1</v>
      </c>
      <c r="AT34" s="5">
        <f t="shared" si="6"/>
        <v>1</v>
      </c>
      <c r="AU34" s="5">
        <f t="shared" si="6"/>
        <v>1</v>
      </c>
      <c r="AV34" s="5">
        <f t="shared" si="6"/>
        <v>1</v>
      </c>
      <c r="AW34" s="5">
        <f t="shared" si="6"/>
        <v>1</v>
      </c>
      <c r="AX34" s="5">
        <f t="shared" si="6"/>
        <v>1</v>
      </c>
      <c r="AY34" s="5">
        <f t="shared" si="6"/>
        <v>1</v>
      </c>
      <c r="AZ34" s="5">
        <f t="shared" si="6"/>
        <v>1</v>
      </c>
      <c r="BA34" s="5">
        <f t="shared" si="6"/>
        <v>1</v>
      </c>
      <c r="BB34" s="5">
        <f t="shared" ref="BB34:BG34" si="7">1-(BB6/BB1)</f>
        <v>1</v>
      </c>
      <c r="BC34" s="5">
        <f t="shared" si="7"/>
        <v>1</v>
      </c>
      <c r="BD34" s="5">
        <f t="shared" si="7"/>
        <v>1</v>
      </c>
      <c r="BE34" s="5">
        <f t="shared" si="7"/>
        <v>1</v>
      </c>
      <c r="BF34" s="5">
        <f t="shared" si="7"/>
        <v>1</v>
      </c>
      <c r="BG34" s="5">
        <f t="shared" si="7"/>
        <v>1</v>
      </c>
      <c r="BH34" s="5">
        <f t="shared" ref="BH34:BI34" si="8">1-(BH6/BH1)</f>
        <v>1</v>
      </c>
      <c r="BI34" s="5">
        <f t="shared" si="8"/>
        <v>1</v>
      </c>
    </row>
    <row r="35" spans="1:61" s="2" customFormat="1" x14ac:dyDescent="0.35">
      <c r="A35" s="8" t="s">
        <v>39</v>
      </c>
      <c r="B35" s="5">
        <f>1-(B7/B1)</f>
        <v>1</v>
      </c>
      <c r="C35" s="5">
        <f t="shared" ref="C35:BA35" si="9">1-(C7/C1)</f>
        <v>1</v>
      </c>
      <c r="D35" s="5">
        <f t="shared" si="9"/>
        <v>1</v>
      </c>
      <c r="E35" s="5">
        <f t="shared" si="9"/>
        <v>1</v>
      </c>
      <c r="F35" s="5">
        <f t="shared" si="9"/>
        <v>1</v>
      </c>
      <c r="G35" s="5">
        <f t="shared" si="9"/>
        <v>1</v>
      </c>
      <c r="H35" s="5">
        <f t="shared" si="9"/>
        <v>1</v>
      </c>
      <c r="I35" s="5">
        <f t="shared" si="9"/>
        <v>1</v>
      </c>
      <c r="J35" s="5">
        <f t="shared" si="9"/>
        <v>1</v>
      </c>
      <c r="K35" s="5">
        <f t="shared" si="9"/>
        <v>1</v>
      </c>
      <c r="L35" s="5">
        <f t="shared" si="9"/>
        <v>1</v>
      </c>
      <c r="M35" s="5">
        <f t="shared" si="9"/>
        <v>1</v>
      </c>
      <c r="N35" s="5">
        <f t="shared" si="9"/>
        <v>1</v>
      </c>
      <c r="O35" s="5">
        <f t="shared" si="9"/>
        <v>1</v>
      </c>
      <c r="P35" s="5">
        <f t="shared" si="9"/>
        <v>1</v>
      </c>
      <c r="Q35" s="5">
        <f t="shared" si="9"/>
        <v>1</v>
      </c>
      <c r="R35" s="5">
        <f t="shared" si="9"/>
        <v>1</v>
      </c>
      <c r="S35" s="5">
        <f t="shared" si="9"/>
        <v>1</v>
      </c>
      <c r="T35" s="5">
        <f t="shared" si="9"/>
        <v>1</v>
      </c>
      <c r="U35" s="5">
        <f t="shared" si="9"/>
        <v>1</v>
      </c>
      <c r="V35" s="5">
        <f t="shared" si="9"/>
        <v>1</v>
      </c>
      <c r="W35" s="5">
        <f t="shared" ref="W35" si="10">1-(W7/W3)</f>
        <v>1</v>
      </c>
      <c r="X35" s="5">
        <f t="shared" si="9"/>
        <v>1</v>
      </c>
      <c r="Y35" s="5">
        <f t="shared" si="9"/>
        <v>1</v>
      </c>
      <c r="Z35" s="5">
        <f t="shared" si="9"/>
        <v>1</v>
      </c>
      <c r="AA35" s="5">
        <f t="shared" si="9"/>
        <v>1</v>
      </c>
      <c r="AB35" s="5">
        <f t="shared" si="9"/>
        <v>1</v>
      </c>
      <c r="AC35" s="5">
        <f t="shared" si="9"/>
        <v>1</v>
      </c>
      <c r="AD35" s="5">
        <f t="shared" si="9"/>
        <v>1</v>
      </c>
      <c r="AE35" s="5">
        <f t="shared" si="9"/>
        <v>1</v>
      </c>
      <c r="AF35" s="5">
        <f t="shared" si="9"/>
        <v>1</v>
      </c>
      <c r="AG35" s="5">
        <f t="shared" si="9"/>
        <v>1</v>
      </c>
      <c r="AH35" s="5">
        <f t="shared" si="9"/>
        <v>1</v>
      </c>
      <c r="AI35" s="5">
        <f t="shared" si="9"/>
        <v>1</v>
      </c>
      <c r="AJ35" s="5">
        <f t="shared" si="9"/>
        <v>1</v>
      </c>
      <c r="AK35" s="5">
        <f t="shared" si="9"/>
        <v>1</v>
      </c>
      <c r="AL35" s="5">
        <f t="shared" si="9"/>
        <v>1</v>
      </c>
      <c r="AM35" s="5">
        <f t="shared" si="9"/>
        <v>1</v>
      </c>
      <c r="AN35" s="5">
        <f t="shared" si="9"/>
        <v>1</v>
      </c>
      <c r="AO35" s="5">
        <f t="shared" si="9"/>
        <v>1</v>
      </c>
      <c r="AP35" s="5">
        <f t="shared" si="9"/>
        <v>1</v>
      </c>
      <c r="AQ35" s="5">
        <f t="shared" si="9"/>
        <v>1</v>
      </c>
      <c r="AR35" s="5">
        <f t="shared" si="9"/>
        <v>1</v>
      </c>
      <c r="AS35" s="5">
        <f t="shared" si="9"/>
        <v>1</v>
      </c>
      <c r="AT35" s="5">
        <f t="shared" si="9"/>
        <v>1</v>
      </c>
      <c r="AU35" s="5">
        <f t="shared" si="9"/>
        <v>1</v>
      </c>
      <c r="AV35" s="5">
        <f t="shared" si="9"/>
        <v>1</v>
      </c>
      <c r="AW35" s="5">
        <f t="shared" si="9"/>
        <v>1</v>
      </c>
      <c r="AX35" s="5">
        <f t="shared" si="9"/>
        <v>1</v>
      </c>
      <c r="AY35" s="5">
        <f t="shared" si="9"/>
        <v>1</v>
      </c>
      <c r="AZ35" s="5">
        <f t="shared" si="9"/>
        <v>1</v>
      </c>
      <c r="BA35" s="5">
        <f t="shared" si="9"/>
        <v>1</v>
      </c>
      <c r="BB35" s="5">
        <f t="shared" ref="BB35:BG35" si="11">1-(BB7/BB1)</f>
        <v>1</v>
      </c>
      <c r="BC35" s="5">
        <f t="shared" si="11"/>
        <v>1</v>
      </c>
      <c r="BD35" s="5">
        <f t="shared" si="11"/>
        <v>1</v>
      </c>
      <c r="BE35" s="5">
        <f t="shared" si="11"/>
        <v>1</v>
      </c>
      <c r="BF35" s="5">
        <f t="shared" si="11"/>
        <v>1</v>
      </c>
      <c r="BG35" s="5">
        <f t="shared" si="11"/>
        <v>1</v>
      </c>
      <c r="BH35" s="5">
        <f t="shared" ref="BH35:BI35" si="12">1-(BH7/BH1)</f>
        <v>1</v>
      </c>
      <c r="BI35" s="5">
        <f t="shared" si="12"/>
        <v>1</v>
      </c>
    </row>
    <row r="36" spans="1:61" s="2" customFormat="1" x14ac:dyDescent="0.35">
      <c r="A36" s="8" t="s">
        <v>40</v>
      </c>
      <c r="B36" s="5">
        <f>1-(B8/B1)</f>
        <v>1</v>
      </c>
      <c r="C36" s="5">
        <f t="shared" ref="C36:BA36" si="13">1-(C8/C1)</f>
        <v>1</v>
      </c>
      <c r="D36" s="5">
        <f t="shared" si="13"/>
        <v>1</v>
      </c>
      <c r="E36" s="5">
        <f t="shared" si="13"/>
        <v>1</v>
      </c>
      <c r="F36" s="5">
        <f t="shared" si="13"/>
        <v>1</v>
      </c>
      <c r="G36" s="5">
        <f t="shared" si="13"/>
        <v>1</v>
      </c>
      <c r="H36" s="5">
        <f t="shared" si="13"/>
        <v>1</v>
      </c>
      <c r="I36" s="5">
        <f t="shared" si="13"/>
        <v>1</v>
      </c>
      <c r="J36" s="5">
        <f t="shared" si="13"/>
        <v>1</v>
      </c>
      <c r="K36" s="5">
        <f t="shared" si="13"/>
        <v>1</v>
      </c>
      <c r="L36" s="5">
        <f t="shared" si="13"/>
        <v>1</v>
      </c>
      <c r="M36" s="5">
        <f t="shared" si="13"/>
        <v>1</v>
      </c>
      <c r="N36" s="5">
        <f t="shared" si="13"/>
        <v>1</v>
      </c>
      <c r="O36" s="5">
        <f t="shared" si="13"/>
        <v>1</v>
      </c>
      <c r="P36" s="5">
        <f t="shared" si="13"/>
        <v>1</v>
      </c>
      <c r="Q36" s="5">
        <f t="shared" si="13"/>
        <v>1</v>
      </c>
      <c r="R36" s="5">
        <f t="shared" si="13"/>
        <v>1</v>
      </c>
      <c r="S36" s="5">
        <f t="shared" si="13"/>
        <v>1</v>
      </c>
      <c r="T36" s="5">
        <f t="shared" si="13"/>
        <v>1</v>
      </c>
      <c r="U36" s="5">
        <f t="shared" si="13"/>
        <v>1</v>
      </c>
      <c r="V36" s="5">
        <f t="shared" si="13"/>
        <v>1</v>
      </c>
      <c r="W36" s="5" t="e">
        <f t="shared" ref="W36" si="14">1-(W8/W4)</f>
        <v>#DIV/0!</v>
      </c>
      <c r="X36" s="5">
        <f t="shared" si="13"/>
        <v>1</v>
      </c>
      <c r="Y36" s="5">
        <f t="shared" si="13"/>
        <v>1</v>
      </c>
      <c r="Z36" s="5">
        <f t="shared" si="13"/>
        <v>1</v>
      </c>
      <c r="AA36" s="5">
        <f t="shared" si="13"/>
        <v>1</v>
      </c>
      <c r="AB36" s="5">
        <f t="shared" si="13"/>
        <v>1</v>
      </c>
      <c r="AC36" s="5">
        <f t="shared" si="13"/>
        <v>1</v>
      </c>
      <c r="AD36" s="5">
        <f t="shared" si="13"/>
        <v>1</v>
      </c>
      <c r="AE36" s="5">
        <f t="shared" si="13"/>
        <v>1</v>
      </c>
      <c r="AF36" s="5">
        <f t="shared" si="13"/>
        <v>1</v>
      </c>
      <c r="AG36" s="5">
        <f t="shared" si="13"/>
        <v>1</v>
      </c>
      <c r="AH36" s="5">
        <f t="shared" si="13"/>
        <v>1</v>
      </c>
      <c r="AI36" s="5">
        <f t="shared" si="13"/>
        <v>1</v>
      </c>
      <c r="AJ36" s="5">
        <f t="shared" si="13"/>
        <v>1</v>
      </c>
      <c r="AK36" s="5">
        <f t="shared" si="13"/>
        <v>1</v>
      </c>
      <c r="AL36" s="5">
        <f t="shared" si="13"/>
        <v>1</v>
      </c>
      <c r="AM36" s="5">
        <f t="shared" si="13"/>
        <v>1</v>
      </c>
      <c r="AN36" s="5">
        <f t="shared" si="13"/>
        <v>1</v>
      </c>
      <c r="AO36" s="5">
        <f t="shared" si="13"/>
        <v>1</v>
      </c>
      <c r="AP36" s="5">
        <f t="shared" si="13"/>
        <v>1</v>
      </c>
      <c r="AQ36" s="5">
        <f t="shared" si="13"/>
        <v>1</v>
      </c>
      <c r="AR36" s="5">
        <f t="shared" si="13"/>
        <v>1</v>
      </c>
      <c r="AS36" s="5">
        <f t="shared" si="13"/>
        <v>1</v>
      </c>
      <c r="AT36" s="5">
        <f t="shared" si="13"/>
        <v>1</v>
      </c>
      <c r="AU36" s="5">
        <f t="shared" si="13"/>
        <v>1</v>
      </c>
      <c r="AV36" s="5">
        <f t="shared" si="13"/>
        <v>1</v>
      </c>
      <c r="AW36" s="5">
        <f t="shared" si="13"/>
        <v>1</v>
      </c>
      <c r="AX36" s="5">
        <f t="shared" si="13"/>
        <v>1</v>
      </c>
      <c r="AY36" s="5">
        <f t="shared" si="13"/>
        <v>1</v>
      </c>
      <c r="AZ36" s="5">
        <f t="shared" si="13"/>
        <v>1</v>
      </c>
      <c r="BA36" s="5">
        <f t="shared" si="13"/>
        <v>1</v>
      </c>
      <c r="BB36" s="5">
        <f t="shared" ref="BB36:BG36" si="15">1-(BB8/BB1)</f>
        <v>1</v>
      </c>
      <c r="BC36" s="5">
        <f t="shared" si="15"/>
        <v>1</v>
      </c>
      <c r="BD36" s="5">
        <f t="shared" si="15"/>
        <v>1</v>
      </c>
      <c r="BE36" s="5">
        <f t="shared" si="15"/>
        <v>1</v>
      </c>
      <c r="BF36" s="5">
        <f t="shared" si="15"/>
        <v>1</v>
      </c>
      <c r="BG36" s="5">
        <f t="shared" si="15"/>
        <v>1</v>
      </c>
      <c r="BH36" s="5">
        <f t="shared" ref="BH36:BI36" si="16">1-(BH8/BH1)</f>
        <v>1</v>
      </c>
      <c r="BI36" s="5">
        <f t="shared" si="16"/>
        <v>1</v>
      </c>
    </row>
    <row r="37" spans="1:61" s="2" customFormat="1" x14ac:dyDescent="0.35">
      <c r="A37" s="6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 x14ac:dyDescent="0.35">
      <c r="A38" s="7" t="s">
        <v>41</v>
      </c>
      <c r="B38" s="5">
        <f>1-(B10/B1)</f>
        <v>1</v>
      </c>
      <c r="C38" s="5">
        <f t="shared" ref="C38:BA38" si="17">1-(C10/C1)</f>
        <v>1</v>
      </c>
      <c r="D38" s="5">
        <f t="shared" si="17"/>
        <v>1</v>
      </c>
      <c r="E38" s="5">
        <f t="shared" si="17"/>
        <v>1</v>
      </c>
      <c r="F38" s="5">
        <f t="shared" si="17"/>
        <v>1</v>
      </c>
      <c r="G38" s="5">
        <f t="shared" si="17"/>
        <v>1</v>
      </c>
      <c r="H38" s="5">
        <f t="shared" si="17"/>
        <v>1</v>
      </c>
      <c r="I38" s="5">
        <f t="shared" si="17"/>
        <v>1</v>
      </c>
      <c r="J38" s="5">
        <f t="shared" si="17"/>
        <v>1</v>
      </c>
      <c r="K38" s="5">
        <f t="shared" si="17"/>
        <v>1</v>
      </c>
      <c r="L38" s="5">
        <f t="shared" si="17"/>
        <v>1</v>
      </c>
      <c r="M38" s="5">
        <f t="shared" si="17"/>
        <v>1</v>
      </c>
      <c r="N38" s="5">
        <f t="shared" si="17"/>
        <v>1</v>
      </c>
      <c r="O38" s="5">
        <f t="shared" si="17"/>
        <v>1</v>
      </c>
      <c r="P38" s="5">
        <f t="shared" si="17"/>
        <v>1</v>
      </c>
      <c r="Q38" s="5">
        <f t="shared" si="17"/>
        <v>1</v>
      </c>
      <c r="R38" s="5">
        <f t="shared" si="17"/>
        <v>1</v>
      </c>
      <c r="S38" s="5">
        <f t="shared" si="17"/>
        <v>1</v>
      </c>
      <c r="T38" s="5">
        <f t="shared" si="17"/>
        <v>1</v>
      </c>
      <c r="U38" s="5">
        <f t="shared" si="17"/>
        <v>1</v>
      </c>
      <c r="V38" s="5">
        <f t="shared" si="17"/>
        <v>1</v>
      </c>
      <c r="W38" s="5">
        <f t="shared" si="17"/>
        <v>1</v>
      </c>
      <c r="X38" s="5">
        <f t="shared" si="17"/>
        <v>1</v>
      </c>
      <c r="Y38" s="5">
        <f t="shared" si="17"/>
        <v>1</v>
      </c>
      <c r="Z38" s="5">
        <f t="shared" si="17"/>
        <v>1</v>
      </c>
      <c r="AA38" s="5">
        <f t="shared" si="17"/>
        <v>1</v>
      </c>
      <c r="AB38" s="5">
        <f t="shared" si="17"/>
        <v>1</v>
      </c>
      <c r="AC38" s="5">
        <f t="shared" si="17"/>
        <v>1</v>
      </c>
      <c r="AD38" s="5">
        <f t="shared" si="17"/>
        <v>1</v>
      </c>
      <c r="AE38" s="5">
        <f t="shared" si="17"/>
        <v>1</v>
      </c>
      <c r="AF38" s="5">
        <f t="shared" si="17"/>
        <v>1</v>
      </c>
      <c r="AG38" s="5">
        <f t="shared" si="17"/>
        <v>1</v>
      </c>
      <c r="AH38" s="5">
        <f t="shared" si="17"/>
        <v>1</v>
      </c>
      <c r="AI38" s="5">
        <f t="shared" si="17"/>
        <v>1</v>
      </c>
      <c r="AJ38" s="5">
        <f t="shared" si="17"/>
        <v>1</v>
      </c>
      <c r="AK38" s="5">
        <f t="shared" si="17"/>
        <v>1</v>
      </c>
      <c r="AL38" s="5">
        <f t="shared" si="17"/>
        <v>1</v>
      </c>
      <c r="AM38" s="5">
        <f t="shared" si="17"/>
        <v>1</v>
      </c>
      <c r="AN38" s="5">
        <f t="shared" si="17"/>
        <v>1</v>
      </c>
      <c r="AO38" s="5">
        <f t="shared" si="17"/>
        <v>1</v>
      </c>
      <c r="AP38" s="5">
        <f t="shared" si="17"/>
        <v>1</v>
      </c>
      <c r="AQ38" s="5">
        <f t="shared" si="17"/>
        <v>1</v>
      </c>
      <c r="AR38" s="5">
        <f t="shared" si="17"/>
        <v>1</v>
      </c>
      <c r="AS38" s="5">
        <f t="shared" si="17"/>
        <v>1</v>
      </c>
      <c r="AT38" s="5">
        <f t="shared" si="17"/>
        <v>1</v>
      </c>
      <c r="AU38" s="5">
        <f t="shared" si="17"/>
        <v>1</v>
      </c>
      <c r="AV38" s="5">
        <f t="shared" si="17"/>
        <v>1</v>
      </c>
      <c r="AW38" s="5">
        <f t="shared" si="17"/>
        <v>1</v>
      </c>
      <c r="AX38" s="5">
        <f t="shared" si="17"/>
        <v>1</v>
      </c>
      <c r="AY38" s="5">
        <f t="shared" si="17"/>
        <v>1</v>
      </c>
      <c r="AZ38" s="5">
        <f t="shared" si="17"/>
        <v>1</v>
      </c>
      <c r="BA38" s="5">
        <f t="shared" si="17"/>
        <v>1</v>
      </c>
      <c r="BB38" s="5"/>
      <c r="BC38" s="5"/>
      <c r="BD38" s="5"/>
      <c r="BE38" s="5"/>
      <c r="BF38" s="5"/>
      <c r="BG38" s="5"/>
      <c r="BH38" s="5"/>
      <c r="BI38" s="5"/>
    </row>
    <row r="39" spans="1:61" x14ac:dyDescent="0.35">
      <c r="A39" s="8" t="s">
        <v>42</v>
      </c>
      <c r="B39" s="5">
        <f>1-(B11/B1)</f>
        <v>1</v>
      </c>
      <c r="C39" s="5">
        <f t="shared" ref="C39:BA39" si="18">1-(C11/C1)</f>
        <v>1</v>
      </c>
      <c r="D39" s="5">
        <f t="shared" si="18"/>
        <v>1</v>
      </c>
      <c r="E39" s="5">
        <f t="shared" si="18"/>
        <v>1</v>
      </c>
      <c r="F39" s="5">
        <f t="shared" si="18"/>
        <v>1</v>
      </c>
      <c r="G39" s="5">
        <f t="shared" si="18"/>
        <v>1</v>
      </c>
      <c r="H39" s="5">
        <f t="shared" si="18"/>
        <v>1</v>
      </c>
      <c r="I39" s="5">
        <f t="shared" si="18"/>
        <v>1</v>
      </c>
      <c r="J39" s="5">
        <f t="shared" si="18"/>
        <v>1</v>
      </c>
      <c r="K39" s="5">
        <f t="shared" si="18"/>
        <v>1</v>
      </c>
      <c r="L39" s="5">
        <f t="shared" si="18"/>
        <v>1</v>
      </c>
      <c r="M39" s="5">
        <f t="shared" si="18"/>
        <v>1</v>
      </c>
      <c r="N39" s="5">
        <f t="shared" si="18"/>
        <v>1</v>
      </c>
      <c r="O39" s="5">
        <f t="shared" si="18"/>
        <v>1</v>
      </c>
      <c r="P39" s="5">
        <f t="shared" si="18"/>
        <v>1</v>
      </c>
      <c r="Q39" s="5">
        <f t="shared" si="18"/>
        <v>1</v>
      </c>
      <c r="R39" s="5">
        <f t="shared" si="18"/>
        <v>1</v>
      </c>
      <c r="S39" s="5">
        <f t="shared" si="18"/>
        <v>1</v>
      </c>
      <c r="T39" s="5">
        <f t="shared" si="18"/>
        <v>1</v>
      </c>
      <c r="U39" s="5">
        <f t="shared" si="18"/>
        <v>1</v>
      </c>
      <c r="V39" s="5">
        <f t="shared" si="18"/>
        <v>1</v>
      </c>
      <c r="W39" s="5">
        <f t="shared" si="18"/>
        <v>1</v>
      </c>
      <c r="X39" s="5">
        <f t="shared" si="18"/>
        <v>1</v>
      </c>
      <c r="Y39" s="5">
        <f t="shared" si="18"/>
        <v>1</v>
      </c>
      <c r="Z39" s="5">
        <f t="shared" si="18"/>
        <v>1</v>
      </c>
      <c r="AA39" s="5">
        <f t="shared" si="18"/>
        <v>1</v>
      </c>
      <c r="AB39" s="5">
        <f t="shared" si="18"/>
        <v>0.97946428571428568</v>
      </c>
      <c r="AC39" s="5">
        <f t="shared" si="18"/>
        <v>1</v>
      </c>
      <c r="AD39" s="5">
        <f t="shared" si="18"/>
        <v>1</v>
      </c>
      <c r="AE39" s="5">
        <f t="shared" si="18"/>
        <v>1</v>
      </c>
      <c r="AF39" s="5">
        <f t="shared" si="18"/>
        <v>1</v>
      </c>
      <c r="AG39" s="5">
        <f t="shared" si="18"/>
        <v>1</v>
      </c>
      <c r="AH39" s="5">
        <f t="shared" si="18"/>
        <v>1</v>
      </c>
      <c r="AI39" s="5">
        <f t="shared" si="18"/>
        <v>1</v>
      </c>
      <c r="AJ39" s="5">
        <f t="shared" si="18"/>
        <v>1</v>
      </c>
      <c r="AK39" s="5">
        <f t="shared" si="18"/>
        <v>1</v>
      </c>
      <c r="AL39" s="5">
        <f t="shared" si="18"/>
        <v>1</v>
      </c>
      <c r="AM39" s="5">
        <f t="shared" si="18"/>
        <v>1</v>
      </c>
      <c r="AN39" s="5">
        <f t="shared" si="18"/>
        <v>1</v>
      </c>
      <c r="AO39" s="5">
        <f t="shared" si="18"/>
        <v>1</v>
      </c>
      <c r="AP39" s="5">
        <f t="shared" si="18"/>
        <v>1</v>
      </c>
      <c r="AQ39" s="5">
        <f t="shared" si="18"/>
        <v>1</v>
      </c>
      <c r="AR39" s="5">
        <f t="shared" si="18"/>
        <v>1</v>
      </c>
      <c r="AS39" s="5">
        <f t="shared" si="18"/>
        <v>1</v>
      </c>
      <c r="AT39" s="5">
        <f t="shared" si="18"/>
        <v>1</v>
      </c>
      <c r="AU39" s="5">
        <f t="shared" si="18"/>
        <v>1</v>
      </c>
      <c r="AV39" s="5">
        <f t="shared" si="18"/>
        <v>1</v>
      </c>
      <c r="AW39" s="5">
        <f t="shared" si="18"/>
        <v>1</v>
      </c>
      <c r="AX39" s="5">
        <f t="shared" si="18"/>
        <v>1</v>
      </c>
      <c r="AY39" s="5">
        <f t="shared" si="18"/>
        <v>1</v>
      </c>
      <c r="AZ39" s="5">
        <f t="shared" si="18"/>
        <v>1</v>
      </c>
      <c r="BA39" s="5">
        <f t="shared" si="18"/>
        <v>1</v>
      </c>
      <c r="BB39" s="5">
        <f t="shared" ref="BB39:BG39" si="19">1-(BB11/BB1)</f>
        <v>1</v>
      </c>
      <c r="BC39" s="5">
        <f t="shared" si="19"/>
        <v>1</v>
      </c>
      <c r="BD39" s="5">
        <f t="shared" si="19"/>
        <v>1</v>
      </c>
      <c r="BE39" s="5">
        <f t="shared" si="19"/>
        <v>1</v>
      </c>
      <c r="BF39" s="5">
        <f t="shared" si="19"/>
        <v>1</v>
      </c>
      <c r="BG39" s="5">
        <f t="shared" si="19"/>
        <v>1</v>
      </c>
      <c r="BH39" s="5">
        <f t="shared" ref="BH39:BI39" si="20">1-(BH11/BH1)</f>
        <v>1</v>
      </c>
      <c r="BI39" s="5">
        <f t="shared" si="20"/>
        <v>1</v>
      </c>
    </row>
    <row r="40" spans="1:61" x14ac:dyDescent="0.35">
      <c r="A40" s="8" t="s">
        <v>43</v>
      </c>
      <c r="B40" s="5">
        <f>1-(B12/B1)</f>
        <v>1</v>
      </c>
      <c r="C40" s="5">
        <f t="shared" ref="C40:BA40" si="21">1-(C12/C1)</f>
        <v>1</v>
      </c>
      <c r="D40" s="5">
        <f t="shared" si="21"/>
        <v>1</v>
      </c>
      <c r="E40" s="5">
        <f t="shared" si="21"/>
        <v>1</v>
      </c>
      <c r="F40" s="5">
        <f t="shared" si="21"/>
        <v>1</v>
      </c>
      <c r="G40" s="5">
        <f t="shared" si="21"/>
        <v>1</v>
      </c>
      <c r="H40" s="5">
        <f t="shared" si="21"/>
        <v>1</v>
      </c>
      <c r="I40" s="5">
        <f t="shared" si="21"/>
        <v>1</v>
      </c>
      <c r="J40" s="5">
        <f t="shared" si="21"/>
        <v>1</v>
      </c>
      <c r="K40" s="5">
        <f t="shared" si="21"/>
        <v>1</v>
      </c>
      <c r="L40" s="5">
        <f t="shared" si="21"/>
        <v>1</v>
      </c>
      <c r="M40" s="5">
        <f t="shared" si="21"/>
        <v>1</v>
      </c>
      <c r="N40" s="5">
        <f t="shared" si="21"/>
        <v>1</v>
      </c>
      <c r="O40" s="5">
        <f t="shared" si="21"/>
        <v>1</v>
      </c>
      <c r="P40" s="5">
        <f t="shared" si="21"/>
        <v>1</v>
      </c>
      <c r="Q40" s="5">
        <f t="shared" si="21"/>
        <v>1</v>
      </c>
      <c r="R40" s="5">
        <f t="shared" si="21"/>
        <v>1</v>
      </c>
      <c r="S40" s="5">
        <f t="shared" si="21"/>
        <v>1</v>
      </c>
      <c r="T40" s="5">
        <f t="shared" si="21"/>
        <v>1</v>
      </c>
      <c r="U40" s="5">
        <f t="shared" si="21"/>
        <v>1</v>
      </c>
      <c r="V40" s="5">
        <f t="shared" si="21"/>
        <v>1</v>
      </c>
      <c r="W40" s="5">
        <f t="shared" si="21"/>
        <v>1</v>
      </c>
      <c r="X40" s="5">
        <f t="shared" si="21"/>
        <v>1</v>
      </c>
      <c r="Y40" s="5">
        <f t="shared" si="21"/>
        <v>0.97035714285714281</v>
      </c>
      <c r="Z40" s="5">
        <f t="shared" si="21"/>
        <v>1</v>
      </c>
      <c r="AA40" s="5">
        <f t="shared" si="21"/>
        <v>1</v>
      </c>
      <c r="AB40" s="5">
        <f t="shared" si="21"/>
        <v>0.97946428571428568</v>
      </c>
      <c r="AC40" s="5">
        <f t="shared" si="21"/>
        <v>1</v>
      </c>
      <c r="AD40" s="5">
        <f t="shared" si="21"/>
        <v>1</v>
      </c>
      <c r="AE40" s="5">
        <f t="shared" si="21"/>
        <v>1</v>
      </c>
      <c r="AF40" s="5">
        <f t="shared" si="21"/>
        <v>1</v>
      </c>
      <c r="AG40" s="5">
        <f t="shared" si="21"/>
        <v>1</v>
      </c>
      <c r="AH40" s="5">
        <f t="shared" si="21"/>
        <v>1</v>
      </c>
      <c r="AI40" s="5">
        <f t="shared" si="21"/>
        <v>1</v>
      </c>
      <c r="AJ40" s="5">
        <f t="shared" si="21"/>
        <v>1</v>
      </c>
      <c r="AK40" s="5">
        <f t="shared" si="21"/>
        <v>1</v>
      </c>
      <c r="AL40" s="5">
        <f t="shared" si="21"/>
        <v>1</v>
      </c>
      <c r="AM40" s="5">
        <f t="shared" si="21"/>
        <v>1</v>
      </c>
      <c r="AN40" s="5">
        <f t="shared" si="21"/>
        <v>1</v>
      </c>
      <c r="AO40" s="5">
        <f t="shared" si="21"/>
        <v>1</v>
      </c>
      <c r="AP40" s="5">
        <f t="shared" si="21"/>
        <v>1</v>
      </c>
      <c r="AQ40" s="5">
        <f t="shared" si="21"/>
        <v>1</v>
      </c>
      <c r="AR40" s="5">
        <f t="shared" si="21"/>
        <v>1</v>
      </c>
      <c r="AS40" s="5">
        <f t="shared" si="21"/>
        <v>1</v>
      </c>
      <c r="AT40" s="5">
        <f t="shared" si="21"/>
        <v>1</v>
      </c>
      <c r="AU40" s="5">
        <f t="shared" si="21"/>
        <v>1</v>
      </c>
      <c r="AV40" s="5">
        <f t="shared" si="21"/>
        <v>1</v>
      </c>
      <c r="AW40" s="5">
        <f t="shared" si="21"/>
        <v>1</v>
      </c>
      <c r="AX40" s="5">
        <f t="shared" si="21"/>
        <v>1</v>
      </c>
      <c r="AY40" s="5">
        <f t="shared" si="21"/>
        <v>1</v>
      </c>
      <c r="AZ40" s="5">
        <f t="shared" si="21"/>
        <v>1</v>
      </c>
      <c r="BA40" s="5">
        <f t="shared" si="21"/>
        <v>1</v>
      </c>
      <c r="BB40" s="5">
        <f t="shared" ref="BB40:BG40" si="22">1-(BB12/BB1)</f>
        <v>1</v>
      </c>
      <c r="BC40" s="5">
        <f t="shared" si="22"/>
        <v>1</v>
      </c>
      <c r="BD40" s="5">
        <f t="shared" si="22"/>
        <v>1</v>
      </c>
      <c r="BE40" s="5">
        <f t="shared" si="22"/>
        <v>1</v>
      </c>
      <c r="BF40" s="5">
        <f t="shared" si="22"/>
        <v>1</v>
      </c>
      <c r="BG40" s="5">
        <f t="shared" si="22"/>
        <v>1</v>
      </c>
      <c r="BH40" s="5">
        <f t="shared" ref="BH40:BI40" si="23">1-(BH12/BH1)</f>
        <v>1</v>
      </c>
      <c r="BI40" s="5">
        <f t="shared" si="23"/>
        <v>1</v>
      </c>
    </row>
    <row r="41" spans="1:61" x14ac:dyDescent="0.35">
      <c r="A41" s="8" t="s">
        <v>44</v>
      </c>
      <c r="B41" s="5">
        <f>1-(B13/B1)</f>
        <v>1</v>
      </c>
      <c r="C41" s="5">
        <f t="shared" ref="C41:BA41" si="24">1-(C13/C1)</f>
        <v>1</v>
      </c>
      <c r="D41" s="5">
        <f t="shared" si="24"/>
        <v>1</v>
      </c>
      <c r="E41" s="5">
        <f t="shared" si="24"/>
        <v>1</v>
      </c>
      <c r="F41" s="5">
        <f t="shared" si="24"/>
        <v>1</v>
      </c>
      <c r="G41" s="5">
        <f t="shared" si="24"/>
        <v>1</v>
      </c>
      <c r="H41" s="5">
        <f t="shared" si="24"/>
        <v>1</v>
      </c>
      <c r="I41" s="5">
        <f t="shared" si="24"/>
        <v>1</v>
      </c>
      <c r="J41" s="5">
        <f t="shared" si="24"/>
        <v>1</v>
      </c>
      <c r="K41" s="5">
        <f t="shared" si="24"/>
        <v>1</v>
      </c>
      <c r="L41" s="5">
        <f t="shared" si="24"/>
        <v>1</v>
      </c>
      <c r="M41" s="5">
        <f t="shared" si="24"/>
        <v>1</v>
      </c>
      <c r="N41" s="5">
        <f t="shared" si="24"/>
        <v>1</v>
      </c>
      <c r="O41" s="5">
        <f t="shared" si="24"/>
        <v>1</v>
      </c>
      <c r="P41" s="5">
        <f t="shared" si="24"/>
        <v>1</v>
      </c>
      <c r="Q41" s="5">
        <f t="shared" si="24"/>
        <v>1</v>
      </c>
      <c r="R41" s="5">
        <f t="shared" si="24"/>
        <v>1</v>
      </c>
      <c r="S41" s="5">
        <f t="shared" si="24"/>
        <v>1</v>
      </c>
      <c r="T41" s="5">
        <f t="shared" si="24"/>
        <v>1</v>
      </c>
      <c r="U41" s="5">
        <f t="shared" si="24"/>
        <v>1</v>
      </c>
      <c r="V41" s="5">
        <f t="shared" si="24"/>
        <v>1</v>
      </c>
      <c r="W41" s="5">
        <f t="shared" si="24"/>
        <v>1</v>
      </c>
      <c r="X41" s="5">
        <f t="shared" si="24"/>
        <v>1</v>
      </c>
      <c r="Y41" s="5">
        <f t="shared" si="24"/>
        <v>1</v>
      </c>
      <c r="Z41" s="5">
        <f t="shared" si="24"/>
        <v>1</v>
      </c>
      <c r="AA41" s="5">
        <f t="shared" si="24"/>
        <v>1</v>
      </c>
      <c r="AB41" s="5">
        <f t="shared" si="24"/>
        <v>0.97946428571428568</v>
      </c>
      <c r="AC41" s="5">
        <f t="shared" si="24"/>
        <v>1</v>
      </c>
      <c r="AD41" s="5">
        <f t="shared" si="24"/>
        <v>1</v>
      </c>
      <c r="AE41" s="5">
        <f t="shared" si="24"/>
        <v>1</v>
      </c>
      <c r="AF41" s="5">
        <f t="shared" si="24"/>
        <v>1</v>
      </c>
      <c r="AG41" s="5">
        <f t="shared" si="24"/>
        <v>1</v>
      </c>
      <c r="AH41" s="5">
        <f t="shared" si="24"/>
        <v>1</v>
      </c>
      <c r="AI41" s="5">
        <f t="shared" si="24"/>
        <v>1</v>
      </c>
      <c r="AJ41" s="5">
        <f t="shared" si="24"/>
        <v>1</v>
      </c>
      <c r="AK41" s="5">
        <f t="shared" si="24"/>
        <v>1</v>
      </c>
      <c r="AL41" s="5">
        <f t="shared" si="24"/>
        <v>1</v>
      </c>
      <c r="AM41" s="5">
        <f t="shared" si="24"/>
        <v>1</v>
      </c>
      <c r="AN41" s="5">
        <f t="shared" si="24"/>
        <v>1</v>
      </c>
      <c r="AO41" s="5">
        <f t="shared" si="24"/>
        <v>1</v>
      </c>
      <c r="AP41" s="5">
        <f t="shared" si="24"/>
        <v>1</v>
      </c>
      <c r="AQ41" s="5">
        <f t="shared" si="24"/>
        <v>1</v>
      </c>
      <c r="AR41" s="5">
        <f t="shared" si="24"/>
        <v>1</v>
      </c>
      <c r="AS41" s="5">
        <f t="shared" si="24"/>
        <v>1</v>
      </c>
      <c r="AT41" s="5">
        <f t="shared" si="24"/>
        <v>1</v>
      </c>
      <c r="AU41" s="5">
        <f t="shared" si="24"/>
        <v>1</v>
      </c>
      <c r="AV41" s="5">
        <f t="shared" si="24"/>
        <v>1</v>
      </c>
      <c r="AW41" s="5">
        <f t="shared" si="24"/>
        <v>1</v>
      </c>
      <c r="AX41" s="5">
        <f t="shared" si="24"/>
        <v>1</v>
      </c>
      <c r="AY41" s="5">
        <f t="shared" si="24"/>
        <v>1</v>
      </c>
      <c r="AZ41" s="5">
        <f t="shared" si="24"/>
        <v>1</v>
      </c>
      <c r="BA41" s="5">
        <f t="shared" si="24"/>
        <v>1</v>
      </c>
      <c r="BB41" s="5">
        <f t="shared" ref="BB41:BG41" si="25">1-(BB13/BB1)</f>
        <v>1</v>
      </c>
      <c r="BC41" s="5">
        <f t="shared" si="25"/>
        <v>1</v>
      </c>
      <c r="BD41" s="5">
        <f t="shared" si="25"/>
        <v>1</v>
      </c>
      <c r="BE41" s="5">
        <f t="shared" si="25"/>
        <v>1</v>
      </c>
      <c r="BF41" s="5">
        <f t="shared" si="25"/>
        <v>1</v>
      </c>
      <c r="BG41" s="5">
        <f t="shared" si="25"/>
        <v>1</v>
      </c>
      <c r="BH41" s="5">
        <f t="shared" ref="BH41:BI41" si="26">1-(BH13/BH1)</f>
        <v>1</v>
      </c>
      <c r="BI41" s="5">
        <f t="shared" si="26"/>
        <v>1</v>
      </c>
    </row>
    <row r="42" spans="1:61" x14ac:dyDescent="0.35">
      <c r="A42" s="8" t="s">
        <v>45</v>
      </c>
      <c r="B42" s="5">
        <f>1-(B14/B1)</f>
        <v>1</v>
      </c>
      <c r="C42" s="5">
        <f t="shared" ref="C42:BA42" si="27">1-(C14/C1)</f>
        <v>1</v>
      </c>
      <c r="D42" s="5">
        <f t="shared" si="27"/>
        <v>1</v>
      </c>
      <c r="E42" s="5">
        <f t="shared" si="27"/>
        <v>1</v>
      </c>
      <c r="F42" s="5">
        <f t="shared" si="27"/>
        <v>1</v>
      </c>
      <c r="G42" s="5">
        <f t="shared" si="27"/>
        <v>1</v>
      </c>
      <c r="H42" s="5">
        <f t="shared" si="27"/>
        <v>1</v>
      </c>
      <c r="I42" s="5">
        <f t="shared" si="27"/>
        <v>1</v>
      </c>
      <c r="J42" s="5">
        <f t="shared" si="27"/>
        <v>1</v>
      </c>
      <c r="K42" s="5">
        <f t="shared" si="27"/>
        <v>1</v>
      </c>
      <c r="L42" s="5">
        <f t="shared" si="27"/>
        <v>1</v>
      </c>
      <c r="M42" s="5">
        <f t="shared" si="27"/>
        <v>1</v>
      </c>
      <c r="N42" s="5">
        <f t="shared" si="27"/>
        <v>1</v>
      </c>
      <c r="O42" s="5">
        <f t="shared" si="27"/>
        <v>1</v>
      </c>
      <c r="P42" s="5">
        <f t="shared" si="27"/>
        <v>1</v>
      </c>
      <c r="Q42" s="5">
        <f t="shared" si="27"/>
        <v>1</v>
      </c>
      <c r="R42" s="5">
        <f t="shared" si="27"/>
        <v>1</v>
      </c>
      <c r="S42" s="5">
        <f t="shared" si="27"/>
        <v>1</v>
      </c>
      <c r="T42" s="5">
        <f t="shared" si="27"/>
        <v>1</v>
      </c>
      <c r="U42" s="5">
        <f t="shared" si="27"/>
        <v>1</v>
      </c>
      <c r="V42" s="5">
        <f t="shared" si="27"/>
        <v>1</v>
      </c>
      <c r="W42" s="5">
        <f t="shared" si="27"/>
        <v>1</v>
      </c>
      <c r="X42" s="5">
        <f t="shared" si="27"/>
        <v>1</v>
      </c>
      <c r="Y42" s="5">
        <f t="shared" si="27"/>
        <v>1</v>
      </c>
      <c r="Z42" s="5">
        <f t="shared" si="27"/>
        <v>1</v>
      </c>
      <c r="AA42" s="5">
        <f t="shared" si="27"/>
        <v>1</v>
      </c>
      <c r="AB42" s="5">
        <f>1-(AB14/AB1)</f>
        <v>0.97946428571428568</v>
      </c>
      <c r="AC42" s="5">
        <f t="shared" si="27"/>
        <v>1</v>
      </c>
      <c r="AD42" s="5">
        <f t="shared" si="27"/>
        <v>1</v>
      </c>
      <c r="AE42" s="5">
        <f t="shared" si="27"/>
        <v>1</v>
      </c>
      <c r="AF42" s="5">
        <f t="shared" si="27"/>
        <v>1</v>
      </c>
      <c r="AG42" s="5">
        <f t="shared" si="27"/>
        <v>1</v>
      </c>
      <c r="AH42" s="5">
        <f t="shared" si="27"/>
        <v>1</v>
      </c>
      <c r="AI42" s="5">
        <f t="shared" si="27"/>
        <v>1</v>
      </c>
      <c r="AJ42" s="5">
        <f t="shared" si="27"/>
        <v>1</v>
      </c>
      <c r="AK42" s="5">
        <f t="shared" si="27"/>
        <v>1</v>
      </c>
      <c r="AL42" s="5">
        <f t="shared" si="27"/>
        <v>1</v>
      </c>
      <c r="AM42" s="5">
        <f t="shared" si="27"/>
        <v>1</v>
      </c>
      <c r="AN42" s="5">
        <f t="shared" si="27"/>
        <v>1</v>
      </c>
      <c r="AO42" s="5">
        <f t="shared" si="27"/>
        <v>1</v>
      </c>
      <c r="AP42" s="5">
        <f t="shared" si="27"/>
        <v>1</v>
      </c>
      <c r="AQ42" s="5">
        <f t="shared" si="27"/>
        <v>1</v>
      </c>
      <c r="AR42" s="5">
        <f t="shared" si="27"/>
        <v>1</v>
      </c>
      <c r="AS42" s="5">
        <f t="shared" si="27"/>
        <v>1</v>
      </c>
      <c r="AT42" s="5">
        <f t="shared" si="27"/>
        <v>1</v>
      </c>
      <c r="AU42" s="5">
        <f t="shared" si="27"/>
        <v>1</v>
      </c>
      <c r="AV42" s="5">
        <f t="shared" si="27"/>
        <v>1</v>
      </c>
      <c r="AW42" s="5">
        <f t="shared" si="27"/>
        <v>1</v>
      </c>
      <c r="AX42" s="5">
        <f t="shared" si="27"/>
        <v>1</v>
      </c>
      <c r="AY42" s="5">
        <f t="shared" si="27"/>
        <v>1</v>
      </c>
      <c r="AZ42" s="5">
        <f t="shared" si="27"/>
        <v>1</v>
      </c>
      <c r="BA42" s="5">
        <f t="shared" si="27"/>
        <v>1</v>
      </c>
      <c r="BB42" s="5">
        <f t="shared" ref="BB42:BG42" si="28">1-(BB14/BB1)</f>
        <v>1</v>
      </c>
      <c r="BC42" s="5">
        <f t="shared" si="28"/>
        <v>1</v>
      </c>
      <c r="BD42" s="5">
        <f t="shared" si="28"/>
        <v>1</v>
      </c>
      <c r="BE42" s="5">
        <f t="shared" si="28"/>
        <v>1</v>
      </c>
      <c r="BF42" s="5">
        <f t="shared" si="28"/>
        <v>1</v>
      </c>
      <c r="BG42" s="5">
        <f t="shared" si="28"/>
        <v>1</v>
      </c>
      <c r="BH42" s="5">
        <f t="shared" ref="BH42:BI42" si="29">1-(BH14/BH1)</f>
        <v>1</v>
      </c>
      <c r="BI42" s="5">
        <f t="shared" si="29"/>
        <v>1</v>
      </c>
    </row>
    <row r="43" spans="1:61" x14ac:dyDescent="0.35">
      <c r="A43" s="8" t="s">
        <v>46</v>
      </c>
      <c r="B43" s="5">
        <f>1-(B15/B1)</f>
        <v>1</v>
      </c>
      <c r="C43" s="5">
        <f t="shared" ref="C43:BA43" si="30">1-(C15/C1)</f>
        <v>1</v>
      </c>
      <c r="D43" s="5">
        <f t="shared" si="30"/>
        <v>1</v>
      </c>
      <c r="E43" s="5">
        <f t="shared" si="30"/>
        <v>1</v>
      </c>
      <c r="F43" s="5">
        <f t="shared" si="30"/>
        <v>1</v>
      </c>
      <c r="G43" s="5">
        <f t="shared" si="30"/>
        <v>1</v>
      </c>
      <c r="H43" s="5">
        <f t="shared" si="30"/>
        <v>1</v>
      </c>
      <c r="I43" s="5">
        <f t="shared" si="30"/>
        <v>1</v>
      </c>
      <c r="J43" s="5">
        <f t="shared" si="30"/>
        <v>1</v>
      </c>
      <c r="K43" s="5">
        <f t="shared" si="30"/>
        <v>1</v>
      </c>
      <c r="L43" s="5">
        <f t="shared" si="30"/>
        <v>1</v>
      </c>
      <c r="M43" s="5">
        <f t="shared" si="30"/>
        <v>1</v>
      </c>
      <c r="N43" s="5">
        <f t="shared" si="30"/>
        <v>1</v>
      </c>
      <c r="O43" s="5">
        <f t="shared" si="30"/>
        <v>1</v>
      </c>
      <c r="P43" s="5">
        <f t="shared" si="30"/>
        <v>1</v>
      </c>
      <c r="Q43" s="5">
        <f t="shared" si="30"/>
        <v>1</v>
      </c>
      <c r="R43" s="5">
        <f t="shared" si="30"/>
        <v>1</v>
      </c>
      <c r="S43" s="5">
        <f t="shared" si="30"/>
        <v>1</v>
      </c>
      <c r="T43" s="5">
        <f t="shared" si="30"/>
        <v>1</v>
      </c>
      <c r="U43" s="5">
        <f t="shared" si="30"/>
        <v>1</v>
      </c>
      <c r="V43" s="5">
        <f t="shared" si="30"/>
        <v>1</v>
      </c>
      <c r="W43" s="5">
        <f t="shared" si="30"/>
        <v>1</v>
      </c>
      <c r="X43" s="5">
        <f t="shared" si="30"/>
        <v>1</v>
      </c>
      <c r="Y43" s="5">
        <f t="shared" si="30"/>
        <v>1</v>
      </c>
      <c r="Z43" s="5">
        <f t="shared" si="30"/>
        <v>1</v>
      </c>
      <c r="AA43" s="5">
        <f t="shared" si="30"/>
        <v>1</v>
      </c>
      <c r="AB43" s="5">
        <f t="shared" si="30"/>
        <v>0.97946428571428568</v>
      </c>
      <c r="AC43" s="5">
        <f t="shared" si="30"/>
        <v>1</v>
      </c>
      <c r="AD43" s="5">
        <f t="shared" si="30"/>
        <v>1</v>
      </c>
      <c r="AE43" s="5">
        <f t="shared" si="30"/>
        <v>1</v>
      </c>
      <c r="AF43" s="5">
        <f t="shared" si="30"/>
        <v>1</v>
      </c>
      <c r="AG43" s="5">
        <f t="shared" si="30"/>
        <v>1</v>
      </c>
      <c r="AH43" s="5">
        <f t="shared" si="30"/>
        <v>1</v>
      </c>
      <c r="AI43" s="5">
        <f t="shared" si="30"/>
        <v>1</v>
      </c>
      <c r="AJ43" s="5">
        <f t="shared" si="30"/>
        <v>1</v>
      </c>
      <c r="AK43" s="5">
        <f t="shared" si="30"/>
        <v>1</v>
      </c>
      <c r="AL43" s="5">
        <f t="shared" si="30"/>
        <v>1</v>
      </c>
      <c r="AM43" s="5">
        <f t="shared" si="30"/>
        <v>1</v>
      </c>
      <c r="AN43" s="5">
        <f t="shared" si="30"/>
        <v>1</v>
      </c>
      <c r="AO43" s="5">
        <f t="shared" si="30"/>
        <v>1</v>
      </c>
      <c r="AP43" s="5">
        <f t="shared" si="30"/>
        <v>1</v>
      </c>
      <c r="AQ43" s="5">
        <f t="shared" si="30"/>
        <v>1</v>
      </c>
      <c r="AR43" s="5">
        <f t="shared" si="30"/>
        <v>1</v>
      </c>
      <c r="AS43" s="5">
        <f t="shared" si="30"/>
        <v>1</v>
      </c>
      <c r="AT43" s="5">
        <f t="shared" si="30"/>
        <v>1</v>
      </c>
      <c r="AU43" s="5">
        <f t="shared" si="30"/>
        <v>1</v>
      </c>
      <c r="AV43" s="5">
        <f t="shared" si="30"/>
        <v>1</v>
      </c>
      <c r="AW43" s="5">
        <f t="shared" si="30"/>
        <v>1</v>
      </c>
      <c r="AX43" s="5">
        <f t="shared" si="30"/>
        <v>1</v>
      </c>
      <c r="AY43" s="5">
        <f t="shared" si="30"/>
        <v>1</v>
      </c>
      <c r="AZ43" s="5">
        <f t="shared" si="30"/>
        <v>1</v>
      </c>
      <c r="BA43" s="5">
        <f t="shared" si="30"/>
        <v>1</v>
      </c>
      <c r="BB43" s="5">
        <f t="shared" ref="BB43:BG43" si="31">1-(BB15/BB1)</f>
        <v>1</v>
      </c>
      <c r="BC43" s="5">
        <f t="shared" si="31"/>
        <v>1</v>
      </c>
      <c r="BD43" s="5">
        <f t="shared" si="31"/>
        <v>1</v>
      </c>
      <c r="BE43" s="5">
        <f t="shared" si="31"/>
        <v>1</v>
      </c>
      <c r="BF43" s="5">
        <f t="shared" si="31"/>
        <v>1</v>
      </c>
      <c r="BG43" s="5">
        <f t="shared" si="31"/>
        <v>1</v>
      </c>
      <c r="BH43" s="5">
        <f t="shared" ref="BH43:BI43" si="32">1-(BH15/BH1)</f>
        <v>1</v>
      </c>
      <c r="BI43" s="5">
        <f t="shared" si="32"/>
        <v>1</v>
      </c>
    </row>
    <row r="44" spans="1:61" x14ac:dyDescent="0.35">
      <c r="A44" s="8" t="s">
        <v>47</v>
      </c>
      <c r="B44" s="5">
        <f>1-(B16/B1)</f>
        <v>1</v>
      </c>
      <c r="C44" s="5">
        <f t="shared" ref="C44:BA44" si="33">1-(C16/C1)</f>
        <v>1</v>
      </c>
      <c r="D44" s="5">
        <f t="shared" si="33"/>
        <v>1</v>
      </c>
      <c r="E44" s="5">
        <f t="shared" si="33"/>
        <v>1</v>
      </c>
      <c r="F44" s="5">
        <f t="shared" si="33"/>
        <v>1</v>
      </c>
      <c r="G44" s="5">
        <f t="shared" si="33"/>
        <v>1</v>
      </c>
      <c r="H44" s="5">
        <f t="shared" si="33"/>
        <v>1</v>
      </c>
      <c r="I44" s="5">
        <f t="shared" si="33"/>
        <v>1</v>
      </c>
      <c r="J44" s="5">
        <f t="shared" si="33"/>
        <v>1</v>
      </c>
      <c r="K44" s="5">
        <f t="shared" si="33"/>
        <v>1</v>
      </c>
      <c r="L44" s="5">
        <f t="shared" si="33"/>
        <v>1</v>
      </c>
      <c r="M44" s="5">
        <f t="shared" si="33"/>
        <v>1</v>
      </c>
      <c r="N44" s="5">
        <f t="shared" si="33"/>
        <v>1</v>
      </c>
      <c r="O44" s="5">
        <f t="shared" si="33"/>
        <v>1</v>
      </c>
      <c r="P44" s="5">
        <f t="shared" si="33"/>
        <v>1</v>
      </c>
      <c r="Q44" s="5">
        <f t="shared" si="33"/>
        <v>1</v>
      </c>
      <c r="R44" s="5">
        <f t="shared" si="33"/>
        <v>1</v>
      </c>
      <c r="S44" s="5">
        <f t="shared" si="33"/>
        <v>1</v>
      </c>
      <c r="T44" s="5">
        <f t="shared" si="33"/>
        <v>1</v>
      </c>
      <c r="U44" s="5">
        <f t="shared" si="33"/>
        <v>1</v>
      </c>
      <c r="V44" s="5">
        <f t="shared" si="33"/>
        <v>1</v>
      </c>
      <c r="W44" s="5">
        <f t="shared" si="33"/>
        <v>1</v>
      </c>
      <c r="X44" s="5">
        <f t="shared" si="33"/>
        <v>1</v>
      </c>
      <c r="Y44" s="5">
        <f t="shared" si="33"/>
        <v>0.99208333333333332</v>
      </c>
      <c r="Z44" s="5">
        <f t="shared" si="33"/>
        <v>1</v>
      </c>
      <c r="AA44" s="5">
        <f t="shared" si="33"/>
        <v>0.99404761904761907</v>
      </c>
      <c r="AB44" s="5">
        <f t="shared" si="33"/>
        <v>0.97946428571428568</v>
      </c>
      <c r="AC44" s="5">
        <f t="shared" si="33"/>
        <v>1</v>
      </c>
      <c r="AD44" s="5">
        <f t="shared" si="33"/>
        <v>1</v>
      </c>
      <c r="AE44" s="5">
        <f t="shared" si="33"/>
        <v>1</v>
      </c>
      <c r="AF44" s="5">
        <f t="shared" si="33"/>
        <v>1</v>
      </c>
      <c r="AG44" s="5">
        <f t="shared" si="33"/>
        <v>1</v>
      </c>
      <c r="AH44" s="5">
        <f t="shared" si="33"/>
        <v>1</v>
      </c>
      <c r="AI44" s="5">
        <f t="shared" si="33"/>
        <v>1</v>
      </c>
      <c r="AJ44" s="5">
        <f t="shared" si="33"/>
        <v>1</v>
      </c>
      <c r="AK44" s="5">
        <f t="shared" si="33"/>
        <v>1</v>
      </c>
      <c r="AL44" s="5">
        <f t="shared" si="33"/>
        <v>1</v>
      </c>
      <c r="AM44" s="5">
        <f t="shared" si="33"/>
        <v>1</v>
      </c>
      <c r="AN44" s="5">
        <f t="shared" si="33"/>
        <v>1</v>
      </c>
      <c r="AO44" s="5">
        <f t="shared" si="33"/>
        <v>1</v>
      </c>
      <c r="AP44" s="5">
        <f t="shared" si="33"/>
        <v>1</v>
      </c>
      <c r="AQ44" s="5">
        <f t="shared" si="33"/>
        <v>1</v>
      </c>
      <c r="AR44" s="5">
        <f t="shared" si="33"/>
        <v>1</v>
      </c>
      <c r="AS44" s="5">
        <f t="shared" si="33"/>
        <v>1</v>
      </c>
      <c r="AT44" s="5">
        <f t="shared" si="33"/>
        <v>1</v>
      </c>
      <c r="AU44" s="5">
        <f t="shared" si="33"/>
        <v>1</v>
      </c>
      <c r="AV44" s="5">
        <f t="shared" si="33"/>
        <v>1</v>
      </c>
      <c r="AW44" s="5">
        <f t="shared" si="33"/>
        <v>1</v>
      </c>
      <c r="AX44" s="5">
        <f t="shared" si="33"/>
        <v>1</v>
      </c>
      <c r="AY44" s="5">
        <f t="shared" si="33"/>
        <v>1</v>
      </c>
      <c r="AZ44" s="5">
        <f t="shared" si="33"/>
        <v>1</v>
      </c>
      <c r="BA44" s="5">
        <f t="shared" si="33"/>
        <v>1</v>
      </c>
      <c r="BB44" s="5">
        <f t="shared" ref="BB44:BG44" si="34">1-(BB16/BB1)</f>
        <v>1</v>
      </c>
      <c r="BC44" s="5">
        <f t="shared" si="34"/>
        <v>1</v>
      </c>
      <c r="BD44" s="5">
        <f t="shared" si="34"/>
        <v>1</v>
      </c>
      <c r="BE44" s="5">
        <f t="shared" si="34"/>
        <v>1</v>
      </c>
      <c r="BF44" s="5">
        <f t="shared" si="34"/>
        <v>1</v>
      </c>
      <c r="BG44" s="5">
        <f t="shared" si="34"/>
        <v>1</v>
      </c>
      <c r="BH44" s="5">
        <f t="shared" ref="BH44:BI44" si="35">1-(BH16/BH1)</f>
        <v>1</v>
      </c>
      <c r="BI44" s="5">
        <f t="shared" si="35"/>
        <v>1</v>
      </c>
    </row>
    <row r="45" spans="1:61" x14ac:dyDescent="0.35">
      <c r="A45" s="60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</row>
    <row r="46" spans="1:61" s="2" customFormat="1" x14ac:dyDescent="0.35">
      <c r="A46" s="8" t="s">
        <v>48</v>
      </c>
      <c r="B46" s="5">
        <f>1-(B18/B1)</f>
        <v>1</v>
      </c>
      <c r="C46" s="5">
        <f t="shared" ref="C46:BA46" si="36">1-(C18/C1)</f>
        <v>1</v>
      </c>
      <c r="D46" s="5">
        <f t="shared" si="36"/>
        <v>1</v>
      </c>
      <c r="E46" s="5">
        <f t="shared" si="36"/>
        <v>1</v>
      </c>
      <c r="F46" s="5">
        <f t="shared" si="36"/>
        <v>1</v>
      </c>
      <c r="G46" s="5">
        <f t="shared" si="36"/>
        <v>1</v>
      </c>
      <c r="H46" s="5">
        <f t="shared" si="36"/>
        <v>1</v>
      </c>
      <c r="I46" s="5">
        <f t="shared" si="36"/>
        <v>1</v>
      </c>
      <c r="J46" s="5">
        <f t="shared" si="36"/>
        <v>1</v>
      </c>
      <c r="K46" s="5">
        <f t="shared" si="36"/>
        <v>1</v>
      </c>
      <c r="L46" s="5">
        <f t="shared" si="36"/>
        <v>1</v>
      </c>
      <c r="M46" s="5">
        <f t="shared" si="36"/>
        <v>1</v>
      </c>
      <c r="N46" s="5">
        <f t="shared" si="36"/>
        <v>1</v>
      </c>
      <c r="O46" s="5">
        <f t="shared" si="36"/>
        <v>1</v>
      </c>
      <c r="P46" s="5">
        <f t="shared" si="36"/>
        <v>1</v>
      </c>
      <c r="Q46" s="5">
        <f t="shared" si="36"/>
        <v>1</v>
      </c>
      <c r="R46" s="5">
        <f t="shared" si="36"/>
        <v>1</v>
      </c>
      <c r="S46" s="5">
        <f t="shared" si="36"/>
        <v>1</v>
      </c>
      <c r="T46" s="5">
        <f t="shared" si="36"/>
        <v>1</v>
      </c>
      <c r="U46" s="5">
        <f t="shared" si="36"/>
        <v>1</v>
      </c>
      <c r="V46" s="5">
        <f t="shared" si="36"/>
        <v>1</v>
      </c>
      <c r="W46" s="5">
        <f t="shared" si="36"/>
        <v>1</v>
      </c>
      <c r="X46" s="5">
        <f t="shared" si="36"/>
        <v>1</v>
      </c>
      <c r="Y46" s="5">
        <f t="shared" si="36"/>
        <v>1</v>
      </c>
      <c r="Z46" s="5">
        <f t="shared" si="36"/>
        <v>1</v>
      </c>
      <c r="AA46" s="5">
        <f t="shared" si="36"/>
        <v>1</v>
      </c>
      <c r="AB46" s="5">
        <f t="shared" si="36"/>
        <v>1</v>
      </c>
      <c r="AC46" s="5">
        <f t="shared" si="36"/>
        <v>1</v>
      </c>
      <c r="AD46" s="5">
        <f t="shared" si="36"/>
        <v>1</v>
      </c>
      <c r="AE46" s="5">
        <f t="shared" si="36"/>
        <v>1</v>
      </c>
      <c r="AF46" s="5">
        <f t="shared" si="36"/>
        <v>1</v>
      </c>
      <c r="AG46" s="5">
        <f t="shared" si="36"/>
        <v>1</v>
      </c>
      <c r="AH46" s="5">
        <f t="shared" si="36"/>
        <v>1</v>
      </c>
      <c r="AI46" s="5">
        <f t="shared" si="36"/>
        <v>1</v>
      </c>
      <c r="AJ46" s="5">
        <f t="shared" si="36"/>
        <v>1</v>
      </c>
      <c r="AK46" s="5">
        <f t="shared" si="36"/>
        <v>1</v>
      </c>
      <c r="AL46" s="5">
        <f t="shared" si="36"/>
        <v>1</v>
      </c>
      <c r="AM46" s="5">
        <f t="shared" si="36"/>
        <v>1</v>
      </c>
      <c r="AN46" s="5">
        <f t="shared" si="36"/>
        <v>1</v>
      </c>
      <c r="AO46" s="5">
        <f t="shared" si="36"/>
        <v>1</v>
      </c>
      <c r="AP46" s="5">
        <f t="shared" si="36"/>
        <v>1</v>
      </c>
      <c r="AQ46" s="5">
        <f t="shared" si="36"/>
        <v>1</v>
      </c>
      <c r="AR46" s="5">
        <f t="shared" si="36"/>
        <v>1</v>
      </c>
      <c r="AS46" s="5">
        <f t="shared" si="36"/>
        <v>1</v>
      </c>
      <c r="AT46" s="5">
        <f t="shared" si="36"/>
        <v>1</v>
      </c>
      <c r="AU46" s="5">
        <f t="shared" si="36"/>
        <v>1</v>
      </c>
      <c r="AV46" s="5">
        <f t="shared" si="36"/>
        <v>1</v>
      </c>
      <c r="AW46" s="5">
        <f t="shared" si="36"/>
        <v>1</v>
      </c>
      <c r="AX46" s="5">
        <f t="shared" si="36"/>
        <v>1</v>
      </c>
      <c r="AY46" s="5">
        <f t="shared" si="36"/>
        <v>1</v>
      </c>
      <c r="AZ46" s="5">
        <f t="shared" si="36"/>
        <v>1</v>
      </c>
      <c r="BA46" s="5">
        <f t="shared" si="36"/>
        <v>1</v>
      </c>
      <c r="BB46" s="5">
        <f t="shared" ref="BB46:BG46" si="37">1-(BB18/BB1)</f>
        <v>1</v>
      </c>
      <c r="BC46" s="5">
        <f t="shared" si="37"/>
        <v>1</v>
      </c>
      <c r="BD46" s="5">
        <f t="shared" si="37"/>
        <v>1</v>
      </c>
      <c r="BE46" s="5">
        <f t="shared" si="37"/>
        <v>1</v>
      </c>
      <c r="BF46" s="5">
        <f t="shared" si="37"/>
        <v>1</v>
      </c>
      <c r="BG46" s="5">
        <f t="shared" si="37"/>
        <v>1</v>
      </c>
      <c r="BH46" s="5">
        <f t="shared" ref="BH46:BI46" si="38">1-(BH18/BH1)</f>
        <v>0.98333333333333328</v>
      </c>
      <c r="BI46" s="5">
        <f t="shared" si="38"/>
        <v>1</v>
      </c>
    </row>
    <row r="47" spans="1:61" s="2" customFormat="1" x14ac:dyDescent="0.35">
      <c r="A47" s="8" t="s">
        <v>49</v>
      </c>
      <c r="B47" s="5">
        <f>1-(B19/B1)</f>
        <v>1</v>
      </c>
      <c r="C47" s="5">
        <f t="shared" ref="C47:BA47" si="39">1-(C19/C1)</f>
        <v>1</v>
      </c>
      <c r="D47" s="5">
        <f t="shared" si="39"/>
        <v>1</v>
      </c>
      <c r="E47" s="5">
        <f t="shared" si="39"/>
        <v>1</v>
      </c>
      <c r="F47" s="5">
        <f t="shared" si="39"/>
        <v>1</v>
      </c>
      <c r="G47" s="5">
        <f t="shared" si="39"/>
        <v>1</v>
      </c>
      <c r="H47" s="5">
        <f t="shared" si="39"/>
        <v>1</v>
      </c>
      <c r="I47" s="5">
        <f t="shared" si="39"/>
        <v>1</v>
      </c>
      <c r="J47" s="5">
        <f t="shared" si="39"/>
        <v>1</v>
      </c>
      <c r="K47" s="5">
        <f t="shared" si="39"/>
        <v>1</v>
      </c>
      <c r="L47" s="5">
        <f t="shared" si="39"/>
        <v>1</v>
      </c>
      <c r="M47" s="5">
        <f t="shared" si="39"/>
        <v>1</v>
      </c>
      <c r="N47" s="5">
        <f t="shared" si="39"/>
        <v>1</v>
      </c>
      <c r="O47" s="5">
        <f t="shared" si="39"/>
        <v>1</v>
      </c>
      <c r="P47" s="5">
        <f t="shared" si="39"/>
        <v>1</v>
      </c>
      <c r="Q47" s="5">
        <f t="shared" si="39"/>
        <v>1</v>
      </c>
      <c r="R47" s="5">
        <f t="shared" si="39"/>
        <v>1</v>
      </c>
      <c r="S47" s="5">
        <f t="shared" si="39"/>
        <v>1</v>
      </c>
      <c r="T47" s="5">
        <f t="shared" si="39"/>
        <v>1</v>
      </c>
      <c r="U47" s="5">
        <f t="shared" si="39"/>
        <v>1</v>
      </c>
      <c r="V47" s="5">
        <f t="shared" si="39"/>
        <v>1</v>
      </c>
      <c r="W47" s="5">
        <f t="shared" si="39"/>
        <v>1</v>
      </c>
      <c r="X47" s="5">
        <f t="shared" si="39"/>
        <v>1</v>
      </c>
      <c r="Y47" s="5">
        <f t="shared" si="39"/>
        <v>1</v>
      </c>
      <c r="Z47" s="5">
        <f t="shared" si="39"/>
        <v>1</v>
      </c>
      <c r="AA47" s="5">
        <f t="shared" si="39"/>
        <v>1</v>
      </c>
      <c r="AB47" s="5">
        <f t="shared" si="39"/>
        <v>1</v>
      </c>
      <c r="AC47" s="5">
        <f t="shared" si="39"/>
        <v>1</v>
      </c>
      <c r="AD47" s="5">
        <f t="shared" si="39"/>
        <v>1</v>
      </c>
      <c r="AE47" s="5">
        <f t="shared" si="39"/>
        <v>1</v>
      </c>
      <c r="AF47" s="5">
        <f t="shared" si="39"/>
        <v>1</v>
      </c>
      <c r="AG47" s="5">
        <f t="shared" si="39"/>
        <v>1</v>
      </c>
      <c r="AH47" s="5">
        <f t="shared" si="39"/>
        <v>1</v>
      </c>
      <c r="AI47" s="5">
        <f t="shared" si="39"/>
        <v>1</v>
      </c>
      <c r="AJ47" s="5">
        <f t="shared" si="39"/>
        <v>1</v>
      </c>
      <c r="AK47" s="5">
        <f t="shared" si="39"/>
        <v>1</v>
      </c>
      <c r="AL47" s="5">
        <f t="shared" si="39"/>
        <v>1</v>
      </c>
      <c r="AM47" s="5">
        <f t="shared" si="39"/>
        <v>1</v>
      </c>
      <c r="AN47" s="5">
        <f t="shared" si="39"/>
        <v>1</v>
      </c>
      <c r="AO47" s="5">
        <f t="shared" si="39"/>
        <v>1</v>
      </c>
      <c r="AP47" s="5">
        <f t="shared" si="39"/>
        <v>1</v>
      </c>
      <c r="AQ47" s="5">
        <f t="shared" si="39"/>
        <v>1</v>
      </c>
      <c r="AR47" s="5">
        <f t="shared" si="39"/>
        <v>1</v>
      </c>
      <c r="AS47" s="5">
        <f t="shared" si="39"/>
        <v>1</v>
      </c>
      <c r="AT47" s="5">
        <f t="shared" si="39"/>
        <v>1</v>
      </c>
      <c r="AU47" s="5">
        <f t="shared" si="39"/>
        <v>1</v>
      </c>
      <c r="AV47" s="5">
        <f t="shared" si="39"/>
        <v>1</v>
      </c>
      <c r="AW47" s="5">
        <f t="shared" si="39"/>
        <v>1</v>
      </c>
      <c r="AX47" s="5">
        <f t="shared" si="39"/>
        <v>1</v>
      </c>
      <c r="AY47" s="5">
        <f t="shared" si="39"/>
        <v>0.9642857142857143</v>
      </c>
      <c r="AZ47" s="5">
        <f t="shared" si="39"/>
        <v>1</v>
      </c>
      <c r="BA47" s="5">
        <f t="shared" si="39"/>
        <v>1</v>
      </c>
      <c r="BB47" s="5">
        <f t="shared" ref="BB47:BG47" si="40">1-(BB19/BB1)</f>
        <v>1</v>
      </c>
      <c r="BC47" s="5">
        <f t="shared" si="40"/>
        <v>1</v>
      </c>
      <c r="BD47" s="5">
        <f t="shared" si="40"/>
        <v>1</v>
      </c>
      <c r="BE47" s="5">
        <f t="shared" si="40"/>
        <v>1</v>
      </c>
      <c r="BF47" s="5">
        <f t="shared" si="40"/>
        <v>1</v>
      </c>
      <c r="BG47" s="5">
        <f t="shared" si="40"/>
        <v>1</v>
      </c>
      <c r="BH47" s="5">
        <f t="shared" ref="BH47:BI47" si="41">1-(BH19/BH1)</f>
        <v>1</v>
      </c>
      <c r="BI47" s="5">
        <f t="shared" si="41"/>
        <v>1</v>
      </c>
    </row>
    <row r="48" spans="1:61" s="2" customFormat="1" x14ac:dyDescent="0.35">
      <c r="A48" s="8" t="s">
        <v>50</v>
      </c>
      <c r="B48" s="5">
        <f>1-(B20/B1)</f>
        <v>1</v>
      </c>
      <c r="C48" s="5">
        <f t="shared" ref="C48:BA48" si="42">1-(C20/C1)</f>
        <v>1</v>
      </c>
      <c r="D48" s="5">
        <f t="shared" si="42"/>
        <v>1</v>
      </c>
      <c r="E48" s="5">
        <f t="shared" si="42"/>
        <v>1</v>
      </c>
      <c r="F48" s="5">
        <f t="shared" si="42"/>
        <v>1</v>
      </c>
      <c r="G48" s="5">
        <f t="shared" si="42"/>
        <v>1</v>
      </c>
      <c r="H48" s="5">
        <f t="shared" si="42"/>
        <v>1</v>
      </c>
      <c r="I48" s="5">
        <f t="shared" si="42"/>
        <v>1</v>
      </c>
      <c r="J48" s="5">
        <f t="shared" si="42"/>
        <v>1</v>
      </c>
      <c r="K48" s="5">
        <f t="shared" si="42"/>
        <v>1</v>
      </c>
      <c r="L48" s="5">
        <f t="shared" si="42"/>
        <v>1</v>
      </c>
      <c r="M48" s="5">
        <f t="shared" si="42"/>
        <v>1</v>
      </c>
      <c r="N48" s="5">
        <f t="shared" si="42"/>
        <v>1</v>
      </c>
      <c r="O48" s="5">
        <f t="shared" si="42"/>
        <v>1</v>
      </c>
      <c r="P48" s="5">
        <f t="shared" si="42"/>
        <v>1</v>
      </c>
      <c r="Q48" s="5">
        <f t="shared" si="42"/>
        <v>1</v>
      </c>
      <c r="R48" s="5">
        <f t="shared" si="42"/>
        <v>1</v>
      </c>
      <c r="S48" s="5">
        <f t="shared" si="42"/>
        <v>1</v>
      </c>
      <c r="T48" s="5">
        <f t="shared" si="42"/>
        <v>1</v>
      </c>
      <c r="U48" s="5">
        <f t="shared" si="42"/>
        <v>1</v>
      </c>
      <c r="V48" s="5">
        <f t="shared" si="42"/>
        <v>1</v>
      </c>
      <c r="W48" s="5">
        <f t="shared" si="42"/>
        <v>1</v>
      </c>
      <c r="X48" s="5">
        <f t="shared" si="42"/>
        <v>1</v>
      </c>
      <c r="Y48" s="5">
        <f t="shared" si="42"/>
        <v>1</v>
      </c>
      <c r="Z48" s="5">
        <f t="shared" si="42"/>
        <v>1</v>
      </c>
      <c r="AA48" s="5">
        <f t="shared" si="42"/>
        <v>1</v>
      </c>
      <c r="AB48" s="5">
        <f t="shared" si="42"/>
        <v>1</v>
      </c>
      <c r="AC48" s="5">
        <f t="shared" si="42"/>
        <v>1</v>
      </c>
      <c r="AD48" s="5">
        <f t="shared" si="42"/>
        <v>1</v>
      </c>
      <c r="AE48" s="5">
        <f t="shared" si="42"/>
        <v>1</v>
      </c>
      <c r="AF48" s="5">
        <f t="shared" si="42"/>
        <v>1</v>
      </c>
      <c r="AG48" s="5">
        <f t="shared" si="42"/>
        <v>1</v>
      </c>
      <c r="AH48" s="5">
        <f t="shared" si="42"/>
        <v>1</v>
      </c>
      <c r="AI48" s="5">
        <f t="shared" si="42"/>
        <v>1</v>
      </c>
      <c r="AJ48" s="5">
        <f t="shared" si="42"/>
        <v>1</v>
      </c>
      <c r="AK48" s="5">
        <f t="shared" si="42"/>
        <v>1</v>
      </c>
      <c r="AL48" s="5">
        <f t="shared" si="42"/>
        <v>1</v>
      </c>
      <c r="AM48" s="5">
        <f t="shared" si="42"/>
        <v>1</v>
      </c>
      <c r="AN48" s="5">
        <f t="shared" si="42"/>
        <v>1</v>
      </c>
      <c r="AO48" s="5">
        <f t="shared" si="42"/>
        <v>1</v>
      </c>
      <c r="AP48" s="5">
        <f t="shared" si="42"/>
        <v>1</v>
      </c>
      <c r="AQ48" s="5">
        <f t="shared" si="42"/>
        <v>1</v>
      </c>
      <c r="AR48" s="5">
        <f t="shared" si="42"/>
        <v>1</v>
      </c>
      <c r="AS48" s="5">
        <f t="shared" si="42"/>
        <v>1</v>
      </c>
      <c r="AT48" s="5">
        <f t="shared" si="42"/>
        <v>1</v>
      </c>
      <c r="AU48" s="5">
        <f t="shared" si="42"/>
        <v>1</v>
      </c>
      <c r="AV48" s="5">
        <f t="shared" si="42"/>
        <v>1</v>
      </c>
      <c r="AW48" s="5">
        <f t="shared" si="42"/>
        <v>1</v>
      </c>
      <c r="AX48" s="5">
        <f t="shared" si="42"/>
        <v>1</v>
      </c>
      <c r="AY48" s="5">
        <f t="shared" si="42"/>
        <v>1</v>
      </c>
      <c r="AZ48" s="5">
        <f t="shared" si="42"/>
        <v>1</v>
      </c>
      <c r="BA48" s="5">
        <f t="shared" si="42"/>
        <v>1</v>
      </c>
      <c r="BB48" s="5">
        <f t="shared" ref="BB48:BG48" si="43">1-(BB20/BB1)</f>
        <v>1</v>
      </c>
      <c r="BC48" s="5">
        <f t="shared" si="43"/>
        <v>1</v>
      </c>
      <c r="BD48" s="5">
        <f t="shared" si="43"/>
        <v>1</v>
      </c>
      <c r="BE48" s="5">
        <f t="shared" si="43"/>
        <v>1</v>
      </c>
      <c r="BF48" s="5">
        <f t="shared" si="43"/>
        <v>1</v>
      </c>
      <c r="BG48" s="5">
        <f t="shared" si="43"/>
        <v>1</v>
      </c>
      <c r="BH48" s="5">
        <f t="shared" ref="BH48:BI48" si="44">1-(BH20/BH1)</f>
        <v>1</v>
      </c>
      <c r="BI48" s="5">
        <f t="shared" si="44"/>
        <v>1</v>
      </c>
    </row>
    <row r="49" spans="1:61" s="2" customFormat="1" x14ac:dyDescent="0.35">
      <c r="A49" s="8" t="s">
        <v>51</v>
      </c>
      <c r="B49" s="5">
        <f>1-(B21/B1)</f>
        <v>1</v>
      </c>
      <c r="C49" s="5">
        <f t="shared" ref="C49:BA49" si="45">1-(C21/C1)</f>
        <v>1</v>
      </c>
      <c r="D49" s="5">
        <f t="shared" si="45"/>
        <v>1</v>
      </c>
      <c r="E49" s="5">
        <f t="shared" si="45"/>
        <v>1</v>
      </c>
      <c r="F49" s="5">
        <f t="shared" si="45"/>
        <v>1</v>
      </c>
      <c r="G49" s="5">
        <f t="shared" si="45"/>
        <v>1</v>
      </c>
      <c r="H49" s="5">
        <f t="shared" si="45"/>
        <v>1</v>
      </c>
      <c r="I49" s="5">
        <f t="shared" si="45"/>
        <v>1</v>
      </c>
      <c r="J49" s="5">
        <f t="shared" si="45"/>
        <v>1</v>
      </c>
      <c r="K49" s="5">
        <f t="shared" si="45"/>
        <v>1</v>
      </c>
      <c r="L49" s="5">
        <f t="shared" si="45"/>
        <v>1</v>
      </c>
      <c r="M49" s="5">
        <f t="shared" si="45"/>
        <v>0.94416666666666671</v>
      </c>
      <c r="N49" s="5">
        <f t="shared" si="45"/>
        <v>1</v>
      </c>
      <c r="O49" s="5">
        <f t="shared" si="45"/>
        <v>1</v>
      </c>
      <c r="P49" s="5">
        <f t="shared" si="45"/>
        <v>1</v>
      </c>
      <c r="Q49" s="5">
        <f t="shared" si="45"/>
        <v>1</v>
      </c>
      <c r="R49" s="5">
        <f t="shared" si="45"/>
        <v>1</v>
      </c>
      <c r="S49" s="5">
        <f t="shared" si="45"/>
        <v>1</v>
      </c>
      <c r="T49" s="5">
        <f t="shared" si="45"/>
        <v>1</v>
      </c>
      <c r="U49" s="5">
        <f t="shared" si="45"/>
        <v>1</v>
      </c>
      <c r="V49" s="5">
        <f t="shared" si="45"/>
        <v>1</v>
      </c>
      <c r="W49" s="5">
        <f t="shared" si="45"/>
        <v>1</v>
      </c>
      <c r="X49" s="5">
        <f t="shared" si="45"/>
        <v>1</v>
      </c>
      <c r="Y49" s="5">
        <f t="shared" si="45"/>
        <v>1</v>
      </c>
      <c r="Z49" s="5">
        <f t="shared" si="45"/>
        <v>1</v>
      </c>
      <c r="AA49" s="5">
        <f t="shared" si="45"/>
        <v>1</v>
      </c>
      <c r="AB49" s="5">
        <f t="shared" si="45"/>
        <v>1</v>
      </c>
      <c r="AC49" s="5">
        <f>1-(AC21/AC1)</f>
        <v>1</v>
      </c>
      <c r="AD49" s="5">
        <f t="shared" si="45"/>
        <v>1</v>
      </c>
      <c r="AE49" s="5">
        <f t="shared" si="45"/>
        <v>1</v>
      </c>
      <c r="AF49" s="5">
        <f t="shared" si="45"/>
        <v>1</v>
      </c>
      <c r="AG49" s="5">
        <f t="shared" si="45"/>
        <v>1</v>
      </c>
      <c r="AH49" s="5">
        <f t="shared" si="45"/>
        <v>1</v>
      </c>
      <c r="AI49" s="5">
        <f t="shared" si="45"/>
        <v>1</v>
      </c>
      <c r="AJ49" s="5">
        <f t="shared" si="45"/>
        <v>1</v>
      </c>
      <c r="AK49" s="5">
        <f t="shared" si="45"/>
        <v>1</v>
      </c>
      <c r="AL49" s="5">
        <f t="shared" si="45"/>
        <v>1</v>
      </c>
      <c r="AM49" s="5">
        <f t="shared" si="45"/>
        <v>1</v>
      </c>
      <c r="AN49" s="5">
        <f t="shared" si="45"/>
        <v>1</v>
      </c>
      <c r="AO49" s="5">
        <f t="shared" si="45"/>
        <v>1</v>
      </c>
      <c r="AP49" s="5">
        <f t="shared" si="45"/>
        <v>1</v>
      </c>
      <c r="AQ49" s="5">
        <f t="shared" si="45"/>
        <v>1</v>
      </c>
      <c r="AR49" s="5">
        <f t="shared" si="45"/>
        <v>1</v>
      </c>
      <c r="AS49" s="5">
        <f t="shared" si="45"/>
        <v>1</v>
      </c>
      <c r="AT49" s="5">
        <f t="shared" si="45"/>
        <v>1</v>
      </c>
      <c r="AU49" s="5">
        <f t="shared" si="45"/>
        <v>1</v>
      </c>
      <c r="AV49" s="5">
        <f t="shared" si="45"/>
        <v>1</v>
      </c>
      <c r="AW49" s="5">
        <f t="shared" si="45"/>
        <v>1</v>
      </c>
      <c r="AX49" s="5">
        <f t="shared" si="45"/>
        <v>1</v>
      </c>
      <c r="AY49" s="5">
        <f t="shared" si="45"/>
        <v>1</v>
      </c>
      <c r="AZ49" s="5">
        <f t="shared" si="45"/>
        <v>1</v>
      </c>
      <c r="BA49" s="5">
        <f t="shared" si="45"/>
        <v>1</v>
      </c>
      <c r="BB49" s="5">
        <f t="shared" ref="BB49:BG49" si="46">1-(BB21/BB1)</f>
        <v>1</v>
      </c>
      <c r="BC49" s="5">
        <f t="shared" si="46"/>
        <v>1</v>
      </c>
      <c r="BD49" s="5">
        <f t="shared" si="46"/>
        <v>1</v>
      </c>
      <c r="BE49" s="5">
        <f t="shared" si="46"/>
        <v>1</v>
      </c>
      <c r="BF49" s="5">
        <f t="shared" si="46"/>
        <v>1</v>
      </c>
      <c r="BG49" s="5">
        <f t="shared" si="46"/>
        <v>1</v>
      </c>
      <c r="BH49" s="5">
        <f t="shared" ref="BH49:BI49" si="47">1-(BH21/BH1)</f>
        <v>1</v>
      </c>
      <c r="BI49" s="5">
        <f t="shared" si="47"/>
        <v>1</v>
      </c>
    </row>
    <row r="50" spans="1:61" s="2" customFormat="1" x14ac:dyDescent="0.35">
      <c r="A50" s="8" t="s">
        <v>52</v>
      </c>
      <c r="B50" s="5">
        <f>1-(B22/B1)</f>
        <v>1</v>
      </c>
      <c r="C50" s="5">
        <f t="shared" ref="C50:BA50" si="48">1-(C22/C1)</f>
        <v>1</v>
      </c>
      <c r="D50" s="5">
        <f t="shared" si="48"/>
        <v>1</v>
      </c>
      <c r="E50" s="5">
        <f t="shared" si="48"/>
        <v>1</v>
      </c>
      <c r="F50" s="5">
        <f t="shared" si="48"/>
        <v>1</v>
      </c>
      <c r="G50" s="5">
        <f t="shared" si="48"/>
        <v>1</v>
      </c>
      <c r="H50" s="5">
        <f t="shared" si="48"/>
        <v>1</v>
      </c>
      <c r="I50" s="5">
        <f t="shared" si="48"/>
        <v>1</v>
      </c>
      <c r="J50" s="5">
        <f t="shared" si="48"/>
        <v>1</v>
      </c>
      <c r="K50" s="5">
        <f t="shared" si="48"/>
        <v>1</v>
      </c>
      <c r="L50" s="5">
        <f t="shared" si="48"/>
        <v>1</v>
      </c>
      <c r="M50" s="5">
        <f t="shared" si="48"/>
        <v>1</v>
      </c>
      <c r="N50" s="5">
        <f t="shared" si="48"/>
        <v>1</v>
      </c>
      <c r="O50" s="5">
        <f t="shared" si="48"/>
        <v>0.98184523809523805</v>
      </c>
      <c r="P50" s="5">
        <f t="shared" si="48"/>
        <v>1</v>
      </c>
      <c r="Q50" s="5">
        <f t="shared" si="48"/>
        <v>1</v>
      </c>
      <c r="R50" s="5">
        <f t="shared" si="48"/>
        <v>1</v>
      </c>
      <c r="S50" s="5">
        <f t="shared" si="48"/>
        <v>1</v>
      </c>
      <c r="T50" s="5">
        <f t="shared" si="48"/>
        <v>1</v>
      </c>
      <c r="U50" s="5">
        <f t="shared" si="48"/>
        <v>1</v>
      </c>
      <c r="V50" s="5">
        <f t="shared" si="48"/>
        <v>1</v>
      </c>
      <c r="W50" s="5">
        <f t="shared" si="48"/>
        <v>1</v>
      </c>
      <c r="X50" s="5">
        <f t="shared" si="48"/>
        <v>1</v>
      </c>
      <c r="Y50" s="5">
        <f t="shared" si="48"/>
        <v>1</v>
      </c>
      <c r="Z50" s="5">
        <f t="shared" si="48"/>
        <v>1</v>
      </c>
      <c r="AA50" s="5">
        <f t="shared" si="48"/>
        <v>1</v>
      </c>
      <c r="AB50" s="5">
        <f t="shared" si="48"/>
        <v>1</v>
      </c>
      <c r="AC50" s="5">
        <f t="shared" si="48"/>
        <v>1</v>
      </c>
      <c r="AD50" s="5">
        <f t="shared" si="48"/>
        <v>1</v>
      </c>
      <c r="AE50" s="5">
        <f t="shared" si="48"/>
        <v>1</v>
      </c>
      <c r="AF50" s="5">
        <f t="shared" si="48"/>
        <v>1</v>
      </c>
      <c r="AG50" s="5">
        <f t="shared" si="48"/>
        <v>1</v>
      </c>
      <c r="AH50" s="5">
        <f t="shared" si="48"/>
        <v>1</v>
      </c>
      <c r="AI50" s="5">
        <f t="shared" si="48"/>
        <v>1</v>
      </c>
      <c r="AJ50" s="5">
        <f t="shared" si="48"/>
        <v>1</v>
      </c>
      <c r="AK50" s="5">
        <f t="shared" si="48"/>
        <v>1</v>
      </c>
      <c r="AL50" s="5">
        <f t="shared" si="48"/>
        <v>1</v>
      </c>
      <c r="AM50" s="5">
        <f t="shared" si="48"/>
        <v>1</v>
      </c>
      <c r="AN50" s="5">
        <f t="shared" si="48"/>
        <v>1</v>
      </c>
      <c r="AO50" s="5">
        <f t="shared" si="48"/>
        <v>1</v>
      </c>
      <c r="AP50" s="5">
        <f t="shared" si="48"/>
        <v>1</v>
      </c>
      <c r="AQ50" s="5">
        <f t="shared" si="48"/>
        <v>1</v>
      </c>
      <c r="AR50" s="5">
        <f t="shared" si="48"/>
        <v>1</v>
      </c>
      <c r="AS50" s="5">
        <f t="shared" si="48"/>
        <v>1</v>
      </c>
      <c r="AT50" s="5">
        <f t="shared" si="48"/>
        <v>1</v>
      </c>
      <c r="AU50" s="5">
        <f t="shared" si="48"/>
        <v>1</v>
      </c>
      <c r="AV50" s="5">
        <f t="shared" si="48"/>
        <v>1</v>
      </c>
      <c r="AW50" s="5">
        <f t="shared" si="48"/>
        <v>1</v>
      </c>
      <c r="AX50" s="5">
        <f t="shared" si="48"/>
        <v>1</v>
      </c>
      <c r="AY50" s="5">
        <f t="shared" si="48"/>
        <v>1</v>
      </c>
      <c r="AZ50" s="5">
        <f t="shared" si="48"/>
        <v>1</v>
      </c>
      <c r="BA50" s="5">
        <f t="shared" si="48"/>
        <v>1</v>
      </c>
      <c r="BB50" s="5">
        <f t="shared" ref="BB50:BG50" si="49">1-(BB22/BB1)</f>
        <v>1</v>
      </c>
      <c r="BC50" s="5">
        <f t="shared" si="49"/>
        <v>1</v>
      </c>
      <c r="BD50" s="5">
        <f t="shared" si="49"/>
        <v>1</v>
      </c>
      <c r="BE50" s="5">
        <f t="shared" si="49"/>
        <v>1</v>
      </c>
      <c r="BF50" s="5">
        <f t="shared" si="49"/>
        <v>1</v>
      </c>
      <c r="BG50" s="5">
        <f t="shared" si="49"/>
        <v>1</v>
      </c>
      <c r="BH50" s="5">
        <f t="shared" ref="BH50:BI50" si="50">1-(BH22/BH1)</f>
        <v>1</v>
      </c>
      <c r="BI50" s="5">
        <f t="shared" si="50"/>
        <v>1</v>
      </c>
    </row>
  </sheetData>
  <conditionalFormatting sqref="B4:BI8">
    <cfRule type="containsBlanks" dxfId="255" priority="3">
      <formula>LEN(TRIM(B4))=0</formula>
    </cfRule>
    <cfRule type="cellIs" dxfId="254" priority="4" operator="greaterThan">
      <formula>0</formula>
    </cfRule>
  </conditionalFormatting>
  <conditionalFormatting sqref="B10:BI16">
    <cfRule type="containsBlanks" dxfId="253" priority="1">
      <formula>LEN(TRIM(B10))=0</formula>
    </cfRule>
    <cfRule type="cellIs" dxfId="252" priority="2" operator="greaterThan">
      <formula>0</formula>
    </cfRule>
  </conditionalFormatting>
  <conditionalFormatting sqref="B18:BI22">
    <cfRule type="containsBlanks" dxfId="251" priority="5">
      <formula>LEN(TRIM(B18))=0</formula>
    </cfRule>
    <cfRule type="cellIs" dxfId="250" priority="6" operator="greaterThan">
      <formula>0</formula>
    </cfRule>
  </conditionalFormatting>
  <conditionalFormatting sqref="B32:BI36">
    <cfRule type="cellIs" dxfId="249" priority="11" stopIfTrue="1" operator="lessThan">
      <formula>0.999</formula>
    </cfRule>
    <cfRule type="cellIs" dxfId="248" priority="12" stopIfTrue="1" operator="between">
      <formula>0.9989</formula>
      <formula>0.9993</formula>
    </cfRule>
    <cfRule type="cellIs" dxfId="247" priority="13" operator="greaterThanOrEqual">
      <formula>0.9994</formula>
    </cfRule>
    <cfRule type="cellIs" dxfId="246" priority="14" operator="greaterThan">
      <formula>0.9999</formula>
    </cfRule>
  </conditionalFormatting>
  <conditionalFormatting sqref="B38:BI44">
    <cfRule type="cellIs" dxfId="245" priority="7" stopIfTrue="1" operator="lessThan">
      <formula>0.999</formula>
    </cfRule>
    <cfRule type="cellIs" dxfId="244" priority="8" stopIfTrue="1" operator="between">
      <formula>0.9989</formula>
      <formula>0.9993</formula>
    </cfRule>
    <cfRule type="cellIs" dxfId="243" priority="9" operator="greaterThanOrEqual">
      <formula>0.9994</formula>
    </cfRule>
    <cfRule type="cellIs" dxfId="242" priority="10" operator="greaterThan">
      <formula>0.9999</formula>
    </cfRule>
  </conditionalFormatting>
  <conditionalFormatting sqref="B46:BI50">
    <cfRule type="cellIs" dxfId="241" priority="15" stopIfTrue="1" operator="lessThan">
      <formula>0.999</formula>
    </cfRule>
    <cfRule type="cellIs" dxfId="240" priority="16" stopIfTrue="1" operator="between">
      <formula>0.9989</formula>
      <formula>0.9993</formula>
    </cfRule>
    <cfRule type="cellIs" dxfId="239" priority="17" operator="greaterThanOrEqual">
      <formula>0.9994</formula>
    </cfRule>
    <cfRule type="cellIs" dxfId="238" priority="18" operator="greaterThan">
      <formula>0.9999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ADC3-00FB-491D-A528-42B237822742}">
  <sheetPr codeName="Sheet4">
    <tabColor theme="6" tint="0.59999389629810485"/>
  </sheetPr>
  <dimension ref="A1:BK56"/>
  <sheetViews>
    <sheetView tabSelected="1" workbookViewId="0">
      <selection activeCell="BO23" sqref="BO23"/>
    </sheetView>
  </sheetViews>
  <sheetFormatPr defaultColWidth="8.81640625" defaultRowHeight="14.5" x14ac:dyDescent="0.35"/>
  <cols>
    <col min="1" max="1" width="22.7265625" style="2" customWidth="1"/>
    <col min="2" max="53" width="10.54296875" style="2" hidden="1" customWidth="1"/>
    <col min="54" max="61" width="10.54296875" style="2" customWidth="1"/>
    <col min="62" max="16384" width="8.81640625" style="2"/>
  </cols>
  <sheetData>
    <row r="1" spans="1:63" x14ac:dyDescent="0.35">
      <c r="A1" s="9" t="s">
        <v>22</v>
      </c>
      <c r="B1" s="63">
        <v>72</v>
      </c>
      <c r="C1" s="1">
        <f>B1+168</f>
        <v>240</v>
      </c>
      <c r="D1" s="1">
        <f t="shared" ref="D1:F1" si="0">C1+168</f>
        <v>408</v>
      </c>
      <c r="E1" s="1">
        <f t="shared" si="0"/>
        <v>576</v>
      </c>
      <c r="F1" s="1">
        <f t="shared" si="0"/>
        <v>744</v>
      </c>
      <c r="G1" s="63">
        <v>168</v>
      </c>
      <c r="H1" s="1">
        <f t="shared" ref="H1:J1" si="1">G1+168</f>
        <v>336</v>
      </c>
      <c r="I1" s="1">
        <f t="shared" si="1"/>
        <v>504</v>
      </c>
      <c r="J1" s="1">
        <f t="shared" si="1"/>
        <v>672</v>
      </c>
      <c r="K1" s="63">
        <v>168</v>
      </c>
      <c r="L1" s="1">
        <f t="shared" ref="L1:N1" si="2">K1+168</f>
        <v>336</v>
      </c>
      <c r="M1" s="1">
        <f t="shared" si="2"/>
        <v>504</v>
      </c>
      <c r="N1" s="1">
        <f t="shared" si="2"/>
        <v>672</v>
      </c>
      <c r="O1" s="63">
        <v>96</v>
      </c>
      <c r="P1" s="1">
        <f>O1+168</f>
        <v>264</v>
      </c>
      <c r="Q1" s="1">
        <f t="shared" ref="Q1:R1" si="3">P1+168</f>
        <v>432</v>
      </c>
      <c r="R1" s="1">
        <f t="shared" si="3"/>
        <v>600</v>
      </c>
      <c r="S1" s="63">
        <v>48</v>
      </c>
      <c r="T1" s="1">
        <f>S1+168</f>
        <v>216</v>
      </c>
      <c r="U1" s="1">
        <f t="shared" ref="U1:W1" si="4">T1+168</f>
        <v>384</v>
      </c>
      <c r="V1" s="1">
        <f t="shared" si="4"/>
        <v>552</v>
      </c>
      <c r="W1" s="1">
        <f t="shared" si="4"/>
        <v>720</v>
      </c>
      <c r="X1" s="63">
        <v>144</v>
      </c>
      <c r="Y1" s="1">
        <f>X1+168</f>
        <v>312</v>
      </c>
      <c r="Z1" s="1">
        <f t="shared" ref="Z1:AA1" si="5">Y1+168</f>
        <v>480</v>
      </c>
      <c r="AA1" s="1">
        <f t="shared" si="5"/>
        <v>648</v>
      </c>
      <c r="AB1" s="63">
        <v>96</v>
      </c>
      <c r="AC1" s="1">
        <f>AB1+168</f>
        <v>264</v>
      </c>
      <c r="AD1" s="1">
        <f t="shared" ref="AD1:AE1" si="6">AC1+168</f>
        <v>432</v>
      </c>
      <c r="AE1" s="1">
        <f t="shared" si="6"/>
        <v>600</v>
      </c>
      <c r="AF1" s="63">
        <v>24</v>
      </c>
      <c r="AG1" s="1">
        <f>AF1+168</f>
        <v>192</v>
      </c>
      <c r="AH1" s="1">
        <f t="shared" ref="AH1:AJ1" si="7">AG1+168</f>
        <v>360</v>
      </c>
      <c r="AI1" s="1">
        <f t="shared" si="7"/>
        <v>528</v>
      </c>
      <c r="AJ1" s="1">
        <f t="shared" si="7"/>
        <v>696</v>
      </c>
      <c r="AK1" s="63">
        <v>120</v>
      </c>
      <c r="AL1" s="1">
        <f>AK1+168</f>
        <v>288</v>
      </c>
      <c r="AM1" s="1">
        <f t="shared" ref="AM1:AN1" si="8">AL1+168</f>
        <v>456</v>
      </c>
      <c r="AN1" s="1">
        <f t="shared" si="8"/>
        <v>624</v>
      </c>
      <c r="AO1" s="63">
        <v>72</v>
      </c>
      <c r="AP1" s="1">
        <f>AO1+168</f>
        <v>240</v>
      </c>
      <c r="AQ1" s="1">
        <f t="shared" ref="AQ1:AS1" si="9">AP1+168</f>
        <v>408</v>
      </c>
      <c r="AR1" s="1">
        <f t="shared" si="9"/>
        <v>576</v>
      </c>
      <c r="AS1" s="1">
        <f t="shared" si="9"/>
        <v>744</v>
      </c>
      <c r="AT1" s="63">
        <v>168</v>
      </c>
      <c r="AU1" s="1">
        <f>AT1+168</f>
        <v>336</v>
      </c>
      <c r="AV1" s="1">
        <f t="shared" ref="AV1:AW1" si="10">AU1+168</f>
        <v>504</v>
      </c>
      <c r="AW1" s="1">
        <f t="shared" si="10"/>
        <v>672</v>
      </c>
      <c r="AX1" s="63">
        <v>120</v>
      </c>
      <c r="AY1" s="1">
        <f>AX1+168</f>
        <v>288</v>
      </c>
      <c r="AZ1" s="1">
        <f>AY1+168</f>
        <v>456</v>
      </c>
      <c r="BA1" s="1">
        <f>AZ1+168</f>
        <v>624</v>
      </c>
      <c r="BB1" s="1">
        <v>48</v>
      </c>
      <c r="BC1" s="1">
        <f>BB1+168</f>
        <v>216</v>
      </c>
      <c r="BD1" s="1">
        <f>BC1+168</f>
        <v>384</v>
      </c>
      <c r="BE1" s="1">
        <f>BD1+168</f>
        <v>552</v>
      </c>
      <c r="BF1" s="1">
        <v>168</v>
      </c>
      <c r="BG1" s="1">
        <f t="shared" ref="BG1:BJ1" si="11">BF1+168</f>
        <v>336</v>
      </c>
      <c r="BH1" s="1">
        <f t="shared" si="11"/>
        <v>504</v>
      </c>
      <c r="BI1" s="1">
        <f t="shared" si="11"/>
        <v>672</v>
      </c>
      <c r="BJ1" s="1">
        <f t="shared" si="11"/>
        <v>840</v>
      </c>
      <c r="BK1" s="1"/>
    </row>
    <row r="2" spans="1:63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8</v>
      </c>
      <c r="BJ2" s="2">
        <v>9</v>
      </c>
    </row>
    <row r="3" spans="1:63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  <c r="BI3" s="64">
        <v>46073</v>
      </c>
      <c r="BJ3" s="64">
        <v>46074</v>
      </c>
    </row>
    <row r="4" spans="1:63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spans="1:63" x14ac:dyDescent="0.35">
      <c r="A5" s="8" t="s">
        <v>26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5</v>
      </c>
    </row>
    <row r="6" spans="1:63" x14ac:dyDescent="0.35">
      <c r="A6" s="8" t="s">
        <v>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</row>
    <row r="7" spans="1:63" x14ac:dyDescent="0.35">
      <c r="A7" s="8" t="s">
        <v>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5</v>
      </c>
    </row>
    <row r="8" spans="1:63" x14ac:dyDescent="0.35">
      <c r="A8" s="7" t="s">
        <v>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3" x14ac:dyDescent="0.35">
      <c r="A9" s="8" t="s">
        <v>26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4.9800000000000004</v>
      </c>
      <c r="Z9" s="4">
        <v>4.9800000000000004</v>
      </c>
      <c r="AA9" s="4">
        <v>4.9800000000000004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</row>
    <row r="10" spans="1:63" x14ac:dyDescent="0.35">
      <c r="A10" s="8" t="s">
        <v>27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4.9800000000000004</v>
      </c>
      <c r="Z10" s="4">
        <v>4.9800000000000004</v>
      </c>
      <c r="AA10" s="4">
        <v>4.9800000000000004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5</v>
      </c>
    </row>
    <row r="11" spans="1:63" x14ac:dyDescent="0.35">
      <c r="A11" s="8" t="s">
        <v>28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4.9800000000000004</v>
      </c>
      <c r="Z11" s="4">
        <v>4.9800000000000004</v>
      </c>
      <c r="AA11" s="4">
        <v>4.9800000000000004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</row>
    <row r="12" spans="1:63" x14ac:dyDescent="0.3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3" x14ac:dyDescent="0.35">
      <c r="A13" s="8" t="s">
        <v>26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</row>
    <row r="14" spans="1:63" x14ac:dyDescent="0.35">
      <c r="A14" s="8" t="s">
        <v>27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5</v>
      </c>
    </row>
    <row r="15" spans="1:63" x14ac:dyDescent="0.35">
      <c r="A15" s="8" t="s">
        <v>28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</row>
    <row r="16" spans="1:63" x14ac:dyDescent="0.35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35">
      <c r="A17" s="8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</row>
    <row r="18" spans="1:62" x14ac:dyDescent="0.35">
      <c r="A18" s="8" t="s">
        <v>27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5</v>
      </c>
    </row>
    <row r="19" spans="1:62" x14ac:dyDescent="0.35">
      <c r="A19" s="8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</row>
    <row r="20" spans="1:62" x14ac:dyDescent="0.35">
      <c r="A20" s="7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x14ac:dyDescent="0.35">
      <c r="A21" s="8" t="s">
        <v>26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</row>
    <row r="22" spans="1:62" x14ac:dyDescent="0.35">
      <c r="A22" s="7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x14ac:dyDescent="0.35">
      <c r="A23" s="8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1.33</v>
      </c>
      <c r="Z23" s="4">
        <v>1.33</v>
      </c>
      <c r="AA23" s="4">
        <v>2.33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</row>
    <row r="24" spans="1:62" x14ac:dyDescent="0.35">
      <c r="A24" s="8" t="s">
        <v>27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1.33</v>
      </c>
      <c r="Z24" s="4">
        <v>1.33</v>
      </c>
      <c r="AA24" s="4">
        <v>1.33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5</v>
      </c>
    </row>
    <row r="25" spans="1:62" x14ac:dyDescent="0.35">
      <c r="A25" s="8" t="s">
        <v>28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1.33</v>
      </c>
      <c r="Z25" s="4">
        <v>1.33</v>
      </c>
      <c r="AA25" s="4">
        <v>1.33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</row>
    <row r="26" spans="1:6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</row>
    <row r="29" spans="1:62" x14ac:dyDescent="0.35">
      <c r="A29" s="7" t="s">
        <v>34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</row>
    <row r="30" spans="1:62" hidden="1" x14ac:dyDescent="0.35">
      <c r="A30" s="7" t="s">
        <v>35</v>
      </c>
      <c r="B30" s="54">
        <v>1</v>
      </c>
      <c r="C30" s="54">
        <v>2</v>
      </c>
      <c r="D30" s="54">
        <v>3</v>
      </c>
      <c r="E30" s="54">
        <v>4</v>
      </c>
      <c r="F30" s="54">
        <v>5</v>
      </c>
      <c r="G30" s="54">
        <v>6</v>
      </c>
      <c r="H30" s="54">
        <v>7</v>
      </c>
      <c r="I30" s="54">
        <v>8</v>
      </c>
      <c r="J30" s="54">
        <v>9</v>
      </c>
      <c r="K30" s="54">
        <v>10</v>
      </c>
      <c r="L30" s="54">
        <v>11</v>
      </c>
      <c r="M30" s="54">
        <v>12</v>
      </c>
      <c r="N30" s="54">
        <v>13</v>
      </c>
      <c r="O30" s="54">
        <v>14</v>
      </c>
      <c r="P30" s="54">
        <v>15</v>
      </c>
      <c r="Q30" s="54">
        <v>16</v>
      </c>
      <c r="R30" s="54">
        <v>17</v>
      </c>
      <c r="S30" s="54">
        <v>18</v>
      </c>
      <c r="T30" s="54">
        <v>19</v>
      </c>
      <c r="U30" s="54">
        <v>20</v>
      </c>
      <c r="V30" s="54">
        <v>21</v>
      </c>
      <c r="W30" s="54">
        <v>22</v>
      </c>
      <c r="X30" s="54">
        <v>23</v>
      </c>
      <c r="Y30" s="54">
        <v>24</v>
      </c>
      <c r="Z30" s="54">
        <v>25</v>
      </c>
      <c r="AA30" s="54">
        <v>26</v>
      </c>
      <c r="AB30" s="54">
        <v>27</v>
      </c>
      <c r="AC30" s="54">
        <v>28</v>
      </c>
      <c r="AD30" s="54">
        <v>29</v>
      </c>
      <c r="AE30" s="54">
        <v>30</v>
      </c>
      <c r="AF30" s="54">
        <v>31</v>
      </c>
      <c r="AG30" s="54">
        <v>32</v>
      </c>
      <c r="AH30" s="54">
        <v>33</v>
      </c>
      <c r="AI30" s="54">
        <v>34</v>
      </c>
      <c r="AJ30" s="54">
        <v>35</v>
      </c>
      <c r="AK30" s="54">
        <v>36</v>
      </c>
      <c r="AL30" s="54">
        <v>37</v>
      </c>
      <c r="AM30" s="54">
        <v>38</v>
      </c>
      <c r="AN30" s="54">
        <v>39</v>
      </c>
      <c r="AO30" s="54">
        <v>40</v>
      </c>
      <c r="AP30" s="54">
        <v>41</v>
      </c>
      <c r="AQ30" s="54">
        <v>42</v>
      </c>
      <c r="AR30" s="54">
        <v>43</v>
      </c>
      <c r="AS30" s="54">
        <v>44</v>
      </c>
      <c r="AT30" s="54">
        <v>45</v>
      </c>
      <c r="AU30" s="54">
        <v>46</v>
      </c>
      <c r="AV30" s="54">
        <v>47</v>
      </c>
      <c r="AW30" s="54">
        <v>48</v>
      </c>
      <c r="AX30" s="54">
        <v>49</v>
      </c>
      <c r="AY30" s="54">
        <v>50</v>
      </c>
      <c r="AZ30" s="54">
        <v>51</v>
      </c>
      <c r="BA30" s="54">
        <v>52</v>
      </c>
      <c r="BB30" s="54"/>
      <c r="BC30" s="54"/>
      <c r="BD30" s="54"/>
      <c r="BE30" s="54"/>
      <c r="BF30" s="54"/>
      <c r="BG30" s="54"/>
      <c r="BH30" s="54"/>
      <c r="BI30" s="54"/>
      <c r="BJ30" s="54"/>
    </row>
    <row r="31" spans="1:62" hidden="1" x14ac:dyDescent="0.35">
      <c r="A31" s="8" t="s">
        <v>26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</row>
    <row r="32" spans="1:62" hidden="1" x14ac:dyDescent="0.35">
      <c r="A32" s="8" t="s">
        <v>27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</row>
    <row r="33" spans="1:62" hidden="1" x14ac:dyDescent="0.35">
      <c r="A33" s="8" t="s">
        <v>28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</row>
    <row r="34" spans="1:62" x14ac:dyDescent="0.35">
      <c r="A34" s="7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</row>
    <row r="35" spans="1:62" x14ac:dyDescent="0.35">
      <c r="A35" s="8" t="s">
        <v>26</v>
      </c>
      <c r="B35" s="5">
        <f>1-(B5/B1)</f>
        <v>1</v>
      </c>
      <c r="C35" s="5">
        <f t="shared" ref="C35:BA35" si="12">1-(C5/C1)</f>
        <v>1</v>
      </c>
      <c r="D35" s="5">
        <f t="shared" si="12"/>
        <v>1</v>
      </c>
      <c r="E35" s="5">
        <f t="shared" si="12"/>
        <v>1</v>
      </c>
      <c r="F35" s="5">
        <f t="shared" si="12"/>
        <v>1</v>
      </c>
      <c r="G35" s="5">
        <f t="shared" si="12"/>
        <v>1</v>
      </c>
      <c r="H35" s="5">
        <f t="shared" si="12"/>
        <v>1</v>
      </c>
      <c r="I35" s="5">
        <f t="shared" si="12"/>
        <v>1</v>
      </c>
      <c r="J35" s="5">
        <f t="shared" si="12"/>
        <v>1</v>
      </c>
      <c r="K35" s="5">
        <f t="shared" si="12"/>
        <v>1</v>
      </c>
      <c r="L35" s="5">
        <f t="shared" si="12"/>
        <v>1</v>
      </c>
      <c r="M35" s="5">
        <f t="shared" si="12"/>
        <v>1</v>
      </c>
      <c r="N35" s="5">
        <f t="shared" si="12"/>
        <v>1</v>
      </c>
      <c r="O35" s="5">
        <f t="shared" si="12"/>
        <v>1</v>
      </c>
      <c r="P35" s="5">
        <f t="shared" si="12"/>
        <v>1</v>
      </c>
      <c r="Q35" s="5">
        <f t="shared" si="12"/>
        <v>1</v>
      </c>
      <c r="R35" s="5">
        <f t="shared" si="12"/>
        <v>1</v>
      </c>
      <c r="S35" s="5">
        <f t="shared" si="12"/>
        <v>1</v>
      </c>
      <c r="T35" s="5">
        <f t="shared" si="12"/>
        <v>1</v>
      </c>
      <c r="U35" s="5">
        <f t="shared" si="12"/>
        <v>1</v>
      </c>
      <c r="V35" s="5">
        <f t="shared" si="12"/>
        <v>1</v>
      </c>
      <c r="W35" s="5">
        <f t="shared" si="12"/>
        <v>1</v>
      </c>
      <c r="X35" s="5">
        <f t="shared" si="12"/>
        <v>1</v>
      </c>
      <c r="Y35" s="5">
        <f t="shared" si="12"/>
        <v>1</v>
      </c>
      <c r="Z35" s="5">
        <f t="shared" si="12"/>
        <v>1</v>
      </c>
      <c r="AA35" s="5">
        <v>1</v>
      </c>
      <c r="AB35" s="5">
        <f t="shared" si="12"/>
        <v>1</v>
      </c>
      <c r="AC35" s="5">
        <f t="shared" si="12"/>
        <v>1</v>
      </c>
      <c r="AD35" s="5">
        <f t="shared" si="12"/>
        <v>1</v>
      </c>
      <c r="AE35" s="5">
        <f t="shared" si="12"/>
        <v>1</v>
      </c>
      <c r="AF35" s="5">
        <f t="shared" si="12"/>
        <v>1</v>
      </c>
      <c r="AG35" s="5">
        <f t="shared" si="12"/>
        <v>1</v>
      </c>
      <c r="AH35" s="5">
        <f t="shared" si="12"/>
        <v>1</v>
      </c>
      <c r="AI35" s="5">
        <f t="shared" si="12"/>
        <v>1</v>
      </c>
      <c r="AJ35" s="5">
        <f t="shared" si="12"/>
        <v>1</v>
      </c>
      <c r="AK35" s="5">
        <f t="shared" si="12"/>
        <v>1</v>
      </c>
      <c r="AL35" s="5">
        <f t="shared" si="12"/>
        <v>1</v>
      </c>
      <c r="AM35" s="5">
        <f t="shared" si="12"/>
        <v>1</v>
      </c>
      <c r="AN35" s="5">
        <f t="shared" si="12"/>
        <v>1</v>
      </c>
      <c r="AO35" s="5">
        <f t="shared" si="12"/>
        <v>1</v>
      </c>
      <c r="AP35" s="5">
        <f t="shared" si="12"/>
        <v>1</v>
      </c>
      <c r="AQ35" s="5">
        <f t="shared" si="12"/>
        <v>1</v>
      </c>
      <c r="AR35" s="5">
        <f t="shared" si="12"/>
        <v>1</v>
      </c>
      <c r="AS35" s="5">
        <f t="shared" si="12"/>
        <v>1</v>
      </c>
      <c r="AT35" s="5">
        <f t="shared" si="12"/>
        <v>1</v>
      </c>
      <c r="AU35" s="5">
        <f t="shared" si="12"/>
        <v>1</v>
      </c>
      <c r="AV35" s="5">
        <f t="shared" si="12"/>
        <v>1</v>
      </c>
      <c r="AW35" s="5">
        <f t="shared" si="12"/>
        <v>1</v>
      </c>
      <c r="AX35" s="5">
        <f t="shared" si="12"/>
        <v>1</v>
      </c>
      <c r="AY35" s="5">
        <f t="shared" si="12"/>
        <v>1</v>
      </c>
      <c r="AZ35" s="5">
        <f t="shared" si="12"/>
        <v>1</v>
      </c>
      <c r="BA35" s="5">
        <f t="shared" si="12"/>
        <v>1</v>
      </c>
      <c r="BB35" s="5">
        <f t="shared" ref="BB35:BG35" si="13">1-(BB5/BB1)</f>
        <v>1</v>
      </c>
      <c r="BC35" s="5">
        <f t="shared" si="13"/>
        <v>1</v>
      </c>
      <c r="BD35" s="5">
        <f t="shared" si="13"/>
        <v>1</v>
      </c>
      <c r="BE35" s="5">
        <f t="shared" si="13"/>
        <v>1</v>
      </c>
      <c r="BF35" s="5">
        <f t="shared" si="13"/>
        <v>1</v>
      </c>
      <c r="BG35" s="5">
        <f t="shared" si="13"/>
        <v>1</v>
      </c>
      <c r="BH35" s="5">
        <f t="shared" ref="BH35:BI35" si="14">1-(BH5/BH1)</f>
        <v>1</v>
      </c>
      <c r="BI35" s="5">
        <f t="shared" si="14"/>
        <v>1</v>
      </c>
      <c r="BJ35" s="5">
        <f t="shared" ref="BJ35" si="15">1-(BJ5/BJ1)</f>
        <v>0.99404761904761907</v>
      </c>
    </row>
    <row r="36" spans="1:62" x14ac:dyDescent="0.35">
      <c r="A36" s="8" t="s">
        <v>27</v>
      </c>
      <c r="B36" s="5">
        <f>1-(B6/B1)</f>
        <v>1</v>
      </c>
      <c r="C36" s="5">
        <f t="shared" ref="C36:BA36" si="16">1-(C6/C1)</f>
        <v>1</v>
      </c>
      <c r="D36" s="5">
        <f t="shared" si="16"/>
        <v>1</v>
      </c>
      <c r="E36" s="5">
        <f t="shared" si="16"/>
        <v>1</v>
      </c>
      <c r="F36" s="5">
        <f t="shared" si="16"/>
        <v>1</v>
      </c>
      <c r="G36" s="5">
        <f t="shared" si="16"/>
        <v>1</v>
      </c>
      <c r="H36" s="5">
        <f t="shared" si="16"/>
        <v>1</v>
      </c>
      <c r="I36" s="5">
        <f t="shared" si="16"/>
        <v>1</v>
      </c>
      <c r="J36" s="5">
        <f t="shared" si="16"/>
        <v>1</v>
      </c>
      <c r="K36" s="5">
        <f t="shared" si="16"/>
        <v>1</v>
      </c>
      <c r="L36" s="5">
        <f t="shared" si="16"/>
        <v>1</v>
      </c>
      <c r="M36" s="5">
        <f t="shared" si="16"/>
        <v>1</v>
      </c>
      <c r="N36" s="5">
        <f t="shared" si="16"/>
        <v>1</v>
      </c>
      <c r="O36" s="5">
        <f t="shared" si="16"/>
        <v>1</v>
      </c>
      <c r="P36" s="5">
        <f t="shared" si="16"/>
        <v>1</v>
      </c>
      <c r="Q36" s="5">
        <f t="shared" si="16"/>
        <v>1</v>
      </c>
      <c r="R36" s="5">
        <f t="shared" si="16"/>
        <v>1</v>
      </c>
      <c r="S36" s="5">
        <f t="shared" si="16"/>
        <v>1</v>
      </c>
      <c r="T36" s="5">
        <f t="shared" si="16"/>
        <v>1</v>
      </c>
      <c r="U36" s="5">
        <f t="shared" si="16"/>
        <v>1</v>
      </c>
      <c r="V36" s="5">
        <f t="shared" si="16"/>
        <v>1</v>
      </c>
      <c r="W36" s="5">
        <f t="shared" si="16"/>
        <v>1</v>
      </c>
      <c r="X36" s="5">
        <f t="shared" si="16"/>
        <v>1</v>
      </c>
      <c r="Y36" s="5">
        <f t="shared" si="16"/>
        <v>1</v>
      </c>
      <c r="Z36" s="5">
        <f t="shared" si="16"/>
        <v>1</v>
      </c>
      <c r="AA36" s="5">
        <v>1</v>
      </c>
      <c r="AB36" s="5">
        <f t="shared" si="16"/>
        <v>1</v>
      </c>
      <c r="AC36" s="5">
        <f t="shared" si="16"/>
        <v>1</v>
      </c>
      <c r="AD36" s="5">
        <f t="shared" si="16"/>
        <v>1</v>
      </c>
      <c r="AE36" s="5">
        <f t="shared" si="16"/>
        <v>1</v>
      </c>
      <c r="AF36" s="5">
        <f t="shared" si="16"/>
        <v>1</v>
      </c>
      <c r="AG36" s="5">
        <f t="shared" si="16"/>
        <v>1</v>
      </c>
      <c r="AH36" s="5">
        <f t="shared" si="16"/>
        <v>1</v>
      </c>
      <c r="AI36" s="5">
        <f t="shared" si="16"/>
        <v>1</v>
      </c>
      <c r="AJ36" s="5">
        <f t="shared" si="16"/>
        <v>1</v>
      </c>
      <c r="AK36" s="5">
        <f t="shared" si="16"/>
        <v>1</v>
      </c>
      <c r="AL36" s="5">
        <f t="shared" si="16"/>
        <v>1</v>
      </c>
      <c r="AM36" s="5">
        <f t="shared" si="16"/>
        <v>1</v>
      </c>
      <c r="AN36" s="5">
        <f t="shared" si="16"/>
        <v>1</v>
      </c>
      <c r="AO36" s="5">
        <f t="shared" si="16"/>
        <v>1</v>
      </c>
      <c r="AP36" s="5">
        <f t="shared" si="16"/>
        <v>1</v>
      </c>
      <c r="AQ36" s="5">
        <f t="shared" si="16"/>
        <v>1</v>
      </c>
      <c r="AR36" s="5">
        <f t="shared" si="16"/>
        <v>1</v>
      </c>
      <c r="AS36" s="5">
        <f t="shared" si="16"/>
        <v>1</v>
      </c>
      <c r="AT36" s="5">
        <f t="shared" si="16"/>
        <v>1</v>
      </c>
      <c r="AU36" s="5">
        <f t="shared" si="16"/>
        <v>1</v>
      </c>
      <c r="AV36" s="5">
        <f t="shared" si="16"/>
        <v>1</v>
      </c>
      <c r="AW36" s="5">
        <f t="shared" si="16"/>
        <v>1</v>
      </c>
      <c r="AX36" s="5">
        <f t="shared" si="16"/>
        <v>1</v>
      </c>
      <c r="AY36" s="5">
        <f t="shared" si="16"/>
        <v>1</v>
      </c>
      <c r="AZ36" s="5">
        <f t="shared" si="16"/>
        <v>1</v>
      </c>
      <c r="BA36" s="5">
        <f t="shared" si="16"/>
        <v>1</v>
      </c>
      <c r="BB36" s="5">
        <f t="shared" ref="BB36:BG36" si="17">1-(BB6/BB1)</f>
        <v>1</v>
      </c>
      <c r="BC36" s="5">
        <f t="shared" si="17"/>
        <v>1</v>
      </c>
      <c r="BD36" s="5">
        <f t="shared" si="17"/>
        <v>1</v>
      </c>
      <c r="BE36" s="5">
        <f t="shared" si="17"/>
        <v>1</v>
      </c>
      <c r="BF36" s="5">
        <f t="shared" si="17"/>
        <v>1</v>
      </c>
      <c r="BG36" s="5">
        <f t="shared" si="17"/>
        <v>1</v>
      </c>
      <c r="BH36" s="5">
        <f t="shared" ref="BH36:BI36" si="18">1-(BH6/BH1)</f>
        <v>1</v>
      </c>
      <c r="BI36" s="5">
        <f t="shared" si="18"/>
        <v>1</v>
      </c>
      <c r="BJ36" s="5">
        <f t="shared" ref="BJ36" si="19">1-(BJ6/BJ1)</f>
        <v>1</v>
      </c>
    </row>
    <row r="37" spans="1:62" x14ac:dyDescent="0.35">
      <c r="A37" s="8" t="s">
        <v>28</v>
      </c>
      <c r="B37" s="5">
        <f>1-(B7/B1)</f>
        <v>1</v>
      </c>
      <c r="C37" s="5">
        <f t="shared" ref="C37:BA37" si="20">1-(C7/C1)</f>
        <v>1</v>
      </c>
      <c r="D37" s="5">
        <f t="shared" si="20"/>
        <v>1</v>
      </c>
      <c r="E37" s="5">
        <f t="shared" si="20"/>
        <v>1</v>
      </c>
      <c r="F37" s="5">
        <f t="shared" si="20"/>
        <v>1</v>
      </c>
      <c r="G37" s="5">
        <f t="shared" si="20"/>
        <v>1</v>
      </c>
      <c r="H37" s="5">
        <f t="shared" si="20"/>
        <v>1</v>
      </c>
      <c r="I37" s="5">
        <f t="shared" si="20"/>
        <v>1</v>
      </c>
      <c r="J37" s="5">
        <f t="shared" si="20"/>
        <v>1</v>
      </c>
      <c r="K37" s="5">
        <f t="shared" si="20"/>
        <v>1</v>
      </c>
      <c r="L37" s="5">
        <f t="shared" si="20"/>
        <v>1</v>
      </c>
      <c r="M37" s="5">
        <f t="shared" si="20"/>
        <v>1</v>
      </c>
      <c r="N37" s="5">
        <f t="shared" si="20"/>
        <v>1</v>
      </c>
      <c r="O37" s="5">
        <f t="shared" si="20"/>
        <v>1</v>
      </c>
      <c r="P37" s="5">
        <f t="shared" si="20"/>
        <v>1</v>
      </c>
      <c r="Q37" s="5">
        <f t="shared" si="20"/>
        <v>1</v>
      </c>
      <c r="R37" s="5">
        <f t="shared" si="20"/>
        <v>1</v>
      </c>
      <c r="S37" s="5">
        <f t="shared" si="20"/>
        <v>1</v>
      </c>
      <c r="T37" s="5">
        <f t="shared" si="20"/>
        <v>1</v>
      </c>
      <c r="U37" s="5">
        <f t="shared" si="20"/>
        <v>1</v>
      </c>
      <c r="V37" s="5">
        <f t="shared" si="20"/>
        <v>1</v>
      </c>
      <c r="W37" s="5">
        <f t="shared" si="20"/>
        <v>1</v>
      </c>
      <c r="X37" s="5">
        <f t="shared" si="20"/>
        <v>1</v>
      </c>
      <c r="Y37" s="5">
        <f t="shared" si="20"/>
        <v>1</v>
      </c>
      <c r="Z37" s="5">
        <f t="shared" si="20"/>
        <v>1</v>
      </c>
      <c r="AA37" s="5">
        <v>1</v>
      </c>
      <c r="AB37" s="5">
        <f t="shared" si="20"/>
        <v>1</v>
      </c>
      <c r="AC37" s="5">
        <f t="shared" si="20"/>
        <v>1</v>
      </c>
      <c r="AD37" s="5">
        <f t="shared" si="20"/>
        <v>1</v>
      </c>
      <c r="AE37" s="5">
        <f t="shared" si="20"/>
        <v>1</v>
      </c>
      <c r="AF37" s="5">
        <f t="shared" si="20"/>
        <v>1</v>
      </c>
      <c r="AG37" s="5">
        <f t="shared" si="20"/>
        <v>1</v>
      </c>
      <c r="AH37" s="5">
        <f t="shared" si="20"/>
        <v>1</v>
      </c>
      <c r="AI37" s="5">
        <f t="shared" si="20"/>
        <v>1</v>
      </c>
      <c r="AJ37" s="5">
        <f t="shared" si="20"/>
        <v>1</v>
      </c>
      <c r="AK37" s="5">
        <f t="shared" si="20"/>
        <v>1</v>
      </c>
      <c r="AL37" s="5">
        <f t="shared" si="20"/>
        <v>1</v>
      </c>
      <c r="AM37" s="5">
        <f t="shared" si="20"/>
        <v>1</v>
      </c>
      <c r="AN37" s="5">
        <f t="shared" si="20"/>
        <v>1</v>
      </c>
      <c r="AO37" s="5">
        <f t="shared" si="20"/>
        <v>1</v>
      </c>
      <c r="AP37" s="5">
        <f t="shared" si="20"/>
        <v>1</v>
      </c>
      <c r="AQ37" s="5">
        <f t="shared" si="20"/>
        <v>1</v>
      </c>
      <c r="AR37" s="5">
        <f t="shared" si="20"/>
        <v>1</v>
      </c>
      <c r="AS37" s="5">
        <f t="shared" si="20"/>
        <v>1</v>
      </c>
      <c r="AT37" s="5">
        <f t="shared" si="20"/>
        <v>1</v>
      </c>
      <c r="AU37" s="5">
        <f t="shared" si="20"/>
        <v>1</v>
      </c>
      <c r="AV37" s="5">
        <f t="shared" si="20"/>
        <v>1</v>
      </c>
      <c r="AW37" s="5">
        <f t="shared" si="20"/>
        <v>1</v>
      </c>
      <c r="AX37" s="5">
        <f t="shared" si="20"/>
        <v>1</v>
      </c>
      <c r="AY37" s="5">
        <f t="shared" si="20"/>
        <v>1</v>
      </c>
      <c r="AZ37" s="5">
        <f t="shared" si="20"/>
        <v>1</v>
      </c>
      <c r="BA37" s="5">
        <f t="shared" si="20"/>
        <v>1</v>
      </c>
      <c r="BB37" s="5">
        <f t="shared" ref="BB37:BG37" si="21">1-(BB7/BB1)</f>
        <v>1</v>
      </c>
      <c r="BC37" s="5">
        <f t="shared" si="21"/>
        <v>1</v>
      </c>
      <c r="BD37" s="5">
        <f t="shared" si="21"/>
        <v>1</v>
      </c>
      <c r="BE37" s="5">
        <f t="shared" si="21"/>
        <v>1</v>
      </c>
      <c r="BF37" s="5">
        <f t="shared" si="21"/>
        <v>1</v>
      </c>
      <c r="BG37" s="5">
        <f t="shared" si="21"/>
        <v>1</v>
      </c>
      <c r="BH37" s="5">
        <f t="shared" ref="BH37:BI37" si="22">1-(BH7/BH1)</f>
        <v>1</v>
      </c>
      <c r="BI37" s="5">
        <f t="shared" si="22"/>
        <v>1</v>
      </c>
      <c r="BJ37" s="5">
        <f t="shared" ref="BJ37" si="23">1-(BJ7/BJ1)</f>
        <v>0.99404761904761907</v>
      </c>
    </row>
    <row r="38" spans="1:62" x14ac:dyDescent="0.35">
      <c r="A38" s="7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 spans="1:62" x14ac:dyDescent="0.35">
      <c r="A39" s="8" t="s">
        <v>26</v>
      </c>
      <c r="B39" s="5">
        <f>1-(B9/B1)</f>
        <v>1</v>
      </c>
      <c r="C39" s="5">
        <f t="shared" ref="C39:BA39" si="24">1-(C9/C1)</f>
        <v>1</v>
      </c>
      <c r="D39" s="5">
        <f t="shared" si="24"/>
        <v>1</v>
      </c>
      <c r="E39" s="5">
        <f t="shared" si="24"/>
        <v>1</v>
      </c>
      <c r="F39" s="5">
        <f t="shared" si="24"/>
        <v>1</v>
      </c>
      <c r="G39" s="5">
        <f t="shared" si="24"/>
        <v>1</v>
      </c>
      <c r="H39" s="5">
        <f t="shared" si="24"/>
        <v>1</v>
      </c>
      <c r="I39" s="5">
        <f t="shared" si="24"/>
        <v>1</v>
      </c>
      <c r="J39" s="5">
        <f t="shared" si="24"/>
        <v>1</v>
      </c>
      <c r="K39" s="5">
        <f t="shared" si="24"/>
        <v>1</v>
      </c>
      <c r="L39" s="5">
        <f t="shared" si="24"/>
        <v>1</v>
      </c>
      <c r="M39" s="5">
        <f t="shared" si="24"/>
        <v>1</v>
      </c>
      <c r="N39" s="5">
        <f t="shared" si="24"/>
        <v>1</v>
      </c>
      <c r="O39" s="5">
        <f t="shared" si="24"/>
        <v>1</v>
      </c>
      <c r="P39" s="5">
        <f t="shared" si="24"/>
        <v>1</v>
      </c>
      <c r="Q39" s="5">
        <f t="shared" si="24"/>
        <v>1</v>
      </c>
      <c r="R39" s="5">
        <f t="shared" si="24"/>
        <v>1</v>
      </c>
      <c r="S39" s="5">
        <f t="shared" si="24"/>
        <v>1</v>
      </c>
      <c r="T39" s="5">
        <f t="shared" si="24"/>
        <v>1</v>
      </c>
      <c r="U39" s="5">
        <f t="shared" si="24"/>
        <v>1</v>
      </c>
      <c r="V39" s="5">
        <f t="shared" si="24"/>
        <v>1</v>
      </c>
      <c r="W39" s="5">
        <f t="shared" si="24"/>
        <v>1</v>
      </c>
      <c r="X39" s="5">
        <f t="shared" si="24"/>
        <v>1</v>
      </c>
      <c r="Y39" s="5">
        <f t="shared" si="24"/>
        <v>0.98403846153846153</v>
      </c>
      <c r="Z39" s="5">
        <f t="shared" si="24"/>
        <v>0.98962499999999998</v>
      </c>
      <c r="AA39" s="5">
        <f t="shared" si="24"/>
        <v>0.99231481481481476</v>
      </c>
      <c r="AB39" s="5">
        <f t="shared" si="24"/>
        <v>1</v>
      </c>
      <c r="AC39" s="5">
        <f t="shared" si="24"/>
        <v>1</v>
      </c>
      <c r="AD39" s="5">
        <f t="shared" si="24"/>
        <v>1</v>
      </c>
      <c r="AE39" s="5">
        <f t="shared" si="24"/>
        <v>1</v>
      </c>
      <c r="AF39" s="5">
        <f t="shared" si="24"/>
        <v>1</v>
      </c>
      <c r="AG39" s="5">
        <f t="shared" si="24"/>
        <v>1</v>
      </c>
      <c r="AH39" s="5">
        <f t="shared" si="24"/>
        <v>1</v>
      </c>
      <c r="AI39" s="5">
        <f t="shared" si="24"/>
        <v>1</v>
      </c>
      <c r="AJ39" s="5">
        <f t="shared" si="24"/>
        <v>1</v>
      </c>
      <c r="AK39" s="5">
        <f t="shared" si="24"/>
        <v>1</v>
      </c>
      <c r="AL39" s="5">
        <f t="shared" si="24"/>
        <v>1</v>
      </c>
      <c r="AM39" s="5">
        <f t="shared" si="24"/>
        <v>1</v>
      </c>
      <c r="AN39" s="5">
        <f t="shared" si="24"/>
        <v>1</v>
      </c>
      <c r="AO39" s="5">
        <f t="shared" si="24"/>
        <v>1</v>
      </c>
      <c r="AP39" s="5">
        <f t="shared" si="24"/>
        <v>1</v>
      </c>
      <c r="AQ39" s="5">
        <f t="shared" si="24"/>
        <v>1</v>
      </c>
      <c r="AR39" s="5">
        <f t="shared" si="24"/>
        <v>1</v>
      </c>
      <c r="AS39" s="5">
        <f t="shared" si="24"/>
        <v>1</v>
      </c>
      <c r="AT39" s="5">
        <f t="shared" si="24"/>
        <v>1</v>
      </c>
      <c r="AU39" s="5">
        <f t="shared" si="24"/>
        <v>1</v>
      </c>
      <c r="AV39" s="5">
        <f t="shared" si="24"/>
        <v>1</v>
      </c>
      <c r="AW39" s="5">
        <f t="shared" si="24"/>
        <v>1</v>
      </c>
      <c r="AX39" s="5">
        <f t="shared" si="24"/>
        <v>1</v>
      </c>
      <c r="AY39" s="5">
        <f t="shared" si="24"/>
        <v>1</v>
      </c>
      <c r="AZ39" s="5">
        <f t="shared" si="24"/>
        <v>1</v>
      </c>
      <c r="BA39" s="5">
        <f t="shared" si="24"/>
        <v>1</v>
      </c>
      <c r="BB39" s="5">
        <f t="shared" ref="BB39:BG39" si="25">1-(BB9/BB1)</f>
        <v>1</v>
      </c>
      <c r="BC39" s="5">
        <f t="shared" si="25"/>
        <v>1</v>
      </c>
      <c r="BD39" s="5">
        <f t="shared" si="25"/>
        <v>1</v>
      </c>
      <c r="BE39" s="5">
        <f t="shared" si="25"/>
        <v>1</v>
      </c>
      <c r="BF39" s="5">
        <f t="shared" si="25"/>
        <v>1</v>
      </c>
      <c r="BG39" s="5">
        <f t="shared" si="25"/>
        <v>1</v>
      </c>
      <c r="BH39" s="5">
        <f t="shared" ref="BH39:BI39" si="26">1-(BH9/BH1)</f>
        <v>1</v>
      </c>
      <c r="BI39" s="5">
        <f t="shared" si="26"/>
        <v>1</v>
      </c>
      <c r="BJ39" s="5">
        <f t="shared" ref="BJ39" si="27">1-(BJ9/BJ1)</f>
        <v>1</v>
      </c>
    </row>
    <row r="40" spans="1:62" x14ac:dyDescent="0.35">
      <c r="A40" s="8" t="s">
        <v>27</v>
      </c>
      <c r="B40" s="5">
        <f>1-(B10/B1)</f>
        <v>1</v>
      </c>
      <c r="C40" s="5">
        <f t="shared" ref="C40:BA40" si="28">1-(C10/C1)</f>
        <v>1</v>
      </c>
      <c r="D40" s="5">
        <f t="shared" si="28"/>
        <v>1</v>
      </c>
      <c r="E40" s="5">
        <f t="shared" si="28"/>
        <v>1</v>
      </c>
      <c r="F40" s="5">
        <f t="shared" si="28"/>
        <v>1</v>
      </c>
      <c r="G40" s="5">
        <f t="shared" si="28"/>
        <v>1</v>
      </c>
      <c r="H40" s="5">
        <f t="shared" si="28"/>
        <v>1</v>
      </c>
      <c r="I40" s="5">
        <f t="shared" si="28"/>
        <v>1</v>
      </c>
      <c r="J40" s="5">
        <f t="shared" si="28"/>
        <v>1</v>
      </c>
      <c r="K40" s="5">
        <f t="shared" si="28"/>
        <v>1</v>
      </c>
      <c r="L40" s="5">
        <f t="shared" si="28"/>
        <v>1</v>
      </c>
      <c r="M40" s="5">
        <f t="shared" si="28"/>
        <v>1</v>
      </c>
      <c r="N40" s="5">
        <f t="shared" si="28"/>
        <v>1</v>
      </c>
      <c r="O40" s="5">
        <f t="shared" si="28"/>
        <v>1</v>
      </c>
      <c r="P40" s="5">
        <f t="shared" si="28"/>
        <v>1</v>
      </c>
      <c r="Q40" s="5">
        <f t="shared" si="28"/>
        <v>1</v>
      </c>
      <c r="R40" s="5">
        <f t="shared" si="28"/>
        <v>1</v>
      </c>
      <c r="S40" s="5">
        <f t="shared" si="28"/>
        <v>1</v>
      </c>
      <c r="T40" s="5">
        <f t="shared" si="28"/>
        <v>1</v>
      </c>
      <c r="U40" s="5">
        <f t="shared" si="28"/>
        <v>1</v>
      </c>
      <c r="V40" s="5">
        <f t="shared" si="28"/>
        <v>1</v>
      </c>
      <c r="W40" s="5">
        <f t="shared" si="28"/>
        <v>1</v>
      </c>
      <c r="X40" s="5">
        <f t="shared" si="28"/>
        <v>1</v>
      </c>
      <c r="Y40" s="5">
        <f t="shared" si="28"/>
        <v>0.98403846153846153</v>
      </c>
      <c r="Z40" s="5">
        <f t="shared" si="28"/>
        <v>0.98962499999999998</v>
      </c>
      <c r="AA40" s="5">
        <f t="shared" si="28"/>
        <v>0.99231481481481476</v>
      </c>
      <c r="AB40" s="5">
        <f t="shared" si="28"/>
        <v>1</v>
      </c>
      <c r="AC40" s="5">
        <f t="shared" si="28"/>
        <v>1</v>
      </c>
      <c r="AD40" s="5">
        <f t="shared" si="28"/>
        <v>1</v>
      </c>
      <c r="AE40" s="5">
        <f t="shared" si="28"/>
        <v>1</v>
      </c>
      <c r="AF40" s="5">
        <f t="shared" si="28"/>
        <v>1</v>
      </c>
      <c r="AG40" s="5">
        <f t="shared" si="28"/>
        <v>1</v>
      </c>
      <c r="AH40" s="5">
        <f t="shared" si="28"/>
        <v>1</v>
      </c>
      <c r="AI40" s="5">
        <f t="shared" si="28"/>
        <v>1</v>
      </c>
      <c r="AJ40" s="5">
        <f t="shared" si="28"/>
        <v>1</v>
      </c>
      <c r="AK40" s="5">
        <f t="shared" si="28"/>
        <v>1</v>
      </c>
      <c r="AL40" s="5">
        <f t="shared" si="28"/>
        <v>1</v>
      </c>
      <c r="AM40" s="5">
        <f t="shared" si="28"/>
        <v>1</v>
      </c>
      <c r="AN40" s="5">
        <f t="shared" si="28"/>
        <v>1</v>
      </c>
      <c r="AO40" s="5">
        <f t="shared" si="28"/>
        <v>1</v>
      </c>
      <c r="AP40" s="5">
        <f t="shared" si="28"/>
        <v>1</v>
      </c>
      <c r="AQ40" s="5">
        <f t="shared" si="28"/>
        <v>1</v>
      </c>
      <c r="AR40" s="5">
        <f t="shared" si="28"/>
        <v>1</v>
      </c>
      <c r="AS40" s="5">
        <f t="shared" si="28"/>
        <v>1</v>
      </c>
      <c r="AT40" s="5">
        <f t="shared" si="28"/>
        <v>1</v>
      </c>
      <c r="AU40" s="5">
        <f t="shared" si="28"/>
        <v>1</v>
      </c>
      <c r="AV40" s="5">
        <f t="shared" si="28"/>
        <v>1</v>
      </c>
      <c r="AW40" s="5">
        <f t="shared" si="28"/>
        <v>1</v>
      </c>
      <c r="AX40" s="5">
        <f t="shared" si="28"/>
        <v>1</v>
      </c>
      <c r="AY40" s="5">
        <f t="shared" si="28"/>
        <v>1</v>
      </c>
      <c r="AZ40" s="5">
        <f t="shared" si="28"/>
        <v>1</v>
      </c>
      <c r="BA40" s="5">
        <f t="shared" si="28"/>
        <v>1</v>
      </c>
      <c r="BB40" s="5">
        <f t="shared" ref="BB40:BG40" si="29">1-(BB10/BB1)</f>
        <v>1</v>
      </c>
      <c r="BC40" s="5">
        <f t="shared" si="29"/>
        <v>1</v>
      </c>
      <c r="BD40" s="5">
        <f t="shared" si="29"/>
        <v>1</v>
      </c>
      <c r="BE40" s="5">
        <f t="shared" si="29"/>
        <v>1</v>
      </c>
      <c r="BF40" s="5">
        <f t="shared" si="29"/>
        <v>1</v>
      </c>
      <c r="BG40" s="5">
        <f t="shared" si="29"/>
        <v>1</v>
      </c>
      <c r="BH40" s="5">
        <f t="shared" ref="BH40:BI40" si="30">1-(BH10/BH1)</f>
        <v>1</v>
      </c>
      <c r="BI40" s="5">
        <f t="shared" si="30"/>
        <v>1</v>
      </c>
      <c r="BJ40" s="5">
        <f t="shared" ref="BJ40" si="31">1-(BJ10/BJ1)</f>
        <v>0.99404761904761907</v>
      </c>
    </row>
    <row r="41" spans="1:62" x14ac:dyDescent="0.35">
      <c r="A41" s="8" t="s">
        <v>28</v>
      </c>
      <c r="B41" s="5">
        <f>1-(B11/B1)</f>
        <v>1</v>
      </c>
      <c r="C41" s="5">
        <f t="shared" ref="C41:BA41" si="32">1-(C11/C1)</f>
        <v>1</v>
      </c>
      <c r="D41" s="5">
        <f t="shared" si="32"/>
        <v>1</v>
      </c>
      <c r="E41" s="5">
        <f t="shared" si="32"/>
        <v>1</v>
      </c>
      <c r="F41" s="5">
        <f t="shared" si="32"/>
        <v>1</v>
      </c>
      <c r="G41" s="5">
        <f t="shared" si="32"/>
        <v>1</v>
      </c>
      <c r="H41" s="5">
        <f t="shared" si="32"/>
        <v>1</v>
      </c>
      <c r="I41" s="5">
        <f t="shared" si="32"/>
        <v>1</v>
      </c>
      <c r="J41" s="5">
        <f t="shared" si="32"/>
        <v>1</v>
      </c>
      <c r="K41" s="5">
        <f t="shared" si="32"/>
        <v>1</v>
      </c>
      <c r="L41" s="5">
        <f t="shared" si="32"/>
        <v>1</v>
      </c>
      <c r="M41" s="5">
        <f t="shared" si="32"/>
        <v>1</v>
      </c>
      <c r="N41" s="5">
        <f t="shared" si="32"/>
        <v>1</v>
      </c>
      <c r="O41" s="5">
        <f t="shared" si="32"/>
        <v>1</v>
      </c>
      <c r="P41" s="5">
        <f t="shared" si="32"/>
        <v>1</v>
      </c>
      <c r="Q41" s="5">
        <f t="shared" si="32"/>
        <v>1</v>
      </c>
      <c r="R41" s="5">
        <f t="shared" si="32"/>
        <v>1</v>
      </c>
      <c r="S41" s="5">
        <f t="shared" si="32"/>
        <v>1</v>
      </c>
      <c r="T41" s="5">
        <f t="shared" si="32"/>
        <v>1</v>
      </c>
      <c r="U41" s="5">
        <f t="shared" si="32"/>
        <v>1</v>
      </c>
      <c r="V41" s="5">
        <f t="shared" si="32"/>
        <v>1</v>
      </c>
      <c r="W41" s="5">
        <f t="shared" si="32"/>
        <v>1</v>
      </c>
      <c r="X41" s="5">
        <f t="shared" si="32"/>
        <v>1</v>
      </c>
      <c r="Y41" s="5">
        <f t="shared" si="32"/>
        <v>0.98403846153846153</v>
      </c>
      <c r="Z41" s="5">
        <f t="shared" si="32"/>
        <v>0.98962499999999998</v>
      </c>
      <c r="AA41" s="5">
        <f t="shared" si="32"/>
        <v>0.99231481481481476</v>
      </c>
      <c r="AB41" s="5">
        <f t="shared" si="32"/>
        <v>1</v>
      </c>
      <c r="AC41" s="5">
        <f t="shared" si="32"/>
        <v>1</v>
      </c>
      <c r="AD41" s="5">
        <f t="shared" si="32"/>
        <v>1</v>
      </c>
      <c r="AE41" s="5">
        <f t="shared" si="32"/>
        <v>1</v>
      </c>
      <c r="AF41" s="5">
        <f t="shared" si="32"/>
        <v>1</v>
      </c>
      <c r="AG41" s="5">
        <f t="shared" si="32"/>
        <v>1</v>
      </c>
      <c r="AH41" s="5">
        <f t="shared" si="32"/>
        <v>1</v>
      </c>
      <c r="AI41" s="5">
        <f t="shared" si="32"/>
        <v>1</v>
      </c>
      <c r="AJ41" s="5">
        <f t="shared" si="32"/>
        <v>1</v>
      </c>
      <c r="AK41" s="5">
        <f t="shared" si="32"/>
        <v>1</v>
      </c>
      <c r="AL41" s="5">
        <f t="shared" si="32"/>
        <v>1</v>
      </c>
      <c r="AM41" s="5">
        <f t="shared" si="32"/>
        <v>1</v>
      </c>
      <c r="AN41" s="5">
        <f t="shared" si="32"/>
        <v>1</v>
      </c>
      <c r="AO41" s="5">
        <f t="shared" si="32"/>
        <v>1</v>
      </c>
      <c r="AP41" s="5">
        <f t="shared" si="32"/>
        <v>1</v>
      </c>
      <c r="AQ41" s="5">
        <f t="shared" si="32"/>
        <v>1</v>
      </c>
      <c r="AR41" s="5">
        <f t="shared" si="32"/>
        <v>1</v>
      </c>
      <c r="AS41" s="5">
        <f t="shared" si="32"/>
        <v>1</v>
      </c>
      <c r="AT41" s="5">
        <f t="shared" si="32"/>
        <v>1</v>
      </c>
      <c r="AU41" s="5">
        <f t="shared" si="32"/>
        <v>1</v>
      </c>
      <c r="AV41" s="5">
        <f t="shared" si="32"/>
        <v>1</v>
      </c>
      <c r="AW41" s="5">
        <f t="shared" si="32"/>
        <v>1</v>
      </c>
      <c r="AX41" s="5">
        <f t="shared" si="32"/>
        <v>1</v>
      </c>
      <c r="AY41" s="5">
        <f t="shared" si="32"/>
        <v>1</v>
      </c>
      <c r="AZ41" s="5">
        <f t="shared" si="32"/>
        <v>1</v>
      </c>
      <c r="BA41" s="5">
        <f t="shared" si="32"/>
        <v>1</v>
      </c>
      <c r="BB41" s="5">
        <f t="shared" ref="BB41:BG41" si="33">1-(BB11/BB1)</f>
        <v>1</v>
      </c>
      <c r="BC41" s="5">
        <f t="shared" si="33"/>
        <v>1</v>
      </c>
      <c r="BD41" s="5">
        <f t="shared" si="33"/>
        <v>1</v>
      </c>
      <c r="BE41" s="5">
        <f t="shared" si="33"/>
        <v>1</v>
      </c>
      <c r="BF41" s="5">
        <f t="shared" si="33"/>
        <v>1</v>
      </c>
      <c r="BG41" s="5">
        <f t="shared" si="33"/>
        <v>1</v>
      </c>
      <c r="BH41" s="5">
        <f t="shared" ref="BH41:BI41" si="34">1-(BH11/BH1)</f>
        <v>1</v>
      </c>
      <c r="BI41" s="5">
        <f t="shared" si="34"/>
        <v>1</v>
      </c>
      <c r="BJ41" s="5">
        <f t="shared" ref="BJ41" si="35">1-(BJ11/BJ1)</f>
        <v>1</v>
      </c>
    </row>
    <row r="42" spans="1:62" x14ac:dyDescent="0.35">
      <c r="A42" s="7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 spans="1:62" x14ac:dyDescent="0.35">
      <c r="A43" s="8" t="s">
        <v>26</v>
      </c>
      <c r="B43" s="5">
        <f>1-(B13/B1)</f>
        <v>1</v>
      </c>
      <c r="C43" s="5">
        <f t="shared" ref="C43:BA43" si="36">1-(C13/C1)</f>
        <v>1</v>
      </c>
      <c r="D43" s="5">
        <f t="shared" si="36"/>
        <v>1</v>
      </c>
      <c r="E43" s="5">
        <f t="shared" si="36"/>
        <v>1</v>
      </c>
      <c r="F43" s="5">
        <f t="shared" si="36"/>
        <v>1</v>
      </c>
      <c r="G43" s="5">
        <f t="shared" si="36"/>
        <v>1</v>
      </c>
      <c r="H43" s="5">
        <f t="shared" si="36"/>
        <v>1</v>
      </c>
      <c r="I43" s="5">
        <f t="shared" si="36"/>
        <v>1</v>
      </c>
      <c r="J43" s="5">
        <f t="shared" si="36"/>
        <v>1</v>
      </c>
      <c r="K43" s="5">
        <f t="shared" si="36"/>
        <v>1</v>
      </c>
      <c r="L43" s="5">
        <f t="shared" si="36"/>
        <v>1</v>
      </c>
      <c r="M43" s="5">
        <f t="shared" si="36"/>
        <v>1</v>
      </c>
      <c r="N43" s="5">
        <f t="shared" si="36"/>
        <v>1</v>
      </c>
      <c r="O43" s="5">
        <f t="shared" si="36"/>
        <v>1</v>
      </c>
      <c r="P43" s="5">
        <f t="shared" si="36"/>
        <v>1</v>
      </c>
      <c r="Q43" s="5">
        <f t="shared" si="36"/>
        <v>1</v>
      </c>
      <c r="R43" s="5">
        <f t="shared" si="36"/>
        <v>1</v>
      </c>
      <c r="S43" s="5">
        <f t="shared" si="36"/>
        <v>1</v>
      </c>
      <c r="T43" s="5">
        <f t="shared" si="36"/>
        <v>1</v>
      </c>
      <c r="U43" s="5">
        <f t="shared" si="36"/>
        <v>1</v>
      </c>
      <c r="V43" s="5">
        <f t="shared" si="36"/>
        <v>1</v>
      </c>
      <c r="W43" s="5">
        <f t="shared" si="36"/>
        <v>1</v>
      </c>
      <c r="X43" s="5">
        <f t="shared" si="36"/>
        <v>1</v>
      </c>
      <c r="Y43" s="5">
        <f t="shared" si="36"/>
        <v>1</v>
      </c>
      <c r="Z43" s="5">
        <f t="shared" si="36"/>
        <v>1</v>
      </c>
      <c r="AA43" s="5">
        <f t="shared" si="36"/>
        <v>1</v>
      </c>
      <c r="AB43" s="5">
        <f t="shared" si="36"/>
        <v>1</v>
      </c>
      <c r="AC43" s="5">
        <f t="shared" si="36"/>
        <v>1</v>
      </c>
      <c r="AD43" s="5">
        <f t="shared" si="36"/>
        <v>1</v>
      </c>
      <c r="AE43" s="5">
        <f t="shared" si="36"/>
        <v>1</v>
      </c>
      <c r="AF43" s="5">
        <f t="shared" si="36"/>
        <v>1</v>
      </c>
      <c r="AG43" s="5">
        <f t="shared" si="36"/>
        <v>1</v>
      </c>
      <c r="AH43" s="5">
        <f t="shared" si="36"/>
        <v>1</v>
      </c>
      <c r="AI43" s="5">
        <f t="shared" si="36"/>
        <v>1</v>
      </c>
      <c r="AJ43" s="5">
        <f t="shared" si="36"/>
        <v>1</v>
      </c>
      <c r="AK43" s="5">
        <f t="shared" si="36"/>
        <v>1</v>
      </c>
      <c r="AL43" s="5">
        <f t="shared" si="36"/>
        <v>1</v>
      </c>
      <c r="AM43" s="5">
        <f t="shared" si="36"/>
        <v>1</v>
      </c>
      <c r="AN43" s="5">
        <f t="shared" si="36"/>
        <v>1</v>
      </c>
      <c r="AO43" s="5">
        <f t="shared" si="36"/>
        <v>1</v>
      </c>
      <c r="AP43" s="5">
        <f t="shared" si="36"/>
        <v>1</v>
      </c>
      <c r="AQ43" s="5">
        <f t="shared" si="36"/>
        <v>1</v>
      </c>
      <c r="AR43" s="5">
        <f t="shared" si="36"/>
        <v>1</v>
      </c>
      <c r="AS43" s="5">
        <f t="shared" si="36"/>
        <v>1</v>
      </c>
      <c r="AT43" s="5">
        <f t="shared" si="36"/>
        <v>1</v>
      </c>
      <c r="AU43" s="5">
        <f t="shared" si="36"/>
        <v>1</v>
      </c>
      <c r="AV43" s="5">
        <f t="shared" si="36"/>
        <v>1</v>
      </c>
      <c r="AW43" s="5">
        <f t="shared" si="36"/>
        <v>1</v>
      </c>
      <c r="AX43" s="5">
        <f t="shared" si="36"/>
        <v>1</v>
      </c>
      <c r="AY43" s="5">
        <f t="shared" si="36"/>
        <v>1</v>
      </c>
      <c r="AZ43" s="5">
        <f t="shared" si="36"/>
        <v>1</v>
      </c>
      <c r="BA43" s="5">
        <f t="shared" si="36"/>
        <v>1</v>
      </c>
      <c r="BB43" s="5">
        <f t="shared" ref="BB43:BG43" si="37">1-(BB13/BB1)</f>
        <v>1</v>
      </c>
      <c r="BC43" s="5">
        <f t="shared" si="37"/>
        <v>1</v>
      </c>
      <c r="BD43" s="5">
        <f t="shared" si="37"/>
        <v>1</v>
      </c>
      <c r="BE43" s="5">
        <f t="shared" si="37"/>
        <v>1</v>
      </c>
      <c r="BF43" s="5">
        <f t="shared" si="37"/>
        <v>1</v>
      </c>
      <c r="BG43" s="5">
        <f t="shared" si="37"/>
        <v>1</v>
      </c>
      <c r="BH43" s="5">
        <f t="shared" ref="BH43:BI43" si="38">1-(BH13/BH1)</f>
        <v>1</v>
      </c>
      <c r="BI43" s="5">
        <f t="shared" si="38"/>
        <v>1</v>
      </c>
      <c r="BJ43" s="5">
        <f t="shared" ref="BJ43" si="39">1-(BJ13/BJ1)</f>
        <v>1</v>
      </c>
    </row>
    <row r="44" spans="1:62" x14ac:dyDescent="0.35">
      <c r="A44" s="8" t="s">
        <v>27</v>
      </c>
      <c r="B44" s="5">
        <f>1-(B14/B1)</f>
        <v>1</v>
      </c>
      <c r="C44" s="5">
        <f t="shared" ref="C44:BA44" si="40">1-(C14/C1)</f>
        <v>1</v>
      </c>
      <c r="D44" s="5">
        <f t="shared" si="40"/>
        <v>1</v>
      </c>
      <c r="E44" s="5">
        <f t="shared" si="40"/>
        <v>1</v>
      </c>
      <c r="F44" s="5">
        <f t="shared" si="40"/>
        <v>1</v>
      </c>
      <c r="G44" s="5">
        <f t="shared" si="40"/>
        <v>1</v>
      </c>
      <c r="H44" s="5">
        <f t="shared" si="40"/>
        <v>1</v>
      </c>
      <c r="I44" s="5">
        <f t="shared" si="40"/>
        <v>1</v>
      </c>
      <c r="J44" s="5">
        <f t="shared" si="40"/>
        <v>1</v>
      </c>
      <c r="K44" s="5">
        <f t="shared" si="40"/>
        <v>1</v>
      </c>
      <c r="L44" s="5">
        <f t="shared" si="40"/>
        <v>1</v>
      </c>
      <c r="M44" s="5">
        <f t="shared" si="40"/>
        <v>1</v>
      </c>
      <c r="N44" s="5">
        <f t="shared" si="40"/>
        <v>1</v>
      </c>
      <c r="O44" s="5">
        <f t="shared" si="40"/>
        <v>1</v>
      </c>
      <c r="P44" s="5">
        <f t="shared" si="40"/>
        <v>1</v>
      </c>
      <c r="Q44" s="5">
        <f t="shared" si="40"/>
        <v>1</v>
      </c>
      <c r="R44" s="5">
        <f t="shared" si="40"/>
        <v>1</v>
      </c>
      <c r="S44" s="5">
        <f t="shared" si="40"/>
        <v>1</v>
      </c>
      <c r="T44" s="5">
        <f t="shared" si="40"/>
        <v>1</v>
      </c>
      <c r="U44" s="5">
        <f t="shared" si="40"/>
        <v>1</v>
      </c>
      <c r="V44" s="5">
        <f t="shared" si="40"/>
        <v>1</v>
      </c>
      <c r="W44" s="5">
        <f t="shared" si="40"/>
        <v>1</v>
      </c>
      <c r="X44" s="5">
        <f t="shared" si="40"/>
        <v>1</v>
      </c>
      <c r="Y44" s="5">
        <f t="shared" si="40"/>
        <v>1</v>
      </c>
      <c r="Z44" s="5">
        <f t="shared" si="40"/>
        <v>1</v>
      </c>
      <c r="AA44" s="5">
        <f t="shared" si="40"/>
        <v>1</v>
      </c>
      <c r="AB44" s="5">
        <f t="shared" si="40"/>
        <v>1</v>
      </c>
      <c r="AC44" s="5">
        <f t="shared" si="40"/>
        <v>1</v>
      </c>
      <c r="AD44" s="5">
        <f t="shared" si="40"/>
        <v>1</v>
      </c>
      <c r="AE44" s="5">
        <f t="shared" si="40"/>
        <v>1</v>
      </c>
      <c r="AF44" s="5">
        <f t="shared" si="40"/>
        <v>1</v>
      </c>
      <c r="AG44" s="5">
        <f t="shared" si="40"/>
        <v>1</v>
      </c>
      <c r="AH44" s="5">
        <f t="shared" si="40"/>
        <v>1</v>
      </c>
      <c r="AI44" s="5">
        <f t="shared" si="40"/>
        <v>1</v>
      </c>
      <c r="AJ44" s="5">
        <f t="shared" si="40"/>
        <v>1</v>
      </c>
      <c r="AK44" s="5">
        <f t="shared" si="40"/>
        <v>1</v>
      </c>
      <c r="AL44" s="5">
        <f t="shared" si="40"/>
        <v>1</v>
      </c>
      <c r="AM44" s="5">
        <f t="shared" si="40"/>
        <v>1</v>
      </c>
      <c r="AN44" s="5">
        <f t="shared" si="40"/>
        <v>1</v>
      </c>
      <c r="AO44" s="5">
        <f t="shared" si="40"/>
        <v>1</v>
      </c>
      <c r="AP44" s="5">
        <f t="shared" si="40"/>
        <v>1</v>
      </c>
      <c r="AQ44" s="5">
        <f t="shared" si="40"/>
        <v>1</v>
      </c>
      <c r="AR44" s="5">
        <f t="shared" si="40"/>
        <v>1</v>
      </c>
      <c r="AS44" s="5">
        <f t="shared" si="40"/>
        <v>1</v>
      </c>
      <c r="AT44" s="5">
        <f t="shared" si="40"/>
        <v>1</v>
      </c>
      <c r="AU44" s="5">
        <f t="shared" si="40"/>
        <v>1</v>
      </c>
      <c r="AV44" s="5">
        <f t="shared" si="40"/>
        <v>1</v>
      </c>
      <c r="AW44" s="5">
        <f t="shared" si="40"/>
        <v>1</v>
      </c>
      <c r="AX44" s="5">
        <f t="shared" si="40"/>
        <v>1</v>
      </c>
      <c r="AY44" s="5">
        <f t="shared" si="40"/>
        <v>1</v>
      </c>
      <c r="AZ44" s="5">
        <f t="shared" si="40"/>
        <v>1</v>
      </c>
      <c r="BA44" s="5">
        <f t="shared" si="40"/>
        <v>1</v>
      </c>
      <c r="BB44" s="5">
        <f t="shared" ref="BB44:BG44" si="41">1-(BB14/BB1)</f>
        <v>1</v>
      </c>
      <c r="BC44" s="5">
        <f t="shared" si="41"/>
        <v>1</v>
      </c>
      <c r="BD44" s="5">
        <f t="shared" si="41"/>
        <v>1</v>
      </c>
      <c r="BE44" s="5">
        <f t="shared" si="41"/>
        <v>1</v>
      </c>
      <c r="BF44" s="5">
        <f t="shared" si="41"/>
        <v>1</v>
      </c>
      <c r="BG44" s="5">
        <f t="shared" si="41"/>
        <v>1</v>
      </c>
      <c r="BH44" s="5">
        <f t="shared" ref="BH44:BI44" si="42">1-(BH14/BH1)</f>
        <v>1</v>
      </c>
      <c r="BI44" s="5">
        <f t="shared" si="42"/>
        <v>1</v>
      </c>
      <c r="BJ44" s="5">
        <f t="shared" ref="BJ44" si="43">1-(BJ14/BJ1)</f>
        <v>0.99404761904761907</v>
      </c>
    </row>
    <row r="45" spans="1:62" x14ac:dyDescent="0.35">
      <c r="A45" s="8" t="s">
        <v>28</v>
      </c>
      <c r="B45" s="5">
        <f>1-(B15/B1)</f>
        <v>1</v>
      </c>
      <c r="C45" s="5">
        <f t="shared" ref="C45:BA45" si="44">1-(C15/C1)</f>
        <v>1</v>
      </c>
      <c r="D45" s="5">
        <f t="shared" si="44"/>
        <v>1</v>
      </c>
      <c r="E45" s="5">
        <f t="shared" si="44"/>
        <v>1</v>
      </c>
      <c r="F45" s="5">
        <f t="shared" si="44"/>
        <v>1</v>
      </c>
      <c r="G45" s="5">
        <f t="shared" si="44"/>
        <v>1</v>
      </c>
      <c r="H45" s="5">
        <f t="shared" si="44"/>
        <v>1</v>
      </c>
      <c r="I45" s="5">
        <f t="shared" si="44"/>
        <v>1</v>
      </c>
      <c r="J45" s="5">
        <f t="shared" si="44"/>
        <v>1</v>
      </c>
      <c r="K45" s="5">
        <f t="shared" si="44"/>
        <v>1</v>
      </c>
      <c r="L45" s="5">
        <f t="shared" si="44"/>
        <v>1</v>
      </c>
      <c r="M45" s="5">
        <f t="shared" si="44"/>
        <v>1</v>
      </c>
      <c r="N45" s="5">
        <f t="shared" si="44"/>
        <v>1</v>
      </c>
      <c r="O45" s="5">
        <f t="shared" si="44"/>
        <v>1</v>
      </c>
      <c r="P45" s="5">
        <f t="shared" si="44"/>
        <v>1</v>
      </c>
      <c r="Q45" s="5">
        <f t="shared" si="44"/>
        <v>1</v>
      </c>
      <c r="R45" s="5">
        <f t="shared" si="44"/>
        <v>1</v>
      </c>
      <c r="S45" s="5">
        <f t="shared" si="44"/>
        <v>1</v>
      </c>
      <c r="T45" s="5">
        <f t="shared" si="44"/>
        <v>1</v>
      </c>
      <c r="U45" s="5">
        <f t="shared" si="44"/>
        <v>1</v>
      </c>
      <c r="V45" s="5">
        <f t="shared" si="44"/>
        <v>1</v>
      </c>
      <c r="W45" s="5">
        <f t="shared" si="44"/>
        <v>1</v>
      </c>
      <c r="X45" s="5">
        <f t="shared" si="44"/>
        <v>1</v>
      </c>
      <c r="Y45" s="5">
        <f t="shared" si="44"/>
        <v>1</v>
      </c>
      <c r="Z45" s="5">
        <f t="shared" si="44"/>
        <v>1</v>
      </c>
      <c r="AA45" s="5">
        <f t="shared" si="44"/>
        <v>1</v>
      </c>
      <c r="AB45" s="5">
        <f t="shared" si="44"/>
        <v>1</v>
      </c>
      <c r="AC45" s="5">
        <f t="shared" si="44"/>
        <v>1</v>
      </c>
      <c r="AD45" s="5">
        <f t="shared" si="44"/>
        <v>1</v>
      </c>
      <c r="AE45" s="5">
        <f t="shared" si="44"/>
        <v>1</v>
      </c>
      <c r="AF45" s="5">
        <f t="shared" si="44"/>
        <v>1</v>
      </c>
      <c r="AG45" s="5">
        <f t="shared" si="44"/>
        <v>1</v>
      </c>
      <c r="AH45" s="5">
        <f t="shared" si="44"/>
        <v>1</v>
      </c>
      <c r="AI45" s="5">
        <f t="shared" si="44"/>
        <v>1</v>
      </c>
      <c r="AJ45" s="5">
        <f t="shared" si="44"/>
        <v>1</v>
      </c>
      <c r="AK45" s="5">
        <f t="shared" si="44"/>
        <v>1</v>
      </c>
      <c r="AL45" s="5">
        <f t="shared" si="44"/>
        <v>1</v>
      </c>
      <c r="AM45" s="5">
        <f t="shared" si="44"/>
        <v>1</v>
      </c>
      <c r="AN45" s="5">
        <f t="shared" si="44"/>
        <v>1</v>
      </c>
      <c r="AO45" s="5">
        <f t="shared" si="44"/>
        <v>1</v>
      </c>
      <c r="AP45" s="5">
        <f t="shared" si="44"/>
        <v>1</v>
      </c>
      <c r="AQ45" s="5">
        <f t="shared" si="44"/>
        <v>1</v>
      </c>
      <c r="AR45" s="5">
        <f t="shared" si="44"/>
        <v>1</v>
      </c>
      <c r="AS45" s="5">
        <f t="shared" si="44"/>
        <v>1</v>
      </c>
      <c r="AT45" s="5">
        <f t="shared" si="44"/>
        <v>1</v>
      </c>
      <c r="AU45" s="5">
        <f t="shared" si="44"/>
        <v>1</v>
      </c>
      <c r="AV45" s="5">
        <f t="shared" si="44"/>
        <v>1</v>
      </c>
      <c r="AW45" s="5">
        <f t="shared" si="44"/>
        <v>1</v>
      </c>
      <c r="AX45" s="5">
        <f t="shared" si="44"/>
        <v>1</v>
      </c>
      <c r="AY45" s="5">
        <f t="shared" si="44"/>
        <v>1</v>
      </c>
      <c r="AZ45" s="5">
        <f t="shared" si="44"/>
        <v>1</v>
      </c>
      <c r="BA45" s="5">
        <f t="shared" si="44"/>
        <v>1</v>
      </c>
      <c r="BB45" s="5">
        <f t="shared" ref="BB45:BG45" si="45">1-(BB15/BB1)</f>
        <v>1</v>
      </c>
      <c r="BC45" s="5">
        <f t="shared" si="45"/>
        <v>1</v>
      </c>
      <c r="BD45" s="5">
        <f t="shared" si="45"/>
        <v>1</v>
      </c>
      <c r="BE45" s="5">
        <f t="shared" si="45"/>
        <v>1</v>
      </c>
      <c r="BF45" s="5">
        <f t="shared" si="45"/>
        <v>1</v>
      </c>
      <c r="BG45" s="5">
        <f t="shared" si="45"/>
        <v>1</v>
      </c>
      <c r="BH45" s="5">
        <f t="shared" ref="BH45:BI45" si="46">1-(BH15/BH1)</f>
        <v>1</v>
      </c>
      <c r="BI45" s="5">
        <f t="shared" si="46"/>
        <v>1</v>
      </c>
      <c r="BJ45" s="5">
        <f t="shared" ref="BJ45" si="47">1-(BJ15/BJ1)</f>
        <v>1</v>
      </c>
    </row>
    <row r="46" spans="1:62" x14ac:dyDescent="0.35">
      <c r="A46" s="7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 spans="1:62" x14ac:dyDescent="0.35">
      <c r="A47" s="8" t="s">
        <v>26</v>
      </c>
      <c r="B47" s="5">
        <f>1-(B17/B1)</f>
        <v>1</v>
      </c>
      <c r="C47" s="5">
        <f t="shared" ref="C47:BA47" si="48">1-(C17/C1)</f>
        <v>1</v>
      </c>
      <c r="D47" s="5">
        <f t="shared" si="48"/>
        <v>1</v>
      </c>
      <c r="E47" s="5">
        <f t="shared" si="48"/>
        <v>1</v>
      </c>
      <c r="F47" s="5">
        <f t="shared" si="48"/>
        <v>1</v>
      </c>
      <c r="G47" s="5">
        <f t="shared" si="48"/>
        <v>1</v>
      </c>
      <c r="H47" s="5">
        <f t="shared" si="48"/>
        <v>1</v>
      </c>
      <c r="I47" s="5">
        <f t="shared" si="48"/>
        <v>1</v>
      </c>
      <c r="J47" s="5">
        <f t="shared" si="48"/>
        <v>1</v>
      </c>
      <c r="K47" s="5">
        <f t="shared" si="48"/>
        <v>1</v>
      </c>
      <c r="L47" s="5">
        <f t="shared" si="48"/>
        <v>1</v>
      </c>
      <c r="M47" s="5">
        <f t="shared" si="48"/>
        <v>1</v>
      </c>
      <c r="N47" s="5">
        <f t="shared" si="48"/>
        <v>1</v>
      </c>
      <c r="O47" s="5">
        <f t="shared" si="48"/>
        <v>1</v>
      </c>
      <c r="P47" s="5">
        <f t="shared" si="48"/>
        <v>1</v>
      </c>
      <c r="Q47" s="5">
        <f t="shared" si="48"/>
        <v>1</v>
      </c>
      <c r="R47" s="5">
        <f t="shared" si="48"/>
        <v>1</v>
      </c>
      <c r="S47" s="5">
        <f t="shared" si="48"/>
        <v>1</v>
      </c>
      <c r="T47" s="5">
        <f t="shared" si="48"/>
        <v>1</v>
      </c>
      <c r="U47" s="5">
        <f t="shared" si="48"/>
        <v>1</v>
      </c>
      <c r="V47" s="5">
        <f t="shared" si="48"/>
        <v>1</v>
      </c>
      <c r="W47" s="5">
        <f t="shared" si="48"/>
        <v>1</v>
      </c>
      <c r="X47" s="5">
        <f t="shared" si="48"/>
        <v>1</v>
      </c>
      <c r="Y47" s="5">
        <f t="shared" si="48"/>
        <v>1</v>
      </c>
      <c r="Z47" s="5">
        <f t="shared" si="48"/>
        <v>1</v>
      </c>
      <c r="AA47" s="5">
        <f t="shared" si="48"/>
        <v>1</v>
      </c>
      <c r="AB47" s="5">
        <f t="shared" si="48"/>
        <v>1</v>
      </c>
      <c r="AC47" s="5">
        <f t="shared" si="48"/>
        <v>1</v>
      </c>
      <c r="AD47" s="5">
        <f t="shared" si="48"/>
        <v>1</v>
      </c>
      <c r="AE47" s="5">
        <f t="shared" si="48"/>
        <v>1</v>
      </c>
      <c r="AF47" s="5">
        <f t="shared" si="48"/>
        <v>1</v>
      </c>
      <c r="AG47" s="5">
        <f t="shared" si="48"/>
        <v>1</v>
      </c>
      <c r="AH47" s="5">
        <f t="shared" si="48"/>
        <v>1</v>
      </c>
      <c r="AI47" s="5">
        <f t="shared" si="48"/>
        <v>1</v>
      </c>
      <c r="AJ47" s="5">
        <f t="shared" si="48"/>
        <v>1</v>
      </c>
      <c r="AK47" s="5">
        <f t="shared" si="48"/>
        <v>1</v>
      </c>
      <c r="AL47" s="5">
        <f t="shared" si="48"/>
        <v>1</v>
      </c>
      <c r="AM47" s="5">
        <f t="shared" si="48"/>
        <v>1</v>
      </c>
      <c r="AN47" s="5">
        <f t="shared" si="48"/>
        <v>1</v>
      </c>
      <c r="AO47" s="5">
        <f t="shared" si="48"/>
        <v>1</v>
      </c>
      <c r="AP47" s="5">
        <f t="shared" si="48"/>
        <v>1</v>
      </c>
      <c r="AQ47" s="5">
        <f t="shared" si="48"/>
        <v>1</v>
      </c>
      <c r="AR47" s="5">
        <f t="shared" si="48"/>
        <v>1</v>
      </c>
      <c r="AS47" s="5">
        <f t="shared" si="48"/>
        <v>1</v>
      </c>
      <c r="AT47" s="5">
        <f t="shared" si="48"/>
        <v>1</v>
      </c>
      <c r="AU47" s="5">
        <f t="shared" si="48"/>
        <v>1</v>
      </c>
      <c r="AV47" s="5">
        <f t="shared" si="48"/>
        <v>1</v>
      </c>
      <c r="AW47" s="5">
        <f t="shared" si="48"/>
        <v>1</v>
      </c>
      <c r="AX47" s="5">
        <f t="shared" si="48"/>
        <v>1</v>
      </c>
      <c r="AY47" s="5">
        <f t="shared" si="48"/>
        <v>1</v>
      </c>
      <c r="AZ47" s="5">
        <f t="shared" si="48"/>
        <v>1</v>
      </c>
      <c r="BA47" s="5">
        <f t="shared" si="48"/>
        <v>1</v>
      </c>
      <c r="BB47" s="5">
        <f t="shared" ref="BB47:BG47" si="49">1-(BB17/BB1)</f>
        <v>1</v>
      </c>
      <c r="BC47" s="5">
        <f t="shared" si="49"/>
        <v>1</v>
      </c>
      <c r="BD47" s="5">
        <f t="shared" si="49"/>
        <v>1</v>
      </c>
      <c r="BE47" s="5">
        <f t="shared" si="49"/>
        <v>1</v>
      </c>
      <c r="BF47" s="5">
        <f t="shared" si="49"/>
        <v>1</v>
      </c>
      <c r="BG47" s="5">
        <f t="shared" si="49"/>
        <v>1</v>
      </c>
      <c r="BH47" s="5">
        <f t="shared" ref="BH47:BI47" si="50">1-(BH17/BH1)</f>
        <v>1</v>
      </c>
      <c r="BI47" s="5">
        <f t="shared" si="50"/>
        <v>1</v>
      </c>
      <c r="BJ47" s="5">
        <f t="shared" ref="BJ47" si="51">1-(BJ17/BJ1)</f>
        <v>1</v>
      </c>
    </row>
    <row r="48" spans="1:62" x14ac:dyDescent="0.35">
      <c r="A48" s="8" t="s">
        <v>27</v>
      </c>
      <c r="B48" s="5">
        <f>1-(B18/B1)</f>
        <v>1</v>
      </c>
      <c r="C48" s="5">
        <f t="shared" ref="C48:BA48" si="52">1-(C18/C1)</f>
        <v>1</v>
      </c>
      <c r="D48" s="5">
        <f t="shared" si="52"/>
        <v>1</v>
      </c>
      <c r="E48" s="5">
        <f t="shared" si="52"/>
        <v>1</v>
      </c>
      <c r="F48" s="5">
        <f t="shared" si="52"/>
        <v>1</v>
      </c>
      <c r="G48" s="5">
        <f t="shared" si="52"/>
        <v>1</v>
      </c>
      <c r="H48" s="5">
        <f t="shared" si="52"/>
        <v>1</v>
      </c>
      <c r="I48" s="5">
        <f t="shared" si="52"/>
        <v>1</v>
      </c>
      <c r="J48" s="5">
        <f t="shared" si="52"/>
        <v>1</v>
      </c>
      <c r="K48" s="5">
        <f t="shared" si="52"/>
        <v>1</v>
      </c>
      <c r="L48" s="5">
        <f t="shared" si="52"/>
        <v>1</v>
      </c>
      <c r="M48" s="5">
        <f t="shared" si="52"/>
        <v>1</v>
      </c>
      <c r="N48" s="5">
        <f t="shared" si="52"/>
        <v>1</v>
      </c>
      <c r="O48" s="5">
        <f t="shared" si="52"/>
        <v>1</v>
      </c>
      <c r="P48" s="5">
        <f t="shared" si="52"/>
        <v>1</v>
      </c>
      <c r="Q48" s="5">
        <f t="shared" si="52"/>
        <v>1</v>
      </c>
      <c r="R48" s="5">
        <f t="shared" si="52"/>
        <v>1</v>
      </c>
      <c r="S48" s="5">
        <f t="shared" si="52"/>
        <v>1</v>
      </c>
      <c r="T48" s="5">
        <f t="shared" si="52"/>
        <v>1</v>
      </c>
      <c r="U48" s="5">
        <f t="shared" si="52"/>
        <v>1</v>
      </c>
      <c r="V48" s="5">
        <f t="shared" si="52"/>
        <v>1</v>
      </c>
      <c r="W48" s="5">
        <f t="shared" si="52"/>
        <v>1</v>
      </c>
      <c r="X48" s="5">
        <f t="shared" si="52"/>
        <v>1</v>
      </c>
      <c r="Y48" s="5">
        <f t="shared" si="52"/>
        <v>1</v>
      </c>
      <c r="Z48" s="5">
        <f t="shared" si="52"/>
        <v>1</v>
      </c>
      <c r="AA48" s="5">
        <f t="shared" si="52"/>
        <v>1</v>
      </c>
      <c r="AB48" s="5">
        <f t="shared" si="52"/>
        <v>1</v>
      </c>
      <c r="AC48" s="5">
        <f t="shared" si="52"/>
        <v>1</v>
      </c>
      <c r="AD48" s="5">
        <f t="shared" si="52"/>
        <v>1</v>
      </c>
      <c r="AE48" s="5">
        <f t="shared" si="52"/>
        <v>1</v>
      </c>
      <c r="AF48" s="5">
        <f t="shared" si="52"/>
        <v>1</v>
      </c>
      <c r="AG48" s="5">
        <f t="shared" si="52"/>
        <v>1</v>
      </c>
      <c r="AH48" s="5">
        <f t="shared" si="52"/>
        <v>1</v>
      </c>
      <c r="AI48" s="5">
        <f t="shared" si="52"/>
        <v>1</v>
      </c>
      <c r="AJ48" s="5">
        <f t="shared" si="52"/>
        <v>1</v>
      </c>
      <c r="AK48" s="5">
        <f t="shared" si="52"/>
        <v>1</v>
      </c>
      <c r="AL48" s="5">
        <f t="shared" si="52"/>
        <v>1</v>
      </c>
      <c r="AM48" s="5">
        <f t="shared" si="52"/>
        <v>1</v>
      </c>
      <c r="AN48" s="5">
        <f t="shared" si="52"/>
        <v>1</v>
      </c>
      <c r="AO48" s="5">
        <f t="shared" si="52"/>
        <v>1</v>
      </c>
      <c r="AP48" s="5">
        <f t="shared" si="52"/>
        <v>1</v>
      </c>
      <c r="AQ48" s="5">
        <f t="shared" si="52"/>
        <v>1</v>
      </c>
      <c r="AR48" s="5">
        <f t="shared" si="52"/>
        <v>1</v>
      </c>
      <c r="AS48" s="5">
        <f t="shared" si="52"/>
        <v>1</v>
      </c>
      <c r="AT48" s="5">
        <f t="shared" si="52"/>
        <v>1</v>
      </c>
      <c r="AU48" s="5">
        <f t="shared" si="52"/>
        <v>1</v>
      </c>
      <c r="AV48" s="5">
        <f t="shared" si="52"/>
        <v>1</v>
      </c>
      <c r="AW48" s="5">
        <f t="shared" si="52"/>
        <v>1</v>
      </c>
      <c r="AX48" s="5">
        <f t="shared" si="52"/>
        <v>1</v>
      </c>
      <c r="AY48" s="5">
        <f t="shared" si="52"/>
        <v>1</v>
      </c>
      <c r="AZ48" s="5">
        <f t="shared" si="52"/>
        <v>1</v>
      </c>
      <c r="BA48" s="5">
        <f t="shared" si="52"/>
        <v>1</v>
      </c>
      <c r="BB48" s="5">
        <f t="shared" ref="BB48:BG48" si="53">1-(BB18/BB1)</f>
        <v>1</v>
      </c>
      <c r="BC48" s="5">
        <f t="shared" si="53"/>
        <v>1</v>
      </c>
      <c r="BD48" s="5">
        <f t="shared" si="53"/>
        <v>1</v>
      </c>
      <c r="BE48" s="5">
        <f t="shared" si="53"/>
        <v>1</v>
      </c>
      <c r="BF48" s="5">
        <f t="shared" si="53"/>
        <v>1</v>
      </c>
      <c r="BG48" s="5">
        <f t="shared" si="53"/>
        <v>1</v>
      </c>
      <c r="BH48" s="5">
        <f t="shared" ref="BH48:BI48" si="54">1-(BH18/BH1)</f>
        <v>1</v>
      </c>
      <c r="BI48" s="5">
        <f t="shared" si="54"/>
        <v>1</v>
      </c>
      <c r="BJ48" s="5">
        <f t="shared" ref="BJ48" si="55">1-(BJ18/BJ1)</f>
        <v>0.99404761904761907</v>
      </c>
    </row>
    <row r="49" spans="1:62" x14ac:dyDescent="0.35">
      <c r="A49" s="8" t="s">
        <v>28</v>
      </c>
      <c r="B49" s="5">
        <f>1-(B19/B1)</f>
        <v>1</v>
      </c>
      <c r="C49" s="5">
        <f t="shared" ref="C49:BA49" si="56">1-(C19/C1)</f>
        <v>1</v>
      </c>
      <c r="D49" s="5">
        <f t="shared" si="56"/>
        <v>1</v>
      </c>
      <c r="E49" s="5">
        <f t="shared" si="56"/>
        <v>1</v>
      </c>
      <c r="F49" s="5">
        <f t="shared" si="56"/>
        <v>1</v>
      </c>
      <c r="G49" s="5">
        <f t="shared" si="56"/>
        <v>1</v>
      </c>
      <c r="H49" s="5">
        <f t="shared" si="56"/>
        <v>1</v>
      </c>
      <c r="I49" s="5">
        <f t="shared" si="56"/>
        <v>1</v>
      </c>
      <c r="J49" s="5">
        <f t="shared" si="56"/>
        <v>1</v>
      </c>
      <c r="K49" s="5">
        <f t="shared" si="56"/>
        <v>1</v>
      </c>
      <c r="L49" s="5">
        <f t="shared" si="56"/>
        <v>1</v>
      </c>
      <c r="M49" s="5">
        <f t="shared" si="56"/>
        <v>1</v>
      </c>
      <c r="N49" s="5">
        <f t="shared" si="56"/>
        <v>1</v>
      </c>
      <c r="O49" s="5">
        <f t="shared" si="56"/>
        <v>1</v>
      </c>
      <c r="P49" s="5">
        <f t="shared" si="56"/>
        <v>1</v>
      </c>
      <c r="Q49" s="5">
        <f t="shared" si="56"/>
        <v>1</v>
      </c>
      <c r="R49" s="5">
        <f t="shared" si="56"/>
        <v>1</v>
      </c>
      <c r="S49" s="5">
        <f t="shared" si="56"/>
        <v>1</v>
      </c>
      <c r="T49" s="5">
        <f t="shared" si="56"/>
        <v>1</v>
      </c>
      <c r="U49" s="5">
        <f t="shared" si="56"/>
        <v>1</v>
      </c>
      <c r="V49" s="5">
        <f t="shared" si="56"/>
        <v>1</v>
      </c>
      <c r="W49" s="5">
        <f t="shared" si="56"/>
        <v>1</v>
      </c>
      <c r="X49" s="5">
        <f t="shared" si="56"/>
        <v>1</v>
      </c>
      <c r="Y49" s="5">
        <f t="shared" si="56"/>
        <v>1</v>
      </c>
      <c r="Z49" s="5">
        <f t="shared" si="56"/>
        <v>1</v>
      </c>
      <c r="AA49" s="5">
        <f t="shared" si="56"/>
        <v>1</v>
      </c>
      <c r="AB49" s="5">
        <f t="shared" si="56"/>
        <v>1</v>
      </c>
      <c r="AC49" s="5">
        <f t="shared" si="56"/>
        <v>1</v>
      </c>
      <c r="AD49" s="5">
        <f t="shared" si="56"/>
        <v>1</v>
      </c>
      <c r="AE49" s="5">
        <f t="shared" si="56"/>
        <v>1</v>
      </c>
      <c r="AF49" s="5">
        <f t="shared" si="56"/>
        <v>1</v>
      </c>
      <c r="AG49" s="5">
        <f t="shared" si="56"/>
        <v>1</v>
      </c>
      <c r="AH49" s="5">
        <f t="shared" si="56"/>
        <v>1</v>
      </c>
      <c r="AI49" s="5">
        <f t="shared" si="56"/>
        <v>1</v>
      </c>
      <c r="AJ49" s="5">
        <f t="shared" si="56"/>
        <v>1</v>
      </c>
      <c r="AK49" s="5">
        <f t="shared" si="56"/>
        <v>1</v>
      </c>
      <c r="AL49" s="5">
        <f t="shared" si="56"/>
        <v>1</v>
      </c>
      <c r="AM49" s="5">
        <f t="shared" si="56"/>
        <v>1</v>
      </c>
      <c r="AN49" s="5">
        <f t="shared" si="56"/>
        <v>1</v>
      </c>
      <c r="AO49" s="5">
        <f t="shared" si="56"/>
        <v>1</v>
      </c>
      <c r="AP49" s="5">
        <f t="shared" si="56"/>
        <v>1</v>
      </c>
      <c r="AQ49" s="5">
        <f t="shared" si="56"/>
        <v>1</v>
      </c>
      <c r="AR49" s="5">
        <f t="shared" si="56"/>
        <v>1</v>
      </c>
      <c r="AS49" s="5">
        <f t="shared" si="56"/>
        <v>1</v>
      </c>
      <c r="AT49" s="5">
        <f t="shared" si="56"/>
        <v>1</v>
      </c>
      <c r="AU49" s="5">
        <f t="shared" si="56"/>
        <v>1</v>
      </c>
      <c r="AV49" s="5">
        <f t="shared" si="56"/>
        <v>1</v>
      </c>
      <c r="AW49" s="5">
        <f t="shared" si="56"/>
        <v>1</v>
      </c>
      <c r="AX49" s="5">
        <f t="shared" si="56"/>
        <v>1</v>
      </c>
      <c r="AY49" s="5">
        <f t="shared" si="56"/>
        <v>1</v>
      </c>
      <c r="AZ49" s="5">
        <f t="shared" si="56"/>
        <v>1</v>
      </c>
      <c r="BA49" s="5">
        <f t="shared" si="56"/>
        <v>1</v>
      </c>
      <c r="BB49" s="5">
        <f t="shared" ref="BB49:BG49" si="57">1-(BB19/BB1)</f>
        <v>1</v>
      </c>
      <c r="BC49" s="5">
        <f t="shared" si="57"/>
        <v>1</v>
      </c>
      <c r="BD49" s="5">
        <f t="shared" si="57"/>
        <v>1</v>
      </c>
      <c r="BE49" s="5">
        <f t="shared" si="57"/>
        <v>1</v>
      </c>
      <c r="BF49" s="5">
        <f t="shared" si="57"/>
        <v>1</v>
      </c>
      <c r="BG49" s="5">
        <f t="shared" si="57"/>
        <v>1</v>
      </c>
      <c r="BH49" s="5">
        <f t="shared" ref="BH49:BI49" si="58">1-(BH19/BH1)</f>
        <v>1</v>
      </c>
      <c r="BI49" s="5">
        <f t="shared" si="58"/>
        <v>1</v>
      </c>
      <c r="BJ49" s="5">
        <f t="shared" ref="BJ49" si="59">1-(BJ19/BJ1)</f>
        <v>1</v>
      </c>
    </row>
    <row r="50" spans="1:62" x14ac:dyDescent="0.35">
      <c r="A50" s="7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</row>
    <row r="51" spans="1:62" x14ac:dyDescent="0.35">
      <c r="A51" s="8" t="s">
        <v>26</v>
      </c>
      <c r="B51" s="5">
        <f>1-(B21/B1)</f>
        <v>1</v>
      </c>
      <c r="C51" s="5">
        <f t="shared" ref="C51:BA51" si="60">1-(C21/C1)</f>
        <v>1</v>
      </c>
      <c r="D51" s="5">
        <f t="shared" si="60"/>
        <v>1</v>
      </c>
      <c r="E51" s="5">
        <f t="shared" si="60"/>
        <v>1</v>
      </c>
      <c r="F51" s="5">
        <f t="shared" si="60"/>
        <v>1</v>
      </c>
      <c r="G51" s="5">
        <f t="shared" si="60"/>
        <v>1</v>
      </c>
      <c r="H51" s="5">
        <f t="shared" si="60"/>
        <v>1</v>
      </c>
      <c r="I51" s="5">
        <f t="shared" si="60"/>
        <v>1</v>
      </c>
      <c r="J51" s="5">
        <f t="shared" si="60"/>
        <v>1</v>
      </c>
      <c r="K51" s="5">
        <f t="shared" si="60"/>
        <v>1</v>
      </c>
      <c r="L51" s="5">
        <f t="shared" si="60"/>
        <v>1</v>
      </c>
      <c r="M51" s="5">
        <f t="shared" si="60"/>
        <v>1</v>
      </c>
      <c r="N51" s="5">
        <f t="shared" si="60"/>
        <v>1</v>
      </c>
      <c r="O51" s="5">
        <f t="shared" si="60"/>
        <v>1</v>
      </c>
      <c r="P51" s="5">
        <f t="shared" si="60"/>
        <v>1</v>
      </c>
      <c r="Q51" s="5">
        <f t="shared" si="60"/>
        <v>1</v>
      </c>
      <c r="R51" s="5">
        <f t="shared" si="60"/>
        <v>1</v>
      </c>
      <c r="S51" s="5">
        <f t="shared" si="60"/>
        <v>1</v>
      </c>
      <c r="T51" s="5">
        <f t="shared" si="60"/>
        <v>1</v>
      </c>
      <c r="U51" s="5">
        <f t="shared" si="60"/>
        <v>1</v>
      </c>
      <c r="V51" s="5">
        <f t="shared" si="60"/>
        <v>1</v>
      </c>
      <c r="W51" s="5">
        <f t="shared" si="60"/>
        <v>1</v>
      </c>
      <c r="X51" s="5">
        <f t="shared" si="60"/>
        <v>1</v>
      </c>
      <c r="Y51" s="5">
        <f t="shared" si="60"/>
        <v>1</v>
      </c>
      <c r="Z51" s="5">
        <f t="shared" si="60"/>
        <v>1</v>
      </c>
      <c r="AA51" s="5">
        <f t="shared" si="60"/>
        <v>1</v>
      </c>
      <c r="AB51" s="5">
        <f t="shared" si="60"/>
        <v>1</v>
      </c>
      <c r="AC51" s="5">
        <f t="shared" si="60"/>
        <v>1</v>
      </c>
      <c r="AD51" s="5">
        <f t="shared" si="60"/>
        <v>1</v>
      </c>
      <c r="AE51" s="5">
        <f t="shared" si="60"/>
        <v>1</v>
      </c>
      <c r="AF51" s="5">
        <f t="shared" si="60"/>
        <v>1</v>
      </c>
      <c r="AG51" s="5">
        <f t="shared" si="60"/>
        <v>1</v>
      </c>
      <c r="AH51" s="5">
        <f t="shared" si="60"/>
        <v>1</v>
      </c>
      <c r="AI51" s="5">
        <f t="shared" si="60"/>
        <v>1</v>
      </c>
      <c r="AJ51" s="5">
        <f t="shared" si="60"/>
        <v>1</v>
      </c>
      <c r="AK51" s="5">
        <f t="shared" si="60"/>
        <v>1</v>
      </c>
      <c r="AL51" s="5">
        <f t="shared" si="60"/>
        <v>1</v>
      </c>
      <c r="AM51" s="5">
        <f t="shared" si="60"/>
        <v>1</v>
      </c>
      <c r="AN51" s="5">
        <f t="shared" si="60"/>
        <v>1</v>
      </c>
      <c r="AO51" s="5">
        <f t="shared" si="60"/>
        <v>1</v>
      </c>
      <c r="AP51" s="5">
        <f t="shared" si="60"/>
        <v>1</v>
      </c>
      <c r="AQ51" s="5">
        <f t="shared" si="60"/>
        <v>1</v>
      </c>
      <c r="AR51" s="5">
        <f t="shared" si="60"/>
        <v>1</v>
      </c>
      <c r="AS51" s="5">
        <f t="shared" si="60"/>
        <v>1</v>
      </c>
      <c r="AT51" s="5">
        <f t="shared" si="60"/>
        <v>1</v>
      </c>
      <c r="AU51" s="5">
        <f t="shared" si="60"/>
        <v>1</v>
      </c>
      <c r="AV51" s="5">
        <f t="shared" si="60"/>
        <v>1</v>
      </c>
      <c r="AW51" s="5">
        <f t="shared" si="60"/>
        <v>1</v>
      </c>
      <c r="AX51" s="5">
        <f t="shared" si="60"/>
        <v>1</v>
      </c>
      <c r="AY51" s="5">
        <f t="shared" si="60"/>
        <v>1</v>
      </c>
      <c r="AZ51" s="5">
        <f t="shared" si="60"/>
        <v>1</v>
      </c>
      <c r="BA51" s="5">
        <f t="shared" si="60"/>
        <v>1</v>
      </c>
      <c r="BB51" s="5">
        <f t="shared" ref="BB51:BG51" si="61">1-(BB21/BB1)</f>
        <v>1</v>
      </c>
      <c r="BC51" s="5">
        <f t="shared" si="61"/>
        <v>1</v>
      </c>
      <c r="BD51" s="5">
        <f t="shared" si="61"/>
        <v>1</v>
      </c>
      <c r="BE51" s="5">
        <f t="shared" si="61"/>
        <v>1</v>
      </c>
      <c r="BF51" s="5">
        <f t="shared" si="61"/>
        <v>1</v>
      </c>
      <c r="BG51" s="5">
        <f t="shared" si="61"/>
        <v>1</v>
      </c>
      <c r="BH51" s="5">
        <f t="shared" ref="BH51:BI51" si="62">1-(BH21/BH1)</f>
        <v>1</v>
      </c>
      <c r="BI51" s="5">
        <f t="shared" si="62"/>
        <v>1</v>
      </c>
      <c r="BJ51" s="5">
        <f t="shared" ref="BJ51" si="63">1-(BJ21/BJ1)</f>
        <v>1</v>
      </c>
    </row>
    <row r="52" spans="1:62" x14ac:dyDescent="0.35">
      <c r="A52" s="7" t="s">
        <v>33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 spans="1:62" x14ac:dyDescent="0.35">
      <c r="A53" s="8" t="s">
        <v>26</v>
      </c>
      <c r="B53" s="5">
        <f>1-(B23/B1)</f>
        <v>1</v>
      </c>
      <c r="C53" s="5">
        <f t="shared" ref="C53:BA53" si="64">1-(C23/C1)</f>
        <v>1</v>
      </c>
      <c r="D53" s="5">
        <f t="shared" si="64"/>
        <v>1</v>
      </c>
      <c r="E53" s="5">
        <f t="shared" si="64"/>
        <v>1</v>
      </c>
      <c r="F53" s="5">
        <f t="shared" si="64"/>
        <v>1</v>
      </c>
      <c r="G53" s="5">
        <f t="shared" si="64"/>
        <v>1</v>
      </c>
      <c r="H53" s="5">
        <f t="shared" si="64"/>
        <v>1</v>
      </c>
      <c r="I53" s="5">
        <f t="shared" si="64"/>
        <v>1</v>
      </c>
      <c r="J53" s="5">
        <f t="shared" si="64"/>
        <v>1</v>
      </c>
      <c r="K53" s="5">
        <f t="shared" si="64"/>
        <v>1</v>
      </c>
      <c r="L53" s="5">
        <f t="shared" si="64"/>
        <v>1</v>
      </c>
      <c r="M53" s="5">
        <f t="shared" si="64"/>
        <v>1</v>
      </c>
      <c r="N53" s="5">
        <f t="shared" si="64"/>
        <v>1</v>
      </c>
      <c r="O53" s="5">
        <f t="shared" si="64"/>
        <v>1</v>
      </c>
      <c r="P53" s="5">
        <f t="shared" si="64"/>
        <v>1</v>
      </c>
      <c r="Q53" s="5">
        <f t="shared" si="64"/>
        <v>1</v>
      </c>
      <c r="R53" s="5">
        <f t="shared" si="64"/>
        <v>1</v>
      </c>
      <c r="S53" s="5">
        <f t="shared" si="64"/>
        <v>1</v>
      </c>
      <c r="T53" s="5">
        <f t="shared" si="64"/>
        <v>1</v>
      </c>
      <c r="U53" s="5">
        <f t="shared" si="64"/>
        <v>1</v>
      </c>
      <c r="V53" s="5">
        <f t="shared" si="64"/>
        <v>1</v>
      </c>
      <c r="W53" s="5">
        <f t="shared" si="64"/>
        <v>1</v>
      </c>
      <c r="X53" s="5">
        <f t="shared" si="64"/>
        <v>1</v>
      </c>
      <c r="Y53" s="5">
        <f t="shared" si="64"/>
        <v>0.99573717948717944</v>
      </c>
      <c r="Z53" s="5">
        <f t="shared" si="64"/>
        <v>0.99722916666666661</v>
      </c>
      <c r="AA53" s="5">
        <f t="shared" si="64"/>
        <v>0.9964043209876543</v>
      </c>
      <c r="AB53" s="5">
        <f t="shared" si="64"/>
        <v>1</v>
      </c>
      <c r="AC53" s="5">
        <f t="shared" si="64"/>
        <v>1</v>
      </c>
      <c r="AD53" s="5">
        <f t="shared" si="64"/>
        <v>1</v>
      </c>
      <c r="AE53" s="5">
        <f t="shared" si="64"/>
        <v>1</v>
      </c>
      <c r="AF53" s="5">
        <f t="shared" si="64"/>
        <v>1</v>
      </c>
      <c r="AG53" s="5">
        <f t="shared" si="64"/>
        <v>1</v>
      </c>
      <c r="AH53" s="5">
        <f t="shared" si="64"/>
        <v>1</v>
      </c>
      <c r="AI53" s="5">
        <f t="shared" si="64"/>
        <v>1</v>
      </c>
      <c r="AJ53" s="5">
        <f t="shared" si="64"/>
        <v>1</v>
      </c>
      <c r="AK53" s="5">
        <f t="shared" si="64"/>
        <v>1</v>
      </c>
      <c r="AL53" s="5">
        <f t="shared" si="64"/>
        <v>1</v>
      </c>
      <c r="AM53" s="5">
        <f t="shared" si="64"/>
        <v>1</v>
      </c>
      <c r="AN53" s="5">
        <f t="shared" si="64"/>
        <v>1</v>
      </c>
      <c r="AO53" s="5">
        <f t="shared" si="64"/>
        <v>1</v>
      </c>
      <c r="AP53" s="5">
        <f t="shared" si="64"/>
        <v>1</v>
      </c>
      <c r="AQ53" s="5">
        <f t="shared" si="64"/>
        <v>1</v>
      </c>
      <c r="AR53" s="5">
        <f t="shared" si="64"/>
        <v>1</v>
      </c>
      <c r="AS53" s="5">
        <f t="shared" si="64"/>
        <v>1</v>
      </c>
      <c r="AT53" s="5">
        <f t="shared" si="64"/>
        <v>1</v>
      </c>
      <c r="AU53" s="5">
        <f t="shared" si="64"/>
        <v>1</v>
      </c>
      <c r="AV53" s="5">
        <f t="shared" si="64"/>
        <v>1</v>
      </c>
      <c r="AW53" s="5">
        <f t="shared" si="64"/>
        <v>1</v>
      </c>
      <c r="AX53" s="5">
        <f t="shared" si="64"/>
        <v>1</v>
      </c>
      <c r="AY53" s="5">
        <f t="shared" si="64"/>
        <v>1</v>
      </c>
      <c r="AZ53" s="5">
        <f t="shared" si="64"/>
        <v>1</v>
      </c>
      <c r="BA53" s="5">
        <f t="shared" si="64"/>
        <v>1</v>
      </c>
      <c r="BB53" s="5">
        <f t="shared" ref="BB53:BG53" si="65">1-(BB23/BB1)</f>
        <v>1</v>
      </c>
      <c r="BC53" s="5">
        <f t="shared" si="65"/>
        <v>1</v>
      </c>
      <c r="BD53" s="5">
        <f t="shared" si="65"/>
        <v>1</v>
      </c>
      <c r="BE53" s="5">
        <f t="shared" si="65"/>
        <v>1</v>
      </c>
      <c r="BF53" s="5">
        <f t="shared" si="65"/>
        <v>1</v>
      </c>
      <c r="BG53" s="5">
        <f t="shared" si="65"/>
        <v>1</v>
      </c>
      <c r="BH53" s="5">
        <f t="shared" ref="BH53:BI53" si="66">1-(BH23/BH1)</f>
        <v>1</v>
      </c>
      <c r="BI53" s="5">
        <f t="shared" si="66"/>
        <v>1</v>
      </c>
      <c r="BJ53" s="5">
        <f t="shared" ref="BJ53" si="67">1-(BJ23/BJ1)</f>
        <v>1</v>
      </c>
    </row>
    <row r="54" spans="1:62" x14ac:dyDescent="0.35">
      <c r="A54" s="8" t="s">
        <v>27</v>
      </c>
      <c r="B54" s="5">
        <f>1-(B24/B1)</f>
        <v>1</v>
      </c>
      <c r="C54" s="5">
        <f t="shared" ref="C54:BA54" si="68">1-(C24/C1)</f>
        <v>1</v>
      </c>
      <c r="D54" s="5">
        <f t="shared" si="68"/>
        <v>1</v>
      </c>
      <c r="E54" s="5">
        <f t="shared" si="68"/>
        <v>1</v>
      </c>
      <c r="F54" s="5">
        <f t="shared" si="68"/>
        <v>1</v>
      </c>
      <c r="G54" s="5">
        <f t="shared" si="68"/>
        <v>1</v>
      </c>
      <c r="H54" s="5">
        <f t="shared" si="68"/>
        <v>1</v>
      </c>
      <c r="I54" s="5">
        <f t="shared" si="68"/>
        <v>1</v>
      </c>
      <c r="J54" s="5">
        <f t="shared" si="68"/>
        <v>1</v>
      </c>
      <c r="K54" s="5">
        <f t="shared" si="68"/>
        <v>1</v>
      </c>
      <c r="L54" s="5">
        <f t="shared" si="68"/>
        <v>1</v>
      </c>
      <c r="M54" s="5">
        <f t="shared" si="68"/>
        <v>1</v>
      </c>
      <c r="N54" s="5">
        <f t="shared" si="68"/>
        <v>1</v>
      </c>
      <c r="O54" s="5">
        <f t="shared" si="68"/>
        <v>1</v>
      </c>
      <c r="P54" s="5">
        <f t="shared" si="68"/>
        <v>1</v>
      </c>
      <c r="Q54" s="5">
        <f t="shared" si="68"/>
        <v>1</v>
      </c>
      <c r="R54" s="5">
        <f t="shared" si="68"/>
        <v>1</v>
      </c>
      <c r="S54" s="5">
        <f t="shared" si="68"/>
        <v>1</v>
      </c>
      <c r="T54" s="5">
        <f t="shared" si="68"/>
        <v>1</v>
      </c>
      <c r="U54" s="5">
        <f t="shared" si="68"/>
        <v>1</v>
      </c>
      <c r="V54" s="5">
        <f t="shared" si="68"/>
        <v>1</v>
      </c>
      <c r="W54" s="5">
        <f t="shared" si="68"/>
        <v>1</v>
      </c>
      <c r="X54" s="5">
        <f t="shared" si="68"/>
        <v>1</v>
      </c>
      <c r="Y54" s="5">
        <f t="shared" si="68"/>
        <v>0.99573717948717944</v>
      </c>
      <c r="Z54" s="5">
        <f t="shared" si="68"/>
        <v>0.99722916666666661</v>
      </c>
      <c r="AA54" s="5">
        <f t="shared" si="68"/>
        <v>0.99794753086419752</v>
      </c>
      <c r="AB54" s="5">
        <f t="shared" si="68"/>
        <v>1</v>
      </c>
      <c r="AC54" s="5">
        <f t="shared" si="68"/>
        <v>1</v>
      </c>
      <c r="AD54" s="5">
        <f t="shared" si="68"/>
        <v>1</v>
      </c>
      <c r="AE54" s="5">
        <f t="shared" si="68"/>
        <v>1</v>
      </c>
      <c r="AF54" s="5">
        <f t="shared" si="68"/>
        <v>1</v>
      </c>
      <c r="AG54" s="5">
        <f t="shared" si="68"/>
        <v>1</v>
      </c>
      <c r="AH54" s="5">
        <f t="shared" si="68"/>
        <v>1</v>
      </c>
      <c r="AI54" s="5">
        <f t="shared" si="68"/>
        <v>1</v>
      </c>
      <c r="AJ54" s="5">
        <f t="shared" si="68"/>
        <v>1</v>
      </c>
      <c r="AK54" s="5">
        <f t="shared" si="68"/>
        <v>1</v>
      </c>
      <c r="AL54" s="5">
        <f t="shared" si="68"/>
        <v>1</v>
      </c>
      <c r="AM54" s="5">
        <f t="shared" si="68"/>
        <v>1</v>
      </c>
      <c r="AN54" s="5">
        <f t="shared" si="68"/>
        <v>1</v>
      </c>
      <c r="AO54" s="5">
        <f t="shared" si="68"/>
        <v>1</v>
      </c>
      <c r="AP54" s="5">
        <f t="shared" si="68"/>
        <v>1</v>
      </c>
      <c r="AQ54" s="5">
        <f t="shared" si="68"/>
        <v>1</v>
      </c>
      <c r="AR54" s="5">
        <f t="shared" si="68"/>
        <v>1</v>
      </c>
      <c r="AS54" s="5">
        <f t="shared" si="68"/>
        <v>1</v>
      </c>
      <c r="AT54" s="5">
        <f t="shared" si="68"/>
        <v>1</v>
      </c>
      <c r="AU54" s="5">
        <f t="shared" si="68"/>
        <v>1</v>
      </c>
      <c r="AV54" s="5">
        <f t="shared" si="68"/>
        <v>1</v>
      </c>
      <c r="AW54" s="5">
        <f t="shared" si="68"/>
        <v>1</v>
      </c>
      <c r="AX54" s="5">
        <f t="shared" si="68"/>
        <v>1</v>
      </c>
      <c r="AY54" s="5">
        <f t="shared" si="68"/>
        <v>1</v>
      </c>
      <c r="AZ54" s="5">
        <f t="shared" si="68"/>
        <v>1</v>
      </c>
      <c r="BA54" s="5">
        <f t="shared" si="68"/>
        <v>1</v>
      </c>
      <c r="BB54" s="5">
        <f t="shared" ref="BB54:BG54" si="69">1-(BB24/BB1)</f>
        <v>1</v>
      </c>
      <c r="BC54" s="5">
        <f t="shared" si="69"/>
        <v>1</v>
      </c>
      <c r="BD54" s="5">
        <f t="shared" si="69"/>
        <v>1</v>
      </c>
      <c r="BE54" s="5">
        <f t="shared" si="69"/>
        <v>1</v>
      </c>
      <c r="BF54" s="5">
        <f t="shared" si="69"/>
        <v>1</v>
      </c>
      <c r="BG54" s="5">
        <f t="shared" si="69"/>
        <v>1</v>
      </c>
      <c r="BH54" s="5">
        <f t="shared" ref="BH54:BI54" si="70">1-(BH24/BH1)</f>
        <v>1</v>
      </c>
      <c r="BI54" s="5">
        <f t="shared" si="70"/>
        <v>1</v>
      </c>
      <c r="BJ54" s="5">
        <f t="shared" ref="BJ54" si="71">1-(BJ24/BJ1)</f>
        <v>0.99404761904761907</v>
      </c>
    </row>
    <row r="55" spans="1:62" x14ac:dyDescent="0.35">
      <c r="A55" s="8" t="s">
        <v>28</v>
      </c>
      <c r="B55" s="5">
        <f>1-(B25/B1)</f>
        <v>1</v>
      </c>
      <c r="C55" s="5">
        <f t="shared" ref="C55:BA55" si="72">1-(C25/C1)</f>
        <v>1</v>
      </c>
      <c r="D55" s="5">
        <f t="shared" si="72"/>
        <v>1</v>
      </c>
      <c r="E55" s="5">
        <f t="shared" si="72"/>
        <v>1</v>
      </c>
      <c r="F55" s="5">
        <f t="shared" si="72"/>
        <v>1</v>
      </c>
      <c r="G55" s="5">
        <f t="shared" si="72"/>
        <v>1</v>
      </c>
      <c r="H55" s="5">
        <f t="shared" si="72"/>
        <v>1</v>
      </c>
      <c r="I55" s="5">
        <f t="shared" si="72"/>
        <v>1</v>
      </c>
      <c r="J55" s="5">
        <f t="shared" si="72"/>
        <v>1</v>
      </c>
      <c r="K55" s="5">
        <f t="shared" si="72"/>
        <v>1</v>
      </c>
      <c r="L55" s="5">
        <f t="shared" si="72"/>
        <v>1</v>
      </c>
      <c r="M55" s="5">
        <f t="shared" si="72"/>
        <v>1</v>
      </c>
      <c r="N55" s="5">
        <f t="shared" si="72"/>
        <v>1</v>
      </c>
      <c r="O55" s="5">
        <f t="shared" si="72"/>
        <v>1</v>
      </c>
      <c r="P55" s="5">
        <f t="shared" si="72"/>
        <v>1</v>
      </c>
      <c r="Q55" s="5">
        <f t="shared" si="72"/>
        <v>1</v>
      </c>
      <c r="R55" s="5">
        <f t="shared" si="72"/>
        <v>1</v>
      </c>
      <c r="S55" s="5">
        <f t="shared" si="72"/>
        <v>1</v>
      </c>
      <c r="T55" s="5">
        <f t="shared" si="72"/>
        <v>1</v>
      </c>
      <c r="U55" s="5">
        <f t="shared" si="72"/>
        <v>1</v>
      </c>
      <c r="V55" s="5">
        <f t="shared" si="72"/>
        <v>1</v>
      </c>
      <c r="W55" s="5">
        <f t="shared" si="72"/>
        <v>1</v>
      </c>
      <c r="X55" s="5">
        <f t="shared" si="72"/>
        <v>1</v>
      </c>
      <c r="Y55" s="5">
        <f t="shared" si="72"/>
        <v>0.99573717948717944</v>
      </c>
      <c r="Z55" s="5">
        <f t="shared" si="72"/>
        <v>0.99722916666666661</v>
      </c>
      <c r="AA55" s="5">
        <f t="shared" si="72"/>
        <v>0.99794753086419752</v>
      </c>
      <c r="AB55" s="5">
        <f t="shared" si="72"/>
        <v>1</v>
      </c>
      <c r="AC55" s="5">
        <f t="shared" si="72"/>
        <v>1</v>
      </c>
      <c r="AD55" s="5">
        <f t="shared" si="72"/>
        <v>1</v>
      </c>
      <c r="AE55" s="5">
        <f t="shared" si="72"/>
        <v>1</v>
      </c>
      <c r="AF55" s="5">
        <f t="shared" si="72"/>
        <v>1</v>
      </c>
      <c r="AG55" s="5">
        <f t="shared" si="72"/>
        <v>1</v>
      </c>
      <c r="AH55" s="5">
        <f t="shared" si="72"/>
        <v>1</v>
      </c>
      <c r="AI55" s="5">
        <f t="shared" si="72"/>
        <v>1</v>
      </c>
      <c r="AJ55" s="5">
        <f t="shared" si="72"/>
        <v>1</v>
      </c>
      <c r="AK55" s="5">
        <f t="shared" si="72"/>
        <v>1</v>
      </c>
      <c r="AL55" s="5">
        <f t="shared" si="72"/>
        <v>1</v>
      </c>
      <c r="AM55" s="5">
        <f t="shared" si="72"/>
        <v>1</v>
      </c>
      <c r="AN55" s="5">
        <f t="shared" si="72"/>
        <v>1</v>
      </c>
      <c r="AO55" s="5">
        <f t="shared" si="72"/>
        <v>1</v>
      </c>
      <c r="AP55" s="5">
        <f t="shared" si="72"/>
        <v>1</v>
      </c>
      <c r="AQ55" s="5">
        <f t="shared" si="72"/>
        <v>1</v>
      </c>
      <c r="AR55" s="5">
        <f t="shared" si="72"/>
        <v>1</v>
      </c>
      <c r="AS55" s="5">
        <f t="shared" si="72"/>
        <v>1</v>
      </c>
      <c r="AT55" s="5">
        <f t="shared" si="72"/>
        <v>1</v>
      </c>
      <c r="AU55" s="5">
        <f t="shared" si="72"/>
        <v>1</v>
      </c>
      <c r="AV55" s="5">
        <f t="shared" si="72"/>
        <v>1</v>
      </c>
      <c r="AW55" s="5">
        <f t="shared" si="72"/>
        <v>1</v>
      </c>
      <c r="AX55" s="5">
        <f t="shared" si="72"/>
        <v>1</v>
      </c>
      <c r="AY55" s="5">
        <f t="shared" si="72"/>
        <v>1</v>
      </c>
      <c r="AZ55" s="5">
        <f t="shared" si="72"/>
        <v>1</v>
      </c>
      <c r="BA55" s="5">
        <f t="shared" si="72"/>
        <v>1</v>
      </c>
      <c r="BB55" s="5">
        <f t="shared" ref="BB55:BG55" si="73">1-(BB25/BB1)</f>
        <v>1</v>
      </c>
      <c r="BC55" s="5">
        <f t="shared" si="73"/>
        <v>1</v>
      </c>
      <c r="BD55" s="5">
        <f t="shared" si="73"/>
        <v>1</v>
      </c>
      <c r="BE55" s="5">
        <f t="shared" si="73"/>
        <v>1</v>
      </c>
      <c r="BF55" s="5">
        <f t="shared" si="73"/>
        <v>1</v>
      </c>
      <c r="BG55" s="5">
        <f t="shared" si="73"/>
        <v>1</v>
      </c>
      <c r="BH55" s="5">
        <f t="shared" ref="BH55:BI55" si="74">1-(BH25/BH1)</f>
        <v>1</v>
      </c>
      <c r="BI55" s="5">
        <f t="shared" si="74"/>
        <v>1</v>
      </c>
      <c r="BJ55" s="5">
        <f t="shared" ref="BJ55" si="75">1-(BJ25/BJ1)</f>
        <v>1</v>
      </c>
    </row>
    <row r="56" spans="1:6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</row>
  </sheetData>
  <conditionalFormatting sqref="B5:BI7">
    <cfRule type="containsBlanks" dxfId="237" priority="47">
      <formula>LEN(TRIM(B5))=0</formula>
    </cfRule>
    <cfRule type="cellIs" dxfId="236" priority="48" operator="greaterThan">
      <formula>0</formula>
    </cfRule>
  </conditionalFormatting>
  <conditionalFormatting sqref="B9:BI11">
    <cfRule type="containsBlanks" dxfId="235" priority="41">
      <formula>LEN(TRIM(B9))=0</formula>
    </cfRule>
    <cfRule type="cellIs" dxfId="234" priority="42" operator="greaterThan">
      <formula>0</formula>
    </cfRule>
  </conditionalFormatting>
  <conditionalFormatting sqref="B13:BI15">
    <cfRule type="containsBlanks" dxfId="233" priority="39">
      <formula>LEN(TRIM(B13))=0</formula>
    </cfRule>
    <cfRule type="cellIs" dxfId="232" priority="40" operator="greaterThan">
      <formula>0</formula>
    </cfRule>
  </conditionalFormatting>
  <conditionalFormatting sqref="B17:BI19">
    <cfRule type="containsBlanks" dxfId="231" priority="37">
      <formula>LEN(TRIM(B17))=0</formula>
    </cfRule>
    <cfRule type="cellIs" dxfId="230" priority="38" operator="greaterThan">
      <formula>0</formula>
    </cfRule>
  </conditionalFormatting>
  <conditionalFormatting sqref="B21:BJ21">
    <cfRule type="containsBlanks" dxfId="229" priority="119">
      <formula>LEN(TRIM(B21))=0</formula>
    </cfRule>
    <cfRule type="cellIs" dxfId="228" priority="120" operator="greaterThan">
      <formula>0</formula>
    </cfRule>
  </conditionalFormatting>
  <conditionalFormatting sqref="B23:BI25">
    <cfRule type="containsBlanks" dxfId="227" priority="35">
      <formula>LEN(TRIM(B23))=0</formula>
    </cfRule>
    <cfRule type="cellIs" dxfId="226" priority="36" operator="greaterThan">
      <formula>0</formula>
    </cfRule>
  </conditionalFormatting>
  <conditionalFormatting sqref="B31:BI33">
    <cfRule type="cellIs" dxfId="225" priority="49" stopIfTrue="1" operator="lessThan">
      <formula>0.999</formula>
    </cfRule>
    <cfRule type="cellIs" dxfId="224" priority="50" stopIfTrue="1" operator="between">
      <formula>0.9989</formula>
      <formula>0.9993</formula>
    </cfRule>
    <cfRule type="cellIs" dxfId="223" priority="51" operator="greaterThanOrEqual">
      <formula>0.9994</formula>
    </cfRule>
    <cfRule type="cellIs" dxfId="222" priority="52" operator="greaterThan">
      <formula>0.9999</formula>
    </cfRule>
  </conditionalFormatting>
  <conditionalFormatting sqref="B35:BI37">
    <cfRule type="cellIs" dxfId="221" priority="43" stopIfTrue="1" operator="lessThan">
      <formula>0.999</formula>
    </cfRule>
    <cfRule type="cellIs" dxfId="220" priority="44" stopIfTrue="1" operator="between">
      <formula>0.9989</formula>
      <formula>0.9993</formula>
    </cfRule>
    <cfRule type="cellIs" dxfId="219" priority="45" operator="greaterThanOrEqual">
      <formula>0.9994</formula>
    </cfRule>
    <cfRule type="cellIs" dxfId="218" priority="46" operator="greaterThan">
      <formula>0.9999</formula>
    </cfRule>
  </conditionalFormatting>
  <conditionalFormatting sqref="B39:BI41">
    <cfRule type="cellIs" dxfId="217" priority="65" stopIfTrue="1" operator="lessThan">
      <formula>0.999</formula>
    </cfRule>
    <cfRule type="cellIs" dxfId="216" priority="66" stopIfTrue="1" operator="between">
      <formula>0.9989</formula>
      <formula>0.9993</formula>
    </cfRule>
    <cfRule type="cellIs" dxfId="215" priority="67" operator="greaterThanOrEqual">
      <formula>0.9994</formula>
    </cfRule>
    <cfRule type="cellIs" dxfId="214" priority="68" operator="greaterThan">
      <formula>0.9999</formula>
    </cfRule>
  </conditionalFormatting>
  <conditionalFormatting sqref="B43:BI45">
    <cfRule type="cellIs" dxfId="213" priority="61" stopIfTrue="1" operator="lessThan">
      <formula>0.999</formula>
    </cfRule>
    <cfRule type="cellIs" dxfId="212" priority="62" stopIfTrue="1" operator="between">
      <formula>0.9989</formula>
      <formula>0.9993</formula>
    </cfRule>
    <cfRule type="cellIs" dxfId="211" priority="63" operator="greaterThanOrEqual">
      <formula>0.9994</formula>
    </cfRule>
    <cfRule type="cellIs" dxfId="210" priority="64" operator="greaterThan">
      <formula>0.9999</formula>
    </cfRule>
  </conditionalFormatting>
  <conditionalFormatting sqref="B47:BI49">
    <cfRule type="cellIs" dxfId="209" priority="58" stopIfTrue="1" operator="between">
      <formula>0.9989</formula>
      <formula>0.9993</formula>
    </cfRule>
    <cfRule type="cellIs" dxfId="208" priority="57" stopIfTrue="1" operator="lessThan">
      <formula>0.999</formula>
    </cfRule>
    <cfRule type="cellIs" dxfId="207" priority="59" operator="greaterThanOrEqual">
      <formula>0.9994</formula>
    </cfRule>
    <cfRule type="cellIs" dxfId="206" priority="60" operator="greaterThan">
      <formula>0.9999</formula>
    </cfRule>
  </conditionalFormatting>
  <conditionalFormatting sqref="B51:BJ51">
    <cfRule type="cellIs" dxfId="205" priority="187" operator="greaterThan">
      <formula>0.9999</formula>
    </cfRule>
    <cfRule type="cellIs" dxfId="204" priority="184" stopIfTrue="1" operator="lessThan">
      <formula>0.999</formula>
    </cfRule>
    <cfRule type="cellIs" dxfId="203" priority="185" stopIfTrue="1" operator="between">
      <formula>0.9989</formula>
      <formula>0.9993</formula>
    </cfRule>
    <cfRule type="cellIs" dxfId="202" priority="186" operator="greaterThanOrEqual">
      <formula>0.9994</formula>
    </cfRule>
  </conditionalFormatting>
  <conditionalFormatting sqref="B53:BI55">
    <cfRule type="cellIs" dxfId="201" priority="56" operator="greaterThan">
      <formula>0.9999</formula>
    </cfRule>
    <cfRule type="cellIs" dxfId="200" priority="54" stopIfTrue="1" operator="between">
      <formula>0.9989</formula>
      <formula>0.9993</formula>
    </cfRule>
    <cfRule type="cellIs" dxfId="199" priority="53" stopIfTrue="1" operator="lessThan">
      <formula>0.999</formula>
    </cfRule>
    <cfRule type="cellIs" dxfId="198" priority="55" operator="greaterThanOrEqual">
      <formula>0.9994</formula>
    </cfRule>
  </conditionalFormatting>
  <conditionalFormatting sqref="BJ5:BJ7">
    <cfRule type="containsBlanks" dxfId="33" priority="13">
      <formula>LEN(TRIM(BJ5))=0</formula>
    </cfRule>
    <cfRule type="cellIs" dxfId="32" priority="14" operator="greaterThan">
      <formula>0</formula>
    </cfRule>
  </conditionalFormatting>
  <conditionalFormatting sqref="BJ9:BJ11">
    <cfRule type="containsBlanks" dxfId="31" priority="7">
      <formula>LEN(TRIM(BJ9))=0</formula>
    </cfRule>
    <cfRule type="cellIs" dxfId="30" priority="8" operator="greaterThan">
      <formula>0</formula>
    </cfRule>
  </conditionalFormatting>
  <conditionalFormatting sqref="BJ13:BJ15">
    <cfRule type="containsBlanks" dxfId="29" priority="5">
      <formula>LEN(TRIM(BJ13))=0</formula>
    </cfRule>
    <cfRule type="cellIs" dxfId="28" priority="6" operator="greaterThan">
      <formula>0</formula>
    </cfRule>
  </conditionalFormatting>
  <conditionalFormatting sqref="BJ17:BJ19">
    <cfRule type="containsBlanks" dxfId="27" priority="3">
      <formula>LEN(TRIM(BJ17))=0</formula>
    </cfRule>
    <cfRule type="cellIs" dxfId="26" priority="4" operator="greaterThan">
      <formula>0</formula>
    </cfRule>
  </conditionalFormatting>
  <conditionalFormatting sqref="BJ23:BJ25">
    <cfRule type="containsBlanks" dxfId="25" priority="1">
      <formula>LEN(TRIM(BJ23))=0</formula>
    </cfRule>
    <cfRule type="cellIs" dxfId="24" priority="2" operator="greaterThan">
      <formula>0</formula>
    </cfRule>
  </conditionalFormatting>
  <conditionalFormatting sqref="BJ31:BJ33">
    <cfRule type="cellIs" dxfId="23" priority="15" stopIfTrue="1" operator="lessThan">
      <formula>0.999</formula>
    </cfRule>
    <cfRule type="cellIs" dxfId="22" priority="16" stopIfTrue="1" operator="between">
      <formula>0.9989</formula>
      <formula>0.9993</formula>
    </cfRule>
    <cfRule type="cellIs" dxfId="21" priority="17" operator="greaterThanOrEqual">
      <formula>0.9994</formula>
    </cfRule>
    <cfRule type="cellIs" dxfId="20" priority="18" operator="greaterThan">
      <formula>0.9999</formula>
    </cfRule>
  </conditionalFormatting>
  <conditionalFormatting sqref="BJ35:BJ37">
    <cfRule type="cellIs" dxfId="19" priority="9" stopIfTrue="1" operator="lessThan">
      <formula>0.999</formula>
    </cfRule>
    <cfRule type="cellIs" dxfId="18" priority="10" stopIfTrue="1" operator="between">
      <formula>0.9989</formula>
      <formula>0.9993</formula>
    </cfRule>
    <cfRule type="cellIs" dxfId="17" priority="11" operator="greaterThanOrEqual">
      <formula>0.9994</formula>
    </cfRule>
    <cfRule type="cellIs" dxfId="16" priority="12" operator="greaterThan">
      <formula>0.9999</formula>
    </cfRule>
  </conditionalFormatting>
  <conditionalFormatting sqref="BJ39:BJ41">
    <cfRule type="cellIs" dxfId="15" priority="31" stopIfTrue="1" operator="lessThan">
      <formula>0.999</formula>
    </cfRule>
    <cfRule type="cellIs" dxfId="14" priority="32" stopIfTrue="1" operator="between">
      <formula>0.9989</formula>
      <formula>0.9993</formula>
    </cfRule>
    <cfRule type="cellIs" dxfId="13" priority="33" operator="greaterThanOrEqual">
      <formula>0.9994</formula>
    </cfRule>
    <cfRule type="cellIs" dxfId="12" priority="34" operator="greaterThan">
      <formula>0.9999</formula>
    </cfRule>
  </conditionalFormatting>
  <conditionalFormatting sqref="BJ43:BJ45">
    <cfRule type="cellIs" dxfId="11" priority="27" stopIfTrue="1" operator="lessThan">
      <formula>0.999</formula>
    </cfRule>
    <cfRule type="cellIs" dxfId="10" priority="28" stopIfTrue="1" operator="between">
      <formula>0.9989</formula>
      <formula>0.9993</formula>
    </cfRule>
    <cfRule type="cellIs" dxfId="9" priority="29" operator="greaterThanOrEqual">
      <formula>0.9994</formula>
    </cfRule>
    <cfRule type="cellIs" dxfId="8" priority="30" operator="greaterThan">
      <formula>0.9999</formula>
    </cfRule>
  </conditionalFormatting>
  <conditionalFormatting sqref="BJ47:BJ49">
    <cfRule type="cellIs" dxfId="6" priority="23" stopIfTrue="1" operator="lessThan">
      <formula>0.999</formula>
    </cfRule>
    <cfRule type="cellIs" dxfId="7" priority="24" stopIfTrue="1" operator="between">
      <formula>0.9989</formula>
      <formula>0.9993</formula>
    </cfRule>
    <cfRule type="cellIs" dxfId="5" priority="25" operator="greaterThanOrEqual">
      <formula>0.9994</formula>
    </cfRule>
    <cfRule type="cellIs" dxfId="4" priority="26" operator="greaterThan">
      <formula>0.9999</formula>
    </cfRule>
  </conditionalFormatting>
  <conditionalFormatting sqref="BJ53:BJ55">
    <cfRule type="cellIs" dxfId="1" priority="19" stopIfTrue="1" operator="lessThan">
      <formula>0.999</formula>
    </cfRule>
    <cfRule type="cellIs" dxfId="2" priority="20" stopIfTrue="1" operator="between">
      <formula>0.9989</formula>
      <formula>0.9993</formula>
    </cfRule>
    <cfRule type="cellIs" dxfId="0" priority="21" operator="greaterThanOrEqual">
      <formula>0.9994</formula>
    </cfRule>
    <cfRule type="cellIs" dxfId="3" priority="22" operator="greaterThan">
      <formula>0.9999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03FE-94B0-4344-A805-14C1B198F8B4}">
  <sheetPr codeName="Sheet5">
    <tabColor theme="6" tint="0.59999389629810485"/>
  </sheetPr>
  <dimension ref="A1:BI50"/>
  <sheetViews>
    <sheetView topLeftCell="AT11" workbookViewId="0">
      <selection activeCell="BJ21" sqref="BJ21"/>
    </sheetView>
  </sheetViews>
  <sheetFormatPr defaultRowHeight="14.5" x14ac:dyDescent="0.35"/>
  <cols>
    <col min="1" max="1" width="38.54296875" customWidth="1"/>
    <col min="2" max="20" width="0" hidden="1" customWidth="1"/>
    <col min="21" max="21" width="10.1796875" hidden="1" customWidth="1"/>
    <col min="22" max="40" width="0" hidden="1" customWidth="1"/>
    <col min="42" max="42" width="11.1796875" customWidth="1"/>
    <col min="43" max="43" width="12.26953125" customWidth="1"/>
    <col min="44" max="44" width="11.1796875" customWidth="1"/>
    <col min="45" max="45" width="10.26953125" customWidth="1"/>
    <col min="47" max="47" width="10.1796875" customWidth="1"/>
    <col min="48" max="48" width="10.54296875" customWidth="1"/>
    <col min="49" max="49" width="10.26953125" customWidth="1"/>
    <col min="51" max="51" width="10.453125" customWidth="1"/>
    <col min="52" max="59" width="10.26953125" customWidth="1"/>
    <col min="60" max="61" width="9.08984375" bestFit="1" customWidth="1"/>
  </cols>
  <sheetData>
    <row r="1" spans="1:61" s="2" customFormat="1" x14ac:dyDescent="0.35">
      <c r="A1" s="9" t="s">
        <v>22</v>
      </c>
      <c r="B1" s="63">
        <v>72</v>
      </c>
      <c r="C1" s="1">
        <f>B1+168</f>
        <v>240</v>
      </c>
      <c r="D1" s="1">
        <f t="shared" ref="D1:F1" si="0">C1+168</f>
        <v>408</v>
      </c>
      <c r="E1" s="1">
        <f t="shared" si="0"/>
        <v>576</v>
      </c>
      <c r="F1" s="1">
        <f t="shared" si="0"/>
        <v>744</v>
      </c>
      <c r="G1" s="63">
        <v>168</v>
      </c>
      <c r="H1" s="1">
        <f t="shared" ref="H1:J1" si="1">G1+168</f>
        <v>336</v>
      </c>
      <c r="I1" s="1">
        <f t="shared" si="1"/>
        <v>504</v>
      </c>
      <c r="J1" s="1">
        <f t="shared" si="1"/>
        <v>672</v>
      </c>
      <c r="K1" s="63">
        <v>168</v>
      </c>
      <c r="L1" s="1">
        <f t="shared" ref="L1:N1" si="2">K1+168</f>
        <v>336</v>
      </c>
      <c r="M1" s="1">
        <f t="shared" si="2"/>
        <v>504</v>
      </c>
      <c r="N1" s="1">
        <f t="shared" si="2"/>
        <v>672</v>
      </c>
      <c r="O1" s="63">
        <v>96</v>
      </c>
      <c r="P1" s="1">
        <f>O1+168</f>
        <v>264</v>
      </c>
      <c r="Q1" s="1">
        <f t="shared" ref="Q1:R1" si="3">P1+168</f>
        <v>432</v>
      </c>
      <c r="R1" s="1">
        <f t="shared" si="3"/>
        <v>600</v>
      </c>
      <c r="S1" s="63">
        <v>48</v>
      </c>
      <c r="T1" s="1">
        <f>S1+168</f>
        <v>216</v>
      </c>
      <c r="U1" s="1">
        <f t="shared" ref="U1:W1" si="4">T1+168</f>
        <v>384</v>
      </c>
      <c r="V1" s="1">
        <f>U1+168</f>
        <v>552</v>
      </c>
      <c r="W1" s="1">
        <f t="shared" si="4"/>
        <v>720</v>
      </c>
      <c r="X1" s="63">
        <v>144</v>
      </c>
      <c r="Y1" s="1">
        <f>X1+168</f>
        <v>312</v>
      </c>
      <c r="Z1" s="1">
        <f t="shared" ref="Z1:AA1" si="5">Y1+168</f>
        <v>480</v>
      </c>
      <c r="AA1" s="1">
        <f t="shared" si="5"/>
        <v>648</v>
      </c>
      <c r="AB1" s="63">
        <v>96</v>
      </c>
      <c r="AC1" s="1">
        <f>AB1+168</f>
        <v>264</v>
      </c>
      <c r="AD1" s="1">
        <f t="shared" ref="AD1:AE1" si="6">AC1+168</f>
        <v>432</v>
      </c>
      <c r="AE1" s="1">
        <f t="shared" si="6"/>
        <v>600</v>
      </c>
      <c r="AF1" s="63">
        <v>24</v>
      </c>
      <c r="AG1" s="1">
        <f>AF1+168</f>
        <v>192</v>
      </c>
      <c r="AH1" s="1">
        <f t="shared" ref="AH1:AJ1" si="7">AG1+168</f>
        <v>360</v>
      </c>
      <c r="AI1" s="1">
        <f t="shared" si="7"/>
        <v>528</v>
      </c>
      <c r="AJ1" s="1">
        <f t="shared" si="7"/>
        <v>696</v>
      </c>
      <c r="AK1" s="63">
        <v>120</v>
      </c>
      <c r="AL1" s="1">
        <f>AK1+168</f>
        <v>288</v>
      </c>
      <c r="AM1" s="1">
        <f t="shared" ref="AM1:AN1" si="8">AL1+168</f>
        <v>456</v>
      </c>
      <c r="AN1" s="1">
        <f t="shared" si="8"/>
        <v>624</v>
      </c>
      <c r="AO1" s="63">
        <v>72</v>
      </c>
      <c r="AP1" s="1">
        <f>AO1+168</f>
        <v>240</v>
      </c>
      <c r="AQ1" s="1">
        <f t="shared" ref="AQ1:AS1" si="9">AP1+168</f>
        <v>408</v>
      </c>
      <c r="AR1" s="1">
        <f t="shared" si="9"/>
        <v>576</v>
      </c>
      <c r="AS1" s="1">
        <f t="shared" si="9"/>
        <v>744</v>
      </c>
      <c r="AT1" s="63">
        <v>168</v>
      </c>
      <c r="AU1" s="1">
        <f>AT1+168</f>
        <v>336</v>
      </c>
      <c r="AV1" s="1">
        <f t="shared" ref="AV1:AW1" si="10">AU1+168</f>
        <v>504</v>
      </c>
      <c r="AW1" s="1">
        <f t="shared" si="10"/>
        <v>672</v>
      </c>
      <c r="AX1" s="63">
        <v>120</v>
      </c>
      <c r="AY1" s="1">
        <f>AX1+168</f>
        <v>288</v>
      </c>
      <c r="AZ1" s="1">
        <f>AY1+168</f>
        <v>456</v>
      </c>
      <c r="BA1" s="1">
        <f>AZ1+168</f>
        <v>624</v>
      </c>
      <c r="BB1" s="1">
        <v>48</v>
      </c>
      <c r="BC1" s="1">
        <f>BB1+168</f>
        <v>216</v>
      </c>
      <c r="BD1" s="1">
        <f>BC1+168</f>
        <v>384</v>
      </c>
      <c r="BE1" s="1">
        <f>BD1+168</f>
        <v>552</v>
      </c>
      <c r="BF1" s="1">
        <f>BE1+168</f>
        <v>720</v>
      </c>
      <c r="BG1" s="1">
        <v>168</v>
      </c>
      <c r="BH1" s="1">
        <v>336</v>
      </c>
      <c r="BI1" s="1">
        <v>504</v>
      </c>
    </row>
    <row r="2" spans="1:61" s="2" customFormat="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8</v>
      </c>
    </row>
    <row r="3" spans="1:61" s="2" customFormat="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  <c r="BI3" s="64">
        <v>46073</v>
      </c>
    </row>
    <row r="4" spans="1:61" s="2" customFormat="1" x14ac:dyDescent="0.35">
      <c r="A4" s="59" t="s">
        <v>36</v>
      </c>
      <c r="B4" s="4">
        <f>SUM(B5:B8)</f>
        <v>0</v>
      </c>
      <c r="C4" s="4">
        <f t="shared" ref="C4:M4" si="11">SUM(C5:C8)</f>
        <v>0</v>
      </c>
      <c r="D4" s="4">
        <f t="shared" si="11"/>
        <v>0</v>
      </c>
      <c r="E4" s="4">
        <f t="shared" si="11"/>
        <v>0</v>
      </c>
      <c r="F4" s="4">
        <f t="shared" si="11"/>
        <v>0</v>
      </c>
      <c r="G4" s="4">
        <f t="shared" si="11"/>
        <v>0</v>
      </c>
      <c r="H4" s="4">
        <f t="shared" si="11"/>
        <v>0</v>
      </c>
      <c r="I4" s="4">
        <f t="shared" si="11"/>
        <v>0</v>
      </c>
      <c r="J4" s="4">
        <f t="shared" si="11"/>
        <v>0</v>
      </c>
      <c r="K4" s="4">
        <f t="shared" si="11"/>
        <v>0</v>
      </c>
      <c r="L4" s="4">
        <f t="shared" si="11"/>
        <v>0</v>
      </c>
      <c r="M4" s="4">
        <f t="shared" si="11"/>
        <v>9.3800000000000008</v>
      </c>
      <c r="N4" s="4">
        <f t="shared" ref="N4:O4" si="12">SUM(N5:N8)</f>
        <v>9.3800000000000008</v>
      </c>
      <c r="O4" s="4">
        <f t="shared" si="12"/>
        <v>0</v>
      </c>
      <c r="P4" s="4">
        <f t="shared" ref="P4" si="13">SUM(P5:P8)</f>
        <v>0</v>
      </c>
      <c r="Q4" s="4">
        <f t="shared" ref="Q4:R4" si="14">SUM(Q5:Q8)</f>
        <v>0</v>
      </c>
      <c r="R4" s="4">
        <f t="shared" si="14"/>
        <v>0</v>
      </c>
      <c r="S4" s="4">
        <f t="shared" ref="S4" si="15">SUM(S5:S8)</f>
        <v>0</v>
      </c>
      <c r="T4" s="4">
        <f t="shared" ref="T4:U4" si="16">SUM(T5:T8)</f>
        <v>0</v>
      </c>
      <c r="U4" s="4">
        <f t="shared" si="16"/>
        <v>0</v>
      </c>
      <c r="V4" s="4">
        <f t="shared" ref="V4:W4" si="17">SUM(V5:V8)</f>
        <v>0</v>
      </c>
      <c r="W4" s="4">
        <f t="shared" si="17"/>
        <v>0</v>
      </c>
      <c r="X4" s="4">
        <f t="shared" ref="X4:Y4" si="18">SUM(X5:X8)</f>
        <v>0</v>
      </c>
      <c r="Y4" s="4">
        <f t="shared" si="18"/>
        <v>0</v>
      </c>
      <c r="Z4" s="4">
        <f t="shared" ref="Z4:AB4" si="19">SUM(Z5:Z8)</f>
        <v>0</v>
      </c>
      <c r="AA4" s="4">
        <f t="shared" si="19"/>
        <v>0</v>
      </c>
      <c r="AB4" s="4">
        <f t="shared" si="19"/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</row>
    <row r="5" spans="1:61" s="2" customFormat="1" x14ac:dyDescent="0.35">
      <c r="A5" s="8" t="s">
        <v>37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</row>
    <row r="6" spans="1:61" s="2" customFormat="1" x14ac:dyDescent="0.35">
      <c r="A6" s="8" t="s">
        <v>38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9.3800000000000008</v>
      </c>
      <c r="N6" s="4">
        <v>9.3800000000000008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</row>
    <row r="7" spans="1:61" s="2" customFormat="1" x14ac:dyDescent="0.35">
      <c r="A7" s="8" t="s">
        <v>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</row>
    <row r="8" spans="1:61" s="2" customFormat="1" x14ac:dyDescent="0.35">
      <c r="A8" s="8" t="s">
        <v>40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</row>
    <row r="9" spans="1:61" s="2" customFormat="1" x14ac:dyDescent="0.35">
      <c r="A9" s="6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idden="1" x14ac:dyDescent="0.35">
      <c r="A10" s="7" t="s">
        <v>41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</row>
    <row r="11" spans="1:61" x14ac:dyDescent="0.35">
      <c r="A11" s="8" t="s">
        <v>42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</row>
    <row r="12" spans="1:61" x14ac:dyDescent="0.35">
      <c r="A12" s="8" t="s">
        <v>43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4.9800000000000004</v>
      </c>
      <c r="Z12" s="4">
        <v>4.9800000000000004</v>
      </c>
      <c r="AA12" s="4">
        <v>4.9800000000000004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</row>
    <row r="13" spans="1:61" x14ac:dyDescent="0.35">
      <c r="A13" s="8" t="s">
        <v>44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</row>
    <row r="14" spans="1:61" x14ac:dyDescent="0.35">
      <c r="A14" s="8" t="s">
        <v>45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</row>
    <row r="15" spans="1:61" x14ac:dyDescent="0.35">
      <c r="A15" s="8" t="s">
        <v>46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</row>
    <row r="16" spans="1:61" x14ac:dyDescent="0.35">
      <c r="A16" s="8" t="s">
        <v>47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1.33</v>
      </c>
      <c r="Z16" s="4">
        <v>1.33</v>
      </c>
      <c r="AA16" s="4">
        <v>2.33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</row>
    <row r="17" spans="1:61" x14ac:dyDescent="0.35">
      <c r="A17" s="60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</row>
    <row r="18" spans="1:61" s="2" customFormat="1" x14ac:dyDescent="0.35">
      <c r="A18" s="8" t="s">
        <v>48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2.8</v>
      </c>
      <c r="BI18" s="4">
        <v>0</v>
      </c>
    </row>
    <row r="19" spans="1:61" s="2" customFormat="1" x14ac:dyDescent="0.35">
      <c r="A19" s="8" t="s">
        <v>49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6</v>
      </c>
      <c r="AZ19" s="4">
        <v>6</v>
      </c>
      <c r="BA19" s="4">
        <v>6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</row>
    <row r="20" spans="1:61" s="2" customFormat="1" x14ac:dyDescent="0.35">
      <c r="A20" s="8" t="s">
        <v>50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</row>
    <row r="21" spans="1:61" s="2" customFormat="1" x14ac:dyDescent="0.35">
      <c r="A21" s="8" t="s">
        <v>51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9.3800000000000008</v>
      </c>
      <c r="N21" s="4">
        <v>9.3800000000000008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</row>
    <row r="22" spans="1:61" s="2" customFormat="1" x14ac:dyDescent="0.35">
      <c r="A22" s="8" t="s">
        <v>52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</row>
    <row r="23" spans="1:61" s="2" customForma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s="2" customFormat="1" x14ac:dyDescent="0.35"/>
    <row r="25" spans="1:61" s="2" customFormat="1" x14ac:dyDescent="0.35"/>
    <row r="26" spans="1:61" s="2" customFormat="1" hidden="1" x14ac:dyDescent="0.35"/>
    <row r="27" spans="1:61" s="2" customFormat="1" hidden="1" x14ac:dyDescent="0.35"/>
    <row r="28" spans="1:61" s="2" customFormat="1" hidden="1" x14ac:dyDescent="0.35"/>
    <row r="29" spans="1:61" s="2" customFormat="1" hidden="1" x14ac:dyDescent="0.35"/>
    <row r="30" spans="1:61" s="2" customFormat="1" x14ac:dyDescent="0.35">
      <c r="A30" s="7" t="s">
        <v>34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s="2" customFormat="1" x14ac:dyDescent="0.35">
      <c r="A31" s="7"/>
      <c r="B31" s="65" t="s">
        <v>53</v>
      </c>
      <c r="C31" s="65" t="s">
        <v>54</v>
      </c>
      <c r="D31" s="65" t="s">
        <v>55</v>
      </c>
      <c r="E31" s="65" t="s">
        <v>56</v>
      </c>
      <c r="F31" s="65" t="s">
        <v>57</v>
      </c>
      <c r="G31" s="65" t="s">
        <v>58</v>
      </c>
      <c r="H31" s="65" t="s">
        <v>59</v>
      </c>
      <c r="I31" s="65" t="s">
        <v>60</v>
      </c>
      <c r="J31" s="65" t="s">
        <v>61</v>
      </c>
      <c r="K31" s="65" t="s">
        <v>62</v>
      </c>
      <c r="L31" s="65" t="s">
        <v>63</v>
      </c>
      <c r="M31" s="65" t="s">
        <v>64</v>
      </c>
      <c r="N31" s="65" t="s">
        <v>65</v>
      </c>
      <c r="O31" s="65" t="s">
        <v>66</v>
      </c>
      <c r="P31" s="65" t="s">
        <v>67</v>
      </c>
      <c r="Q31" s="65" t="s">
        <v>68</v>
      </c>
      <c r="R31" s="65" t="s">
        <v>69</v>
      </c>
      <c r="S31" s="65" t="s">
        <v>70</v>
      </c>
      <c r="T31" s="65" t="s">
        <v>71</v>
      </c>
      <c r="U31" s="65" t="s">
        <v>72</v>
      </c>
      <c r="V31" s="65" t="s">
        <v>73</v>
      </c>
      <c r="W31" s="65" t="s">
        <v>74</v>
      </c>
      <c r="X31" s="65" t="s">
        <v>75</v>
      </c>
      <c r="Y31" s="65" t="s">
        <v>76</v>
      </c>
      <c r="Z31" s="65" t="s">
        <v>77</v>
      </c>
      <c r="AA31" s="65" t="s">
        <v>78</v>
      </c>
      <c r="AB31" s="65" t="s">
        <v>79</v>
      </c>
      <c r="AC31" s="65" t="s">
        <v>80</v>
      </c>
      <c r="AD31" s="65" t="s">
        <v>81</v>
      </c>
      <c r="AE31" s="65" t="s">
        <v>82</v>
      </c>
      <c r="AF31" s="65" t="s">
        <v>83</v>
      </c>
      <c r="AG31" s="65" t="s">
        <v>84</v>
      </c>
      <c r="AH31" s="65" t="s">
        <v>85</v>
      </c>
      <c r="AI31" s="65" t="s">
        <v>86</v>
      </c>
      <c r="AJ31" s="65" t="s">
        <v>87</v>
      </c>
      <c r="AK31" s="65" t="s">
        <v>88</v>
      </c>
      <c r="AL31" s="65" t="s">
        <v>89</v>
      </c>
      <c r="AM31" s="65" t="s">
        <v>90</v>
      </c>
      <c r="AN31" s="65" t="s">
        <v>91</v>
      </c>
      <c r="AO31" s="65" t="s">
        <v>92</v>
      </c>
      <c r="AP31" s="65" t="s">
        <v>93</v>
      </c>
      <c r="AQ31" s="65" t="s">
        <v>94</v>
      </c>
      <c r="AR31" s="65" t="s">
        <v>95</v>
      </c>
      <c r="AS31" s="65" t="s">
        <v>96</v>
      </c>
      <c r="AT31" s="65" t="s">
        <v>97</v>
      </c>
      <c r="AU31" s="65" t="s">
        <v>98</v>
      </c>
      <c r="AV31" s="65" t="s">
        <v>99</v>
      </c>
      <c r="AW31" s="65" t="s">
        <v>100</v>
      </c>
      <c r="AX31" s="65" t="s">
        <v>101</v>
      </c>
      <c r="AY31" s="65" t="s">
        <v>102</v>
      </c>
      <c r="AZ31" s="65" t="s">
        <v>103</v>
      </c>
      <c r="BA31" s="65" t="s">
        <v>104</v>
      </c>
      <c r="BB31" s="65">
        <v>1</v>
      </c>
      <c r="BC31" s="65">
        <v>2</v>
      </c>
      <c r="BD31" s="65">
        <v>3</v>
      </c>
      <c r="BE31" s="65">
        <v>4</v>
      </c>
      <c r="BF31" s="65">
        <v>5</v>
      </c>
      <c r="BG31" s="65">
        <v>6</v>
      </c>
      <c r="BH31" s="65">
        <v>6</v>
      </c>
      <c r="BI31" s="65">
        <v>6</v>
      </c>
    </row>
    <row r="32" spans="1:61" s="2" customFormat="1" x14ac:dyDescent="0.35">
      <c r="A32" s="59" t="s">
        <v>36</v>
      </c>
      <c r="B32" s="5">
        <f>1-(B4/B1)</f>
        <v>1</v>
      </c>
      <c r="C32" s="5">
        <f t="shared" ref="C32:BA32" si="20">1-(C4/C1)</f>
        <v>1</v>
      </c>
      <c r="D32" s="5">
        <f t="shared" si="20"/>
        <v>1</v>
      </c>
      <c r="E32" s="5">
        <f t="shared" si="20"/>
        <v>1</v>
      </c>
      <c r="F32" s="5">
        <f t="shared" si="20"/>
        <v>1</v>
      </c>
      <c r="G32" s="5">
        <f t="shared" si="20"/>
        <v>1</v>
      </c>
      <c r="H32" s="5">
        <f t="shared" si="20"/>
        <v>1</v>
      </c>
      <c r="I32" s="5">
        <f t="shared" si="20"/>
        <v>1</v>
      </c>
      <c r="J32" s="5">
        <f t="shared" si="20"/>
        <v>1</v>
      </c>
      <c r="K32" s="5">
        <f t="shared" si="20"/>
        <v>1</v>
      </c>
      <c r="L32" s="5">
        <f t="shared" si="20"/>
        <v>1</v>
      </c>
      <c r="M32" s="5">
        <f t="shared" si="20"/>
        <v>0.98138888888888887</v>
      </c>
      <c r="N32" s="5">
        <f t="shared" si="20"/>
        <v>0.98604166666666671</v>
      </c>
      <c r="O32" s="5">
        <f t="shared" si="20"/>
        <v>1</v>
      </c>
      <c r="P32" s="5">
        <f t="shared" si="20"/>
        <v>1</v>
      </c>
      <c r="Q32" s="5">
        <f t="shared" si="20"/>
        <v>1</v>
      </c>
      <c r="R32" s="5">
        <f t="shared" si="20"/>
        <v>1</v>
      </c>
      <c r="S32" s="5">
        <f t="shared" si="20"/>
        <v>1</v>
      </c>
      <c r="T32" s="5">
        <f t="shared" si="20"/>
        <v>1</v>
      </c>
      <c r="U32" s="5">
        <f t="shared" si="20"/>
        <v>1</v>
      </c>
      <c r="V32" s="5">
        <f t="shared" si="20"/>
        <v>1</v>
      </c>
      <c r="W32" s="5">
        <f t="shared" si="20"/>
        <v>1</v>
      </c>
      <c r="X32" s="5">
        <f t="shared" si="20"/>
        <v>1</v>
      </c>
      <c r="Y32" s="5">
        <f t="shared" si="20"/>
        <v>1</v>
      </c>
      <c r="Z32" s="5">
        <f t="shared" si="20"/>
        <v>1</v>
      </c>
      <c r="AA32" s="5">
        <f t="shared" si="20"/>
        <v>1</v>
      </c>
      <c r="AB32" s="5">
        <f t="shared" si="20"/>
        <v>1</v>
      </c>
      <c r="AC32" s="5">
        <f t="shared" si="20"/>
        <v>1</v>
      </c>
      <c r="AD32" s="5">
        <f t="shared" si="20"/>
        <v>1</v>
      </c>
      <c r="AE32" s="5">
        <f t="shared" si="20"/>
        <v>1</v>
      </c>
      <c r="AF32" s="5">
        <f t="shared" si="20"/>
        <v>1</v>
      </c>
      <c r="AG32" s="5">
        <f t="shared" si="20"/>
        <v>1</v>
      </c>
      <c r="AH32" s="5">
        <f t="shared" si="20"/>
        <v>1</v>
      </c>
      <c r="AI32" s="5">
        <f t="shared" si="20"/>
        <v>1</v>
      </c>
      <c r="AJ32" s="5">
        <f t="shared" si="20"/>
        <v>1</v>
      </c>
      <c r="AK32" s="5">
        <f t="shared" si="20"/>
        <v>1</v>
      </c>
      <c r="AL32" s="5">
        <f t="shared" si="20"/>
        <v>1</v>
      </c>
      <c r="AM32" s="5">
        <f t="shared" si="20"/>
        <v>1</v>
      </c>
      <c r="AN32" s="5">
        <f t="shared" si="20"/>
        <v>1</v>
      </c>
      <c r="AO32" s="5">
        <f t="shared" si="20"/>
        <v>1</v>
      </c>
      <c r="AP32" s="5">
        <f t="shared" si="20"/>
        <v>1</v>
      </c>
      <c r="AQ32" s="5">
        <f t="shared" si="20"/>
        <v>1</v>
      </c>
      <c r="AR32" s="5">
        <f t="shared" si="20"/>
        <v>1</v>
      </c>
      <c r="AS32" s="5">
        <f t="shared" si="20"/>
        <v>1</v>
      </c>
      <c r="AT32" s="5">
        <f t="shared" si="20"/>
        <v>1</v>
      </c>
      <c r="AU32" s="5">
        <f t="shared" si="20"/>
        <v>1</v>
      </c>
      <c r="AV32" s="5">
        <f t="shared" si="20"/>
        <v>1</v>
      </c>
      <c r="AW32" s="5">
        <f t="shared" si="20"/>
        <v>1</v>
      </c>
      <c r="AX32" s="5">
        <f t="shared" si="20"/>
        <v>1</v>
      </c>
      <c r="AY32" s="5">
        <f t="shared" si="20"/>
        <v>1</v>
      </c>
      <c r="AZ32" s="5">
        <f t="shared" si="20"/>
        <v>1</v>
      </c>
      <c r="BA32" s="5">
        <f t="shared" si="20"/>
        <v>1</v>
      </c>
      <c r="BB32" s="5">
        <f t="shared" ref="BB32:BG32" si="21">1-(BB4/BB1)</f>
        <v>1</v>
      </c>
      <c r="BC32" s="5">
        <f t="shared" si="21"/>
        <v>1</v>
      </c>
      <c r="BD32" s="5">
        <f t="shared" si="21"/>
        <v>1</v>
      </c>
      <c r="BE32" s="5">
        <f t="shared" si="21"/>
        <v>1</v>
      </c>
      <c r="BF32" s="5">
        <f t="shared" si="21"/>
        <v>1</v>
      </c>
      <c r="BG32" s="5">
        <f t="shared" si="21"/>
        <v>1</v>
      </c>
      <c r="BH32" s="5">
        <f>1-(BH4/BH1)</f>
        <v>1</v>
      </c>
      <c r="BI32" s="5">
        <f>1-(BI4/BI1)</f>
        <v>1</v>
      </c>
    </row>
    <row r="33" spans="1:61" s="2" customFormat="1" x14ac:dyDescent="0.35">
      <c r="A33" s="8" t="s">
        <v>37</v>
      </c>
      <c r="B33" s="5">
        <f>1-(B5/B1)</f>
        <v>1</v>
      </c>
      <c r="C33" s="5">
        <f t="shared" ref="C33:M33" si="22">1-(C5/C1)</f>
        <v>1</v>
      </c>
      <c r="D33" s="5">
        <f t="shared" si="22"/>
        <v>1</v>
      </c>
      <c r="E33" s="5">
        <f t="shared" si="22"/>
        <v>1</v>
      </c>
      <c r="F33" s="5">
        <f t="shared" si="22"/>
        <v>1</v>
      </c>
      <c r="G33" s="5">
        <f t="shared" si="22"/>
        <v>1</v>
      </c>
      <c r="H33" s="5">
        <f t="shared" si="22"/>
        <v>1</v>
      </c>
      <c r="I33" s="5">
        <f t="shared" si="22"/>
        <v>1</v>
      </c>
      <c r="J33" s="5">
        <f t="shared" si="22"/>
        <v>1</v>
      </c>
      <c r="K33" s="5">
        <f t="shared" si="22"/>
        <v>1</v>
      </c>
      <c r="L33" s="5">
        <f t="shared" si="22"/>
        <v>1</v>
      </c>
      <c r="M33" s="5">
        <f t="shared" si="22"/>
        <v>1</v>
      </c>
      <c r="N33" s="5">
        <f t="shared" ref="N33:BA33" si="23">1-(N5/N1)</f>
        <v>1</v>
      </c>
      <c r="O33" s="5">
        <f t="shared" si="23"/>
        <v>1</v>
      </c>
      <c r="P33" s="5">
        <f t="shared" si="23"/>
        <v>1</v>
      </c>
      <c r="Q33" s="5">
        <f t="shared" si="23"/>
        <v>1</v>
      </c>
      <c r="R33" s="5">
        <f t="shared" si="23"/>
        <v>1</v>
      </c>
      <c r="S33" s="5">
        <f t="shared" si="23"/>
        <v>1</v>
      </c>
      <c r="T33" s="5">
        <f t="shared" si="23"/>
        <v>1</v>
      </c>
      <c r="U33" s="5">
        <f t="shared" si="23"/>
        <v>1</v>
      </c>
      <c r="V33" s="5">
        <f t="shared" si="23"/>
        <v>1</v>
      </c>
      <c r="W33" s="5">
        <f t="shared" si="23"/>
        <v>1</v>
      </c>
      <c r="X33" s="5">
        <f t="shared" si="23"/>
        <v>1</v>
      </c>
      <c r="Y33" s="5">
        <f t="shared" si="23"/>
        <v>1</v>
      </c>
      <c r="Z33" s="5">
        <f t="shared" si="23"/>
        <v>1</v>
      </c>
      <c r="AA33" s="5">
        <f t="shared" si="23"/>
        <v>1</v>
      </c>
      <c r="AB33" s="5">
        <f t="shared" si="23"/>
        <v>1</v>
      </c>
      <c r="AC33" s="5">
        <f t="shared" si="23"/>
        <v>1</v>
      </c>
      <c r="AD33" s="5">
        <f t="shared" si="23"/>
        <v>1</v>
      </c>
      <c r="AE33" s="5">
        <f t="shared" si="23"/>
        <v>1</v>
      </c>
      <c r="AF33" s="5">
        <f t="shared" si="23"/>
        <v>1</v>
      </c>
      <c r="AG33" s="5">
        <f t="shared" si="23"/>
        <v>1</v>
      </c>
      <c r="AH33" s="5">
        <f t="shared" si="23"/>
        <v>1</v>
      </c>
      <c r="AI33" s="5">
        <f t="shared" si="23"/>
        <v>1</v>
      </c>
      <c r="AJ33" s="5">
        <f t="shared" si="23"/>
        <v>1</v>
      </c>
      <c r="AK33" s="5">
        <f t="shared" si="23"/>
        <v>1</v>
      </c>
      <c r="AL33" s="5">
        <f t="shared" si="23"/>
        <v>1</v>
      </c>
      <c r="AM33" s="5">
        <f t="shared" si="23"/>
        <v>1</v>
      </c>
      <c r="AN33" s="5">
        <f t="shared" si="23"/>
        <v>1</v>
      </c>
      <c r="AO33" s="5">
        <f t="shared" si="23"/>
        <v>1</v>
      </c>
      <c r="AP33" s="5">
        <f t="shared" si="23"/>
        <v>1</v>
      </c>
      <c r="AQ33" s="5">
        <f t="shared" si="23"/>
        <v>1</v>
      </c>
      <c r="AR33" s="5">
        <f t="shared" si="23"/>
        <v>1</v>
      </c>
      <c r="AS33" s="5">
        <f t="shared" si="23"/>
        <v>1</v>
      </c>
      <c r="AT33" s="5">
        <f t="shared" si="23"/>
        <v>1</v>
      </c>
      <c r="AU33" s="5">
        <f t="shared" si="23"/>
        <v>1</v>
      </c>
      <c r="AV33" s="5">
        <f t="shared" si="23"/>
        <v>1</v>
      </c>
      <c r="AW33" s="5">
        <f t="shared" si="23"/>
        <v>1</v>
      </c>
      <c r="AX33" s="5">
        <f t="shared" si="23"/>
        <v>1</v>
      </c>
      <c r="AY33" s="5">
        <f t="shared" si="23"/>
        <v>1</v>
      </c>
      <c r="AZ33" s="5">
        <f t="shared" si="23"/>
        <v>1</v>
      </c>
      <c r="BA33" s="5">
        <f t="shared" si="23"/>
        <v>1</v>
      </c>
      <c r="BB33" s="5">
        <f t="shared" ref="BB33:BG33" si="24">1-(BB5/BB1)</f>
        <v>1</v>
      </c>
      <c r="BC33" s="5">
        <f t="shared" si="24"/>
        <v>1</v>
      </c>
      <c r="BD33" s="5">
        <f t="shared" si="24"/>
        <v>1</v>
      </c>
      <c r="BE33" s="5">
        <f t="shared" si="24"/>
        <v>1</v>
      </c>
      <c r="BF33" s="5">
        <f t="shared" si="24"/>
        <v>1</v>
      </c>
      <c r="BG33" s="5">
        <f t="shared" si="24"/>
        <v>1</v>
      </c>
      <c r="BH33" s="5">
        <f>1-(BH5/BH1)</f>
        <v>1</v>
      </c>
      <c r="BI33" s="5">
        <f>1-(BI5/BI1)</f>
        <v>1</v>
      </c>
    </row>
    <row r="34" spans="1:61" s="2" customFormat="1" x14ac:dyDescent="0.35">
      <c r="A34" s="8" t="s">
        <v>38</v>
      </c>
      <c r="B34" s="5">
        <f>1-(B6/B1)</f>
        <v>1</v>
      </c>
      <c r="C34" s="5">
        <f t="shared" ref="C34:M34" si="25">1-(C6/C1)</f>
        <v>1</v>
      </c>
      <c r="D34" s="5">
        <f t="shared" si="25"/>
        <v>1</v>
      </c>
      <c r="E34" s="5">
        <f t="shared" si="25"/>
        <v>1</v>
      </c>
      <c r="F34" s="5">
        <f t="shared" si="25"/>
        <v>1</v>
      </c>
      <c r="G34" s="5">
        <f t="shared" si="25"/>
        <v>1</v>
      </c>
      <c r="H34" s="5">
        <f t="shared" si="25"/>
        <v>1</v>
      </c>
      <c r="I34" s="5">
        <f t="shared" si="25"/>
        <v>1</v>
      </c>
      <c r="J34" s="5">
        <f t="shared" si="25"/>
        <v>1</v>
      </c>
      <c r="K34" s="5">
        <f t="shared" si="25"/>
        <v>1</v>
      </c>
      <c r="L34" s="5">
        <f t="shared" si="25"/>
        <v>1</v>
      </c>
      <c r="M34" s="5">
        <f t="shared" si="25"/>
        <v>0.98138888888888887</v>
      </c>
      <c r="N34" s="5">
        <f t="shared" ref="N34:BA34" si="26">1-(N6/N1)</f>
        <v>0.98604166666666671</v>
      </c>
      <c r="O34" s="5">
        <f t="shared" si="26"/>
        <v>1</v>
      </c>
      <c r="P34" s="5">
        <f t="shared" si="26"/>
        <v>1</v>
      </c>
      <c r="Q34" s="5">
        <f t="shared" si="26"/>
        <v>1</v>
      </c>
      <c r="R34" s="5">
        <f t="shared" si="26"/>
        <v>1</v>
      </c>
      <c r="S34" s="5">
        <f t="shared" si="26"/>
        <v>1</v>
      </c>
      <c r="T34" s="5">
        <f t="shared" si="26"/>
        <v>1</v>
      </c>
      <c r="U34" s="5">
        <f t="shared" si="26"/>
        <v>1</v>
      </c>
      <c r="V34" s="5">
        <f t="shared" si="26"/>
        <v>1</v>
      </c>
      <c r="W34" s="5">
        <f t="shared" si="26"/>
        <v>1</v>
      </c>
      <c r="X34" s="5">
        <f t="shared" si="26"/>
        <v>1</v>
      </c>
      <c r="Y34" s="5">
        <f t="shared" si="26"/>
        <v>1</v>
      </c>
      <c r="Z34" s="5">
        <f t="shared" si="26"/>
        <v>1</v>
      </c>
      <c r="AA34" s="5">
        <f t="shared" si="26"/>
        <v>1</v>
      </c>
      <c r="AB34" s="5">
        <f t="shared" si="26"/>
        <v>1</v>
      </c>
      <c r="AC34" s="5">
        <f t="shared" si="26"/>
        <v>1</v>
      </c>
      <c r="AD34" s="5">
        <f t="shared" si="26"/>
        <v>1</v>
      </c>
      <c r="AE34" s="5">
        <f t="shared" si="26"/>
        <v>1</v>
      </c>
      <c r="AF34" s="5">
        <f t="shared" si="26"/>
        <v>1</v>
      </c>
      <c r="AG34" s="5">
        <f t="shared" si="26"/>
        <v>1</v>
      </c>
      <c r="AH34" s="5">
        <f t="shared" si="26"/>
        <v>1</v>
      </c>
      <c r="AI34" s="5">
        <f t="shared" si="26"/>
        <v>1</v>
      </c>
      <c r="AJ34" s="5">
        <f t="shared" si="26"/>
        <v>1</v>
      </c>
      <c r="AK34" s="5">
        <f t="shared" si="26"/>
        <v>1</v>
      </c>
      <c r="AL34" s="5">
        <f t="shared" si="26"/>
        <v>1</v>
      </c>
      <c r="AM34" s="5">
        <f t="shared" si="26"/>
        <v>1</v>
      </c>
      <c r="AN34" s="5">
        <f t="shared" si="26"/>
        <v>1</v>
      </c>
      <c r="AO34" s="5">
        <f t="shared" si="26"/>
        <v>1</v>
      </c>
      <c r="AP34" s="5">
        <f t="shared" si="26"/>
        <v>1</v>
      </c>
      <c r="AQ34" s="5">
        <f t="shared" si="26"/>
        <v>1</v>
      </c>
      <c r="AR34" s="5">
        <f t="shared" si="26"/>
        <v>1</v>
      </c>
      <c r="AS34" s="5">
        <f t="shared" si="26"/>
        <v>1</v>
      </c>
      <c r="AT34" s="5">
        <f t="shared" si="26"/>
        <v>1</v>
      </c>
      <c r="AU34" s="5">
        <f t="shared" si="26"/>
        <v>1</v>
      </c>
      <c r="AV34" s="5">
        <f t="shared" si="26"/>
        <v>1</v>
      </c>
      <c r="AW34" s="5">
        <f t="shared" si="26"/>
        <v>1</v>
      </c>
      <c r="AX34" s="5">
        <f t="shared" si="26"/>
        <v>1</v>
      </c>
      <c r="AY34" s="5">
        <f t="shared" si="26"/>
        <v>1</v>
      </c>
      <c r="AZ34" s="5">
        <f t="shared" si="26"/>
        <v>1</v>
      </c>
      <c r="BA34" s="5">
        <f t="shared" si="26"/>
        <v>1</v>
      </c>
      <c r="BB34" s="5">
        <f t="shared" ref="BB34:BG34" si="27">1-(BB6/BB1)</f>
        <v>1</v>
      </c>
      <c r="BC34" s="5">
        <f t="shared" si="27"/>
        <v>1</v>
      </c>
      <c r="BD34" s="5">
        <f t="shared" si="27"/>
        <v>1</v>
      </c>
      <c r="BE34" s="5">
        <f t="shared" si="27"/>
        <v>1</v>
      </c>
      <c r="BF34" s="5">
        <f t="shared" si="27"/>
        <v>1</v>
      </c>
      <c r="BG34" s="5">
        <f t="shared" si="27"/>
        <v>1</v>
      </c>
      <c r="BH34" s="5">
        <f>1-(BH6/BH1)</f>
        <v>1</v>
      </c>
      <c r="BI34" s="5">
        <f>1-(BI6/BI1)</f>
        <v>1</v>
      </c>
    </row>
    <row r="35" spans="1:61" s="2" customFormat="1" x14ac:dyDescent="0.35">
      <c r="A35" s="8" t="s">
        <v>39</v>
      </c>
      <c r="B35" s="5">
        <f>1-(B7/B1)</f>
        <v>1</v>
      </c>
      <c r="C35" s="5">
        <f t="shared" ref="C35:M35" si="28">1-(C7/C1)</f>
        <v>1</v>
      </c>
      <c r="D35" s="5">
        <f t="shared" si="28"/>
        <v>1</v>
      </c>
      <c r="E35" s="5">
        <f t="shared" si="28"/>
        <v>1</v>
      </c>
      <c r="F35" s="5">
        <f t="shared" si="28"/>
        <v>1</v>
      </c>
      <c r="G35" s="5">
        <f t="shared" si="28"/>
        <v>1</v>
      </c>
      <c r="H35" s="5">
        <f t="shared" si="28"/>
        <v>1</v>
      </c>
      <c r="I35" s="5">
        <f t="shared" si="28"/>
        <v>1</v>
      </c>
      <c r="J35" s="5">
        <f t="shared" si="28"/>
        <v>1</v>
      </c>
      <c r="K35" s="5">
        <f t="shared" si="28"/>
        <v>1</v>
      </c>
      <c r="L35" s="5">
        <f t="shared" si="28"/>
        <v>1</v>
      </c>
      <c r="M35" s="5">
        <f t="shared" si="28"/>
        <v>1</v>
      </c>
      <c r="N35" s="5">
        <f t="shared" ref="N35:BA35" si="29">1-(N7/N1)</f>
        <v>1</v>
      </c>
      <c r="O35" s="5">
        <f t="shared" si="29"/>
        <v>1</v>
      </c>
      <c r="P35" s="5">
        <f t="shared" si="29"/>
        <v>1</v>
      </c>
      <c r="Q35" s="5">
        <f t="shared" si="29"/>
        <v>1</v>
      </c>
      <c r="R35" s="5">
        <f t="shared" si="29"/>
        <v>1</v>
      </c>
      <c r="S35" s="5">
        <f t="shared" si="29"/>
        <v>1</v>
      </c>
      <c r="T35" s="5">
        <f t="shared" si="29"/>
        <v>1</v>
      </c>
      <c r="U35" s="5">
        <f t="shared" si="29"/>
        <v>1</v>
      </c>
      <c r="V35" s="5">
        <f t="shared" si="29"/>
        <v>1</v>
      </c>
      <c r="W35" s="5">
        <f t="shared" si="29"/>
        <v>1</v>
      </c>
      <c r="X35" s="5">
        <f t="shared" si="29"/>
        <v>1</v>
      </c>
      <c r="Y35" s="5">
        <f t="shared" si="29"/>
        <v>1</v>
      </c>
      <c r="Z35" s="5">
        <f t="shared" si="29"/>
        <v>1</v>
      </c>
      <c r="AA35" s="5">
        <f t="shared" si="29"/>
        <v>1</v>
      </c>
      <c r="AB35" s="5">
        <f t="shared" si="29"/>
        <v>1</v>
      </c>
      <c r="AC35" s="5">
        <f t="shared" si="29"/>
        <v>1</v>
      </c>
      <c r="AD35" s="5">
        <f t="shared" si="29"/>
        <v>1</v>
      </c>
      <c r="AE35" s="5">
        <f t="shared" si="29"/>
        <v>1</v>
      </c>
      <c r="AF35" s="5">
        <f t="shared" si="29"/>
        <v>1</v>
      </c>
      <c r="AG35" s="5">
        <f t="shared" si="29"/>
        <v>1</v>
      </c>
      <c r="AH35" s="5">
        <f t="shared" si="29"/>
        <v>1</v>
      </c>
      <c r="AI35" s="5">
        <f t="shared" si="29"/>
        <v>1</v>
      </c>
      <c r="AJ35" s="5">
        <f t="shared" si="29"/>
        <v>1</v>
      </c>
      <c r="AK35" s="5">
        <f t="shared" si="29"/>
        <v>1</v>
      </c>
      <c r="AL35" s="5">
        <f t="shared" si="29"/>
        <v>1</v>
      </c>
      <c r="AM35" s="5">
        <f t="shared" si="29"/>
        <v>1</v>
      </c>
      <c r="AN35" s="5">
        <f t="shared" si="29"/>
        <v>1</v>
      </c>
      <c r="AO35" s="5">
        <f t="shared" si="29"/>
        <v>1</v>
      </c>
      <c r="AP35" s="5">
        <f t="shared" si="29"/>
        <v>1</v>
      </c>
      <c r="AQ35" s="5">
        <f t="shared" si="29"/>
        <v>1</v>
      </c>
      <c r="AR35" s="5">
        <f t="shared" si="29"/>
        <v>1</v>
      </c>
      <c r="AS35" s="5">
        <f t="shared" si="29"/>
        <v>1</v>
      </c>
      <c r="AT35" s="5">
        <f t="shared" si="29"/>
        <v>1</v>
      </c>
      <c r="AU35" s="5">
        <f t="shared" si="29"/>
        <v>1</v>
      </c>
      <c r="AV35" s="5">
        <f t="shared" si="29"/>
        <v>1</v>
      </c>
      <c r="AW35" s="5">
        <f t="shared" si="29"/>
        <v>1</v>
      </c>
      <c r="AX35" s="5">
        <f t="shared" si="29"/>
        <v>1</v>
      </c>
      <c r="AY35" s="5">
        <f t="shared" si="29"/>
        <v>1</v>
      </c>
      <c r="AZ35" s="5">
        <f t="shared" si="29"/>
        <v>1</v>
      </c>
      <c r="BA35" s="5">
        <f t="shared" si="29"/>
        <v>1</v>
      </c>
      <c r="BB35" s="5">
        <f t="shared" ref="BB35:BG35" si="30">1-(BB7/BB1)</f>
        <v>1</v>
      </c>
      <c r="BC35" s="5">
        <f t="shared" si="30"/>
        <v>1</v>
      </c>
      <c r="BD35" s="5">
        <f t="shared" si="30"/>
        <v>1</v>
      </c>
      <c r="BE35" s="5">
        <f t="shared" si="30"/>
        <v>1</v>
      </c>
      <c r="BF35" s="5">
        <f t="shared" si="30"/>
        <v>1</v>
      </c>
      <c r="BG35" s="5">
        <f t="shared" si="30"/>
        <v>1</v>
      </c>
      <c r="BH35" s="5">
        <f>1-(BH7/BH1)</f>
        <v>1</v>
      </c>
      <c r="BI35" s="5">
        <f>1-(BI7/BI1)</f>
        <v>1</v>
      </c>
    </row>
    <row r="36" spans="1:61" s="2" customFormat="1" x14ac:dyDescent="0.35">
      <c r="A36" s="8" t="s">
        <v>40</v>
      </c>
      <c r="B36" s="5">
        <f>1-(B8/B1)</f>
        <v>1</v>
      </c>
      <c r="C36" s="5">
        <f t="shared" ref="C36:M36" si="31">1-(C8/C1)</f>
        <v>1</v>
      </c>
      <c r="D36" s="5">
        <f t="shared" si="31"/>
        <v>1</v>
      </c>
      <c r="E36" s="5">
        <f t="shared" si="31"/>
        <v>1</v>
      </c>
      <c r="F36" s="5">
        <f t="shared" si="31"/>
        <v>1</v>
      </c>
      <c r="G36" s="5">
        <f t="shared" si="31"/>
        <v>1</v>
      </c>
      <c r="H36" s="5">
        <f t="shared" si="31"/>
        <v>1</v>
      </c>
      <c r="I36" s="5">
        <f t="shared" si="31"/>
        <v>1</v>
      </c>
      <c r="J36" s="5">
        <f t="shared" si="31"/>
        <v>1</v>
      </c>
      <c r="K36" s="5">
        <f t="shared" si="31"/>
        <v>1</v>
      </c>
      <c r="L36" s="5">
        <f t="shared" si="31"/>
        <v>1</v>
      </c>
      <c r="M36" s="5">
        <f t="shared" si="31"/>
        <v>1</v>
      </c>
      <c r="N36" s="5">
        <f t="shared" ref="N36:BA36" si="32">1-(N8/N1)</f>
        <v>1</v>
      </c>
      <c r="O36" s="5">
        <f t="shared" si="32"/>
        <v>1</v>
      </c>
      <c r="P36" s="5">
        <f t="shared" si="32"/>
        <v>1</v>
      </c>
      <c r="Q36" s="5">
        <f t="shared" si="32"/>
        <v>1</v>
      </c>
      <c r="R36" s="5">
        <f t="shared" si="32"/>
        <v>1</v>
      </c>
      <c r="S36" s="5">
        <f t="shared" si="32"/>
        <v>1</v>
      </c>
      <c r="T36" s="5">
        <f t="shared" si="32"/>
        <v>1</v>
      </c>
      <c r="U36" s="5">
        <f t="shared" si="32"/>
        <v>1</v>
      </c>
      <c r="V36" s="5">
        <f t="shared" si="32"/>
        <v>1</v>
      </c>
      <c r="W36" s="5">
        <f t="shared" si="32"/>
        <v>1</v>
      </c>
      <c r="X36" s="5">
        <f t="shared" si="32"/>
        <v>1</v>
      </c>
      <c r="Y36" s="5">
        <f t="shared" si="32"/>
        <v>1</v>
      </c>
      <c r="Z36" s="5">
        <f t="shared" si="32"/>
        <v>1</v>
      </c>
      <c r="AA36" s="5">
        <f t="shared" si="32"/>
        <v>1</v>
      </c>
      <c r="AB36" s="5">
        <f t="shared" si="32"/>
        <v>1</v>
      </c>
      <c r="AC36" s="5">
        <f t="shared" si="32"/>
        <v>1</v>
      </c>
      <c r="AD36" s="5">
        <f t="shared" si="32"/>
        <v>1</v>
      </c>
      <c r="AE36" s="5">
        <f t="shared" si="32"/>
        <v>1</v>
      </c>
      <c r="AF36" s="5">
        <f t="shared" si="32"/>
        <v>1</v>
      </c>
      <c r="AG36" s="5">
        <f t="shared" si="32"/>
        <v>1</v>
      </c>
      <c r="AH36" s="5">
        <f t="shared" si="32"/>
        <v>1</v>
      </c>
      <c r="AI36" s="5">
        <f t="shared" si="32"/>
        <v>1</v>
      </c>
      <c r="AJ36" s="5">
        <f t="shared" si="32"/>
        <v>1</v>
      </c>
      <c r="AK36" s="5">
        <f t="shared" si="32"/>
        <v>1</v>
      </c>
      <c r="AL36" s="5">
        <f t="shared" si="32"/>
        <v>1</v>
      </c>
      <c r="AM36" s="5">
        <f t="shared" si="32"/>
        <v>1</v>
      </c>
      <c r="AN36" s="5">
        <f t="shared" si="32"/>
        <v>1</v>
      </c>
      <c r="AO36" s="5">
        <f t="shared" si="32"/>
        <v>1</v>
      </c>
      <c r="AP36" s="5">
        <f t="shared" si="32"/>
        <v>1</v>
      </c>
      <c r="AQ36" s="5">
        <f t="shared" si="32"/>
        <v>1</v>
      </c>
      <c r="AR36" s="5">
        <f t="shared" si="32"/>
        <v>1</v>
      </c>
      <c r="AS36" s="5">
        <f t="shared" si="32"/>
        <v>1</v>
      </c>
      <c r="AT36" s="5">
        <f t="shared" si="32"/>
        <v>1</v>
      </c>
      <c r="AU36" s="5">
        <f t="shared" si="32"/>
        <v>1</v>
      </c>
      <c r="AV36" s="5">
        <f t="shared" si="32"/>
        <v>1</v>
      </c>
      <c r="AW36" s="5">
        <f t="shared" si="32"/>
        <v>1</v>
      </c>
      <c r="AX36" s="5">
        <f t="shared" si="32"/>
        <v>1</v>
      </c>
      <c r="AY36" s="5">
        <f t="shared" si="32"/>
        <v>1</v>
      </c>
      <c r="AZ36" s="5">
        <f t="shared" si="32"/>
        <v>1</v>
      </c>
      <c r="BA36" s="5">
        <f t="shared" si="32"/>
        <v>1</v>
      </c>
      <c r="BB36" s="5">
        <f t="shared" ref="BB36:BG36" si="33">1-(BB8/BB1)</f>
        <v>1</v>
      </c>
      <c r="BC36" s="5">
        <f t="shared" si="33"/>
        <v>1</v>
      </c>
      <c r="BD36" s="5">
        <f t="shared" si="33"/>
        <v>1</v>
      </c>
      <c r="BE36" s="5">
        <f t="shared" si="33"/>
        <v>1</v>
      </c>
      <c r="BF36" s="5">
        <f t="shared" si="33"/>
        <v>1</v>
      </c>
      <c r="BG36" s="5">
        <f t="shared" si="33"/>
        <v>1</v>
      </c>
      <c r="BH36" s="5">
        <f>1-(BH8/BH1)</f>
        <v>1</v>
      </c>
      <c r="BI36" s="5">
        <f>1-(BI8/BI1)</f>
        <v>1</v>
      </c>
    </row>
    <row r="37" spans="1:61" s="2" customFormat="1" x14ac:dyDescent="0.35">
      <c r="A37" s="6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 x14ac:dyDescent="0.35">
      <c r="A38" s="7" t="s">
        <v>41</v>
      </c>
      <c r="B38" s="5">
        <f>1-(B10/B1)</f>
        <v>1</v>
      </c>
      <c r="C38" s="5">
        <f t="shared" ref="C38:M38" si="34">1-(C10/C1)</f>
        <v>1</v>
      </c>
      <c r="D38" s="5">
        <f t="shared" si="34"/>
        <v>1</v>
      </c>
      <c r="E38" s="5">
        <f t="shared" si="34"/>
        <v>1</v>
      </c>
      <c r="F38" s="5">
        <f t="shared" si="34"/>
        <v>1</v>
      </c>
      <c r="G38" s="5">
        <f t="shared" si="34"/>
        <v>1</v>
      </c>
      <c r="H38" s="5">
        <f t="shared" si="34"/>
        <v>1</v>
      </c>
      <c r="I38" s="5">
        <f t="shared" si="34"/>
        <v>1</v>
      </c>
      <c r="J38" s="5">
        <f t="shared" si="34"/>
        <v>1</v>
      </c>
      <c r="K38" s="5">
        <f t="shared" si="34"/>
        <v>1</v>
      </c>
      <c r="L38" s="5">
        <f t="shared" si="34"/>
        <v>1</v>
      </c>
      <c r="M38" s="5">
        <f t="shared" si="34"/>
        <v>1</v>
      </c>
      <c r="N38" s="5">
        <f t="shared" ref="N38:BA38" si="35">1-(N10/N1)</f>
        <v>1</v>
      </c>
      <c r="O38" s="5">
        <f t="shared" si="35"/>
        <v>1</v>
      </c>
      <c r="P38" s="5">
        <f t="shared" si="35"/>
        <v>1</v>
      </c>
      <c r="Q38" s="5">
        <f t="shared" si="35"/>
        <v>1</v>
      </c>
      <c r="R38" s="5">
        <f t="shared" si="35"/>
        <v>1</v>
      </c>
      <c r="S38" s="5">
        <f t="shared" si="35"/>
        <v>1</v>
      </c>
      <c r="T38" s="5">
        <f t="shared" si="35"/>
        <v>1</v>
      </c>
      <c r="U38" s="5">
        <f t="shared" si="35"/>
        <v>1</v>
      </c>
      <c r="V38" s="5">
        <f t="shared" si="35"/>
        <v>1</v>
      </c>
      <c r="W38" s="5">
        <f t="shared" si="35"/>
        <v>1</v>
      </c>
      <c r="X38" s="5">
        <f t="shared" si="35"/>
        <v>1</v>
      </c>
      <c r="Y38" s="5">
        <f t="shared" si="35"/>
        <v>1</v>
      </c>
      <c r="Z38" s="5">
        <f t="shared" si="35"/>
        <v>1</v>
      </c>
      <c r="AA38" s="5">
        <f t="shared" si="35"/>
        <v>1</v>
      </c>
      <c r="AB38" s="5">
        <f t="shared" si="35"/>
        <v>1</v>
      </c>
      <c r="AC38" s="5">
        <f t="shared" si="35"/>
        <v>1</v>
      </c>
      <c r="AD38" s="5">
        <f t="shared" si="35"/>
        <v>1</v>
      </c>
      <c r="AE38" s="5">
        <f t="shared" si="35"/>
        <v>1</v>
      </c>
      <c r="AF38" s="5">
        <f t="shared" si="35"/>
        <v>1</v>
      </c>
      <c r="AG38" s="5">
        <f t="shared" si="35"/>
        <v>1</v>
      </c>
      <c r="AH38" s="5">
        <f t="shared" si="35"/>
        <v>1</v>
      </c>
      <c r="AI38" s="5">
        <f t="shared" si="35"/>
        <v>1</v>
      </c>
      <c r="AJ38" s="5">
        <f t="shared" si="35"/>
        <v>1</v>
      </c>
      <c r="AK38" s="5">
        <f t="shared" si="35"/>
        <v>1</v>
      </c>
      <c r="AL38" s="5">
        <f t="shared" si="35"/>
        <v>1</v>
      </c>
      <c r="AM38" s="5">
        <f t="shared" si="35"/>
        <v>1</v>
      </c>
      <c r="AN38" s="5">
        <f t="shared" si="35"/>
        <v>1</v>
      </c>
      <c r="AO38" s="5">
        <f t="shared" si="35"/>
        <v>1</v>
      </c>
      <c r="AP38" s="5">
        <f t="shared" si="35"/>
        <v>1</v>
      </c>
      <c r="AQ38" s="5">
        <f t="shared" si="35"/>
        <v>1</v>
      </c>
      <c r="AR38" s="5">
        <f t="shared" si="35"/>
        <v>1</v>
      </c>
      <c r="AS38" s="5">
        <f t="shared" si="35"/>
        <v>1</v>
      </c>
      <c r="AT38" s="5">
        <f t="shared" si="35"/>
        <v>1</v>
      </c>
      <c r="AU38" s="5">
        <f t="shared" si="35"/>
        <v>1</v>
      </c>
      <c r="AV38" s="5">
        <f t="shared" si="35"/>
        <v>1</v>
      </c>
      <c r="AW38" s="5">
        <f t="shared" si="35"/>
        <v>1</v>
      </c>
      <c r="AX38" s="5">
        <f t="shared" si="35"/>
        <v>1</v>
      </c>
      <c r="AY38" s="5">
        <f t="shared" si="35"/>
        <v>1</v>
      </c>
      <c r="AZ38" s="5">
        <f t="shared" si="35"/>
        <v>1</v>
      </c>
      <c r="BA38" s="5">
        <f t="shared" si="35"/>
        <v>1</v>
      </c>
      <c r="BB38" s="98"/>
      <c r="BC38" s="98"/>
      <c r="BD38" s="98"/>
      <c r="BE38" s="98"/>
      <c r="BF38" s="98"/>
      <c r="BG38" s="98"/>
      <c r="BH38" s="111"/>
      <c r="BI38" s="111"/>
    </row>
    <row r="39" spans="1:61" x14ac:dyDescent="0.35">
      <c r="A39" s="8" t="s">
        <v>42</v>
      </c>
      <c r="B39" s="5">
        <f>1-(B11/B1)</f>
        <v>1</v>
      </c>
      <c r="C39" s="5">
        <f t="shared" ref="C39:M39" si="36">1-(C11/C1)</f>
        <v>1</v>
      </c>
      <c r="D39" s="5">
        <f t="shared" si="36"/>
        <v>1</v>
      </c>
      <c r="E39" s="5">
        <f t="shared" si="36"/>
        <v>1</v>
      </c>
      <c r="F39" s="5">
        <f t="shared" si="36"/>
        <v>1</v>
      </c>
      <c r="G39" s="5">
        <f t="shared" si="36"/>
        <v>1</v>
      </c>
      <c r="H39" s="5">
        <f t="shared" si="36"/>
        <v>1</v>
      </c>
      <c r="I39" s="5">
        <f t="shared" si="36"/>
        <v>1</v>
      </c>
      <c r="J39" s="5">
        <f t="shared" si="36"/>
        <v>1</v>
      </c>
      <c r="K39" s="5">
        <f t="shared" si="36"/>
        <v>1</v>
      </c>
      <c r="L39" s="5">
        <f t="shared" si="36"/>
        <v>1</v>
      </c>
      <c r="M39" s="5">
        <f t="shared" si="36"/>
        <v>1</v>
      </c>
      <c r="N39" s="5">
        <f t="shared" ref="N39:BA39" si="37">1-(N11/N1)</f>
        <v>1</v>
      </c>
      <c r="O39" s="5">
        <f t="shared" si="37"/>
        <v>1</v>
      </c>
      <c r="P39" s="5">
        <f t="shared" si="37"/>
        <v>1</v>
      </c>
      <c r="Q39" s="5">
        <f t="shared" si="37"/>
        <v>1</v>
      </c>
      <c r="R39" s="5">
        <f t="shared" si="37"/>
        <v>1</v>
      </c>
      <c r="S39" s="5">
        <f t="shared" si="37"/>
        <v>1</v>
      </c>
      <c r="T39" s="5">
        <f t="shared" si="37"/>
        <v>1</v>
      </c>
      <c r="U39" s="5">
        <f t="shared" si="37"/>
        <v>1</v>
      </c>
      <c r="V39" s="5">
        <f t="shared" si="37"/>
        <v>1</v>
      </c>
      <c r="W39" s="5">
        <f t="shared" si="37"/>
        <v>1</v>
      </c>
      <c r="X39" s="5">
        <f t="shared" si="37"/>
        <v>1</v>
      </c>
      <c r="Y39" s="5">
        <f t="shared" si="37"/>
        <v>1</v>
      </c>
      <c r="Z39" s="5">
        <f t="shared" si="37"/>
        <v>1</v>
      </c>
      <c r="AA39" s="5">
        <f t="shared" si="37"/>
        <v>1</v>
      </c>
      <c r="AB39" s="5">
        <f t="shared" si="37"/>
        <v>1</v>
      </c>
      <c r="AC39" s="5">
        <f t="shared" si="37"/>
        <v>1</v>
      </c>
      <c r="AD39" s="5">
        <f t="shared" si="37"/>
        <v>1</v>
      </c>
      <c r="AE39" s="5">
        <f t="shared" si="37"/>
        <v>1</v>
      </c>
      <c r="AF39" s="5">
        <f t="shared" si="37"/>
        <v>1</v>
      </c>
      <c r="AG39" s="5">
        <f t="shared" si="37"/>
        <v>1</v>
      </c>
      <c r="AH39" s="5">
        <f t="shared" si="37"/>
        <v>1</v>
      </c>
      <c r="AI39" s="5">
        <f t="shared" si="37"/>
        <v>1</v>
      </c>
      <c r="AJ39" s="5">
        <f t="shared" si="37"/>
        <v>1</v>
      </c>
      <c r="AK39" s="5">
        <f t="shared" si="37"/>
        <v>1</v>
      </c>
      <c r="AL39" s="5">
        <f t="shared" si="37"/>
        <v>1</v>
      </c>
      <c r="AM39" s="5">
        <f t="shared" si="37"/>
        <v>1</v>
      </c>
      <c r="AN39" s="5">
        <f t="shared" si="37"/>
        <v>1</v>
      </c>
      <c r="AO39" s="5">
        <f t="shared" si="37"/>
        <v>1</v>
      </c>
      <c r="AP39" s="5">
        <f t="shared" si="37"/>
        <v>1</v>
      </c>
      <c r="AQ39" s="5">
        <f t="shared" si="37"/>
        <v>1</v>
      </c>
      <c r="AR39" s="5">
        <f t="shared" si="37"/>
        <v>1</v>
      </c>
      <c r="AS39" s="5">
        <f t="shared" si="37"/>
        <v>1</v>
      </c>
      <c r="AT39" s="5">
        <f t="shared" si="37"/>
        <v>1</v>
      </c>
      <c r="AU39" s="5">
        <f t="shared" si="37"/>
        <v>1</v>
      </c>
      <c r="AV39" s="5">
        <f t="shared" si="37"/>
        <v>1</v>
      </c>
      <c r="AW39" s="5">
        <f t="shared" si="37"/>
        <v>1</v>
      </c>
      <c r="AX39" s="5">
        <f t="shared" si="37"/>
        <v>1</v>
      </c>
      <c r="AY39" s="5">
        <f t="shared" si="37"/>
        <v>1</v>
      </c>
      <c r="AZ39" s="5">
        <f t="shared" si="37"/>
        <v>1</v>
      </c>
      <c r="BA39" s="5">
        <f t="shared" si="37"/>
        <v>1</v>
      </c>
      <c r="BB39" s="5">
        <f t="shared" ref="BB39:BG39" si="38">1-(BB11/BB1)</f>
        <v>1</v>
      </c>
      <c r="BC39" s="5">
        <f t="shared" si="38"/>
        <v>1</v>
      </c>
      <c r="BD39" s="5">
        <f t="shared" si="38"/>
        <v>1</v>
      </c>
      <c r="BE39" s="5">
        <f t="shared" si="38"/>
        <v>1</v>
      </c>
      <c r="BF39" s="5">
        <f t="shared" si="38"/>
        <v>1</v>
      </c>
      <c r="BG39" s="5">
        <f t="shared" si="38"/>
        <v>1</v>
      </c>
      <c r="BH39" s="5">
        <f>1-(BH11/BH1)</f>
        <v>1</v>
      </c>
      <c r="BI39" s="5">
        <f>1-(BI11/BI1)</f>
        <v>1</v>
      </c>
    </row>
    <row r="40" spans="1:61" x14ac:dyDescent="0.35">
      <c r="A40" s="8" t="s">
        <v>43</v>
      </c>
      <c r="B40" s="5">
        <f>1-(B12/B1)</f>
        <v>1</v>
      </c>
      <c r="C40" s="5">
        <f t="shared" ref="C40:M40" si="39">1-(C12/C1)</f>
        <v>1</v>
      </c>
      <c r="D40" s="5">
        <f t="shared" si="39"/>
        <v>1</v>
      </c>
      <c r="E40" s="5">
        <f t="shared" si="39"/>
        <v>1</v>
      </c>
      <c r="F40" s="5">
        <f t="shared" si="39"/>
        <v>1</v>
      </c>
      <c r="G40" s="5">
        <f t="shared" si="39"/>
        <v>1</v>
      </c>
      <c r="H40" s="5">
        <f t="shared" si="39"/>
        <v>1</v>
      </c>
      <c r="I40" s="5">
        <f t="shared" si="39"/>
        <v>1</v>
      </c>
      <c r="J40" s="5">
        <f t="shared" si="39"/>
        <v>1</v>
      </c>
      <c r="K40" s="5">
        <f t="shared" si="39"/>
        <v>1</v>
      </c>
      <c r="L40" s="5">
        <f t="shared" si="39"/>
        <v>1</v>
      </c>
      <c r="M40" s="5">
        <f t="shared" si="39"/>
        <v>1</v>
      </c>
      <c r="N40" s="5">
        <f t="shared" ref="N40:BA40" si="40">1-(N12/N1)</f>
        <v>1</v>
      </c>
      <c r="O40" s="5">
        <f t="shared" si="40"/>
        <v>1</v>
      </c>
      <c r="P40" s="5">
        <f t="shared" si="40"/>
        <v>1</v>
      </c>
      <c r="Q40" s="5">
        <f t="shared" si="40"/>
        <v>1</v>
      </c>
      <c r="R40" s="5">
        <f t="shared" si="40"/>
        <v>1</v>
      </c>
      <c r="S40" s="5">
        <f t="shared" si="40"/>
        <v>1</v>
      </c>
      <c r="T40" s="5">
        <f t="shared" si="40"/>
        <v>1</v>
      </c>
      <c r="U40" s="5">
        <f t="shared" si="40"/>
        <v>1</v>
      </c>
      <c r="V40" s="5">
        <f t="shared" si="40"/>
        <v>1</v>
      </c>
      <c r="W40" s="5">
        <f t="shared" si="40"/>
        <v>1</v>
      </c>
      <c r="X40" s="5">
        <f t="shared" si="40"/>
        <v>1</v>
      </c>
      <c r="Y40" s="5">
        <f t="shared" si="40"/>
        <v>0.98403846153846153</v>
      </c>
      <c r="Z40" s="5">
        <f t="shared" si="40"/>
        <v>0.98962499999999998</v>
      </c>
      <c r="AA40" s="5">
        <f t="shared" si="40"/>
        <v>0.99231481481481476</v>
      </c>
      <c r="AB40" s="5">
        <f t="shared" si="40"/>
        <v>1</v>
      </c>
      <c r="AC40" s="5">
        <f t="shared" si="40"/>
        <v>1</v>
      </c>
      <c r="AD40" s="5">
        <f t="shared" si="40"/>
        <v>1</v>
      </c>
      <c r="AE40" s="5">
        <f t="shared" si="40"/>
        <v>1</v>
      </c>
      <c r="AF40" s="5">
        <f t="shared" si="40"/>
        <v>1</v>
      </c>
      <c r="AG40" s="5">
        <f t="shared" si="40"/>
        <v>1</v>
      </c>
      <c r="AH40" s="5">
        <f t="shared" si="40"/>
        <v>1</v>
      </c>
      <c r="AI40" s="5">
        <f t="shared" si="40"/>
        <v>1</v>
      </c>
      <c r="AJ40" s="5">
        <f t="shared" si="40"/>
        <v>1</v>
      </c>
      <c r="AK40" s="5">
        <f t="shared" si="40"/>
        <v>1</v>
      </c>
      <c r="AL40" s="5">
        <f t="shared" si="40"/>
        <v>1</v>
      </c>
      <c r="AM40" s="5">
        <f t="shared" si="40"/>
        <v>1</v>
      </c>
      <c r="AN40" s="5">
        <f t="shared" si="40"/>
        <v>1</v>
      </c>
      <c r="AO40" s="5">
        <f t="shared" si="40"/>
        <v>1</v>
      </c>
      <c r="AP40" s="5">
        <f t="shared" si="40"/>
        <v>1</v>
      </c>
      <c r="AQ40" s="5">
        <f t="shared" si="40"/>
        <v>1</v>
      </c>
      <c r="AR40" s="5">
        <f t="shared" si="40"/>
        <v>1</v>
      </c>
      <c r="AS40" s="5">
        <f t="shared" si="40"/>
        <v>1</v>
      </c>
      <c r="AT40" s="5">
        <f t="shared" si="40"/>
        <v>1</v>
      </c>
      <c r="AU40" s="5">
        <f t="shared" si="40"/>
        <v>1</v>
      </c>
      <c r="AV40" s="5">
        <f t="shared" si="40"/>
        <v>1</v>
      </c>
      <c r="AW40" s="5">
        <f t="shared" si="40"/>
        <v>1</v>
      </c>
      <c r="AX40" s="5">
        <f t="shared" si="40"/>
        <v>1</v>
      </c>
      <c r="AY40" s="5">
        <f t="shared" si="40"/>
        <v>1</v>
      </c>
      <c r="AZ40" s="5">
        <f t="shared" si="40"/>
        <v>1</v>
      </c>
      <c r="BA40" s="5">
        <f t="shared" si="40"/>
        <v>1</v>
      </c>
      <c r="BB40" s="5">
        <f t="shared" ref="BB40:BG40" si="41">1-(BB12/BB1)</f>
        <v>1</v>
      </c>
      <c r="BC40" s="5">
        <f t="shared" si="41"/>
        <v>1</v>
      </c>
      <c r="BD40" s="5">
        <f t="shared" si="41"/>
        <v>1</v>
      </c>
      <c r="BE40" s="5">
        <f t="shared" si="41"/>
        <v>1</v>
      </c>
      <c r="BF40" s="5">
        <f t="shared" si="41"/>
        <v>1</v>
      </c>
      <c r="BG40" s="5">
        <f t="shared" si="41"/>
        <v>1</v>
      </c>
      <c r="BH40" s="5">
        <f>1-(BH12/BH1)</f>
        <v>1</v>
      </c>
      <c r="BI40" s="5">
        <f>1-(BI12/BI1)</f>
        <v>1</v>
      </c>
    </row>
    <row r="41" spans="1:61" x14ac:dyDescent="0.35">
      <c r="A41" s="8" t="s">
        <v>44</v>
      </c>
      <c r="B41" s="5">
        <f>1-(B13/B1)</f>
        <v>1</v>
      </c>
      <c r="C41" s="5">
        <f t="shared" ref="C41:M41" si="42">1-(C13/C1)</f>
        <v>1</v>
      </c>
      <c r="D41" s="5">
        <f t="shared" si="42"/>
        <v>1</v>
      </c>
      <c r="E41" s="5">
        <f t="shared" si="42"/>
        <v>1</v>
      </c>
      <c r="F41" s="5">
        <f t="shared" si="42"/>
        <v>1</v>
      </c>
      <c r="G41" s="5">
        <f t="shared" si="42"/>
        <v>1</v>
      </c>
      <c r="H41" s="5">
        <f t="shared" si="42"/>
        <v>1</v>
      </c>
      <c r="I41" s="5">
        <f t="shared" si="42"/>
        <v>1</v>
      </c>
      <c r="J41" s="5">
        <f t="shared" si="42"/>
        <v>1</v>
      </c>
      <c r="K41" s="5">
        <f t="shared" si="42"/>
        <v>1</v>
      </c>
      <c r="L41" s="5">
        <f t="shared" si="42"/>
        <v>1</v>
      </c>
      <c r="M41" s="5">
        <f t="shared" si="42"/>
        <v>1</v>
      </c>
      <c r="N41" s="5">
        <f t="shared" ref="N41:BA41" si="43">1-(N13/N1)</f>
        <v>1</v>
      </c>
      <c r="O41" s="5">
        <f t="shared" si="43"/>
        <v>1</v>
      </c>
      <c r="P41" s="5">
        <f t="shared" si="43"/>
        <v>1</v>
      </c>
      <c r="Q41" s="5">
        <f t="shared" si="43"/>
        <v>1</v>
      </c>
      <c r="R41" s="5">
        <f t="shared" si="43"/>
        <v>1</v>
      </c>
      <c r="S41" s="5">
        <f t="shared" si="43"/>
        <v>1</v>
      </c>
      <c r="T41" s="5">
        <f t="shared" si="43"/>
        <v>1</v>
      </c>
      <c r="U41" s="5">
        <f t="shared" si="43"/>
        <v>1</v>
      </c>
      <c r="V41" s="5">
        <f t="shared" si="43"/>
        <v>1</v>
      </c>
      <c r="W41" s="5">
        <f t="shared" si="43"/>
        <v>1</v>
      </c>
      <c r="X41" s="5">
        <f t="shared" si="43"/>
        <v>1</v>
      </c>
      <c r="Y41" s="5">
        <f t="shared" si="43"/>
        <v>1</v>
      </c>
      <c r="Z41" s="5">
        <f t="shared" si="43"/>
        <v>1</v>
      </c>
      <c r="AA41" s="5">
        <f t="shared" si="43"/>
        <v>1</v>
      </c>
      <c r="AB41" s="5">
        <f t="shared" si="43"/>
        <v>1</v>
      </c>
      <c r="AC41" s="5">
        <f t="shared" si="43"/>
        <v>1</v>
      </c>
      <c r="AD41" s="5">
        <f t="shared" si="43"/>
        <v>1</v>
      </c>
      <c r="AE41" s="5">
        <f t="shared" si="43"/>
        <v>1</v>
      </c>
      <c r="AF41" s="5">
        <f t="shared" si="43"/>
        <v>1</v>
      </c>
      <c r="AG41" s="5">
        <f t="shared" si="43"/>
        <v>1</v>
      </c>
      <c r="AH41" s="5">
        <f t="shared" si="43"/>
        <v>1</v>
      </c>
      <c r="AI41" s="5">
        <f t="shared" si="43"/>
        <v>1</v>
      </c>
      <c r="AJ41" s="5">
        <f t="shared" si="43"/>
        <v>1</v>
      </c>
      <c r="AK41" s="5">
        <f t="shared" si="43"/>
        <v>1</v>
      </c>
      <c r="AL41" s="5">
        <f t="shared" si="43"/>
        <v>1</v>
      </c>
      <c r="AM41" s="5">
        <f t="shared" si="43"/>
        <v>1</v>
      </c>
      <c r="AN41" s="5">
        <f t="shared" si="43"/>
        <v>1</v>
      </c>
      <c r="AO41" s="5">
        <f t="shared" si="43"/>
        <v>1</v>
      </c>
      <c r="AP41" s="5">
        <f t="shared" si="43"/>
        <v>1</v>
      </c>
      <c r="AQ41" s="5">
        <f t="shared" si="43"/>
        <v>1</v>
      </c>
      <c r="AR41" s="5">
        <f t="shared" si="43"/>
        <v>1</v>
      </c>
      <c r="AS41" s="5">
        <f t="shared" si="43"/>
        <v>1</v>
      </c>
      <c r="AT41" s="5">
        <f t="shared" si="43"/>
        <v>1</v>
      </c>
      <c r="AU41" s="5">
        <f t="shared" si="43"/>
        <v>1</v>
      </c>
      <c r="AV41" s="5">
        <f t="shared" si="43"/>
        <v>1</v>
      </c>
      <c r="AW41" s="5">
        <f t="shared" si="43"/>
        <v>1</v>
      </c>
      <c r="AX41" s="5">
        <f t="shared" si="43"/>
        <v>1</v>
      </c>
      <c r="AY41" s="5">
        <f t="shared" si="43"/>
        <v>1</v>
      </c>
      <c r="AZ41" s="5">
        <f t="shared" si="43"/>
        <v>1</v>
      </c>
      <c r="BA41" s="5">
        <f t="shared" si="43"/>
        <v>1</v>
      </c>
      <c r="BB41" s="5">
        <f t="shared" ref="BB41:BG41" si="44">1-(BB13/BB1)</f>
        <v>1</v>
      </c>
      <c r="BC41" s="5">
        <f t="shared" si="44"/>
        <v>1</v>
      </c>
      <c r="BD41" s="5">
        <f t="shared" si="44"/>
        <v>1</v>
      </c>
      <c r="BE41" s="5">
        <f t="shared" si="44"/>
        <v>1</v>
      </c>
      <c r="BF41" s="5">
        <f t="shared" si="44"/>
        <v>1</v>
      </c>
      <c r="BG41" s="5">
        <f t="shared" si="44"/>
        <v>1</v>
      </c>
      <c r="BH41" s="5">
        <f>1-(BH13/BH1)</f>
        <v>1</v>
      </c>
      <c r="BI41" s="5">
        <f>1-(BI13/BI1)</f>
        <v>1</v>
      </c>
    </row>
    <row r="42" spans="1:61" x14ac:dyDescent="0.35">
      <c r="A42" s="8" t="s">
        <v>45</v>
      </c>
      <c r="B42" s="5">
        <f>1-(B14/B1)</f>
        <v>1</v>
      </c>
      <c r="C42" s="5">
        <f t="shared" ref="C42:M42" si="45">1-(C14/C1)</f>
        <v>1</v>
      </c>
      <c r="D42" s="5">
        <f t="shared" si="45"/>
        <v>1</v>
      </c>
      <c r="E42" s="5">
        <f t="shared" si="45"/>
        <v>1</v>
      </c>
      <c r="F42" s="5">
        <f t="shared" si="45"/>
        <v>1</v>
      </c>
      <c r="G42" s="5">
        <f t="shared" si="45"/>
        <v>1</v>
      </c>
      <c r="H42" s="5">
        <f t="shared" si="45"/>
        <v>1</v>
      </c>
      <c r="I42" s="5">
        <f t="shared" si="45"/>
        <v>1</v>
      </c>
      <c r="J42" s="5">
        <f t="shared" si="45"/>
        <v>1</v>
      </c>
      <c r="K42" s="5">
        <f t="shared" si="45"/>
        <v>1</v>
      </c>
      <c r="L42" s="5">
        <f t="shared" si="45"/>
        <v>1</v>
      </c>
      <c r="M42" s="5">
        <f t="shared" si="45"/>
        <v>1</v>
      </c>
      <c r="N42" s="5">
        <f t="shared" ref="N42:BA42" si="46">1-(N14/N1)</f>
        <v>1</v>
      </c>
      <c r="O42" s="5">
        <f t="shared" si="46"/>
        <v>1</v>
      </c>
      <c r="P42" s="5">
        <f t="shared" si="46"/>
        <v>1</v>
      </c>
      <c r="Q42" s="5">
        <f t="shared" si="46"/>
        <v>1</v>
      </c>
      <c r="R42" s="5">
        <f t="shared" si="46"/>
        <v>1</v>
      </c>
      <c r="S42" s="5">
        <f t="shared" si="46"/>
        <v>1</v>
      </c>
      <c r="T42" s="5">
        <f t="shared" si="46"/>
        <v>1</v>
      </c>
      <c r="U42" s="5">
        <f t="shared" si="46"/>
        <v>1</v>
      </c>
      <c r="V42" s="5">
        <f t="shared" si="46"/>
        <v>1</v>
      </c>
      <c r="W42" s="5">
        <f t="shared" si="46"/>
        <v>1</v>
      </c>
      <c r="X42" s="5">
        <f t="shared" si="46"/>
        <v>1</v>
      </c>
      <c r="Y42" s="5">
        <f t="shared" si="46"/>
        <v>1</v>
      </c>
      <c r="Z42" s="5">
        <f t="shared" si="46"/>
        <v>1</v>
      </c>
      <c r="AA42" s="5">
        <f t="shared" si="46"/>
        <v>1</v>
      </c>
      <c r="AB42" s="5">
        <f t="shared" si="46"/>
        <v>1</v>
      </c>
      <c r="AC42" s="5">
        <f t="shared" si="46"/>
        <v>1</v>
      </c>
      <c r="AD42" s="5">
        <f t="shared" si="46"/>
        <v>1</v>
      </c>
      <c r="AE42" s="5">
        <f t="shared" si="46"/>
        <v>1</v>
      </c>
      <c r="AF42" s="5">
        <f t="shared" si="46"/>
        <v>1</v>
      </c>
      <c r="AG42" s="5">
        <f t="shared" si="46"/>
        <v>1</v>
      </c>
      <c r="AH42" s="5">
        <f t="shared" si="46"/>
        <v>1</v>
      </c>
      <c r="AI42" s="5">
        <f t="shared" si="46"/>
        <v>1</v>
      </c>
      <c r="AJ42" s="5">
        <f t="shared" si="46"/>
        <v>1</v>
      </c>
      <c r="AK42" s="5">
        <f t="shared" si="46"/>
        <v>1</v>
      </c>
      <c r="AL42" s="5">
        <f t="shared" si="46"/>
        <v>1</v>
      </c>
      <c r="AM42" s="5">
        <f t="shared" si="46"/>
        <v>1</v>
      </c>
      <c r="AN42" s="5">
        <f t="shared" si="46"/>
        <v>1</v>
      </c>
      <c r="AO42" s="5">
        <f t="shared" si="46"/>
        <v>1</v>
      </c>
      <c r="AP42" s="5">
        <f t="shared" si="46"/>
        <v>1</v>
      </c>
      <c r="AQ42" s="5">
        <f t="shared" si="46"/>
        <v>1</v>
      </c>
      <c r="AR42" s="5">
        <f t="shared" si="46"/>
        <v>1</v>
      </c>
      <c r="AS42" s="5">
        <f t="shared" si="46"/>
        <v>1</v>
      </c>
      <c r="AT42" s="5">
        <f t="shared" si="46"/>
        <v>1</v>
      </c>
      <c r="AU42" s="5">
        <f t="shared" si="46"/>
        <v>1</v>
      </c>
      <c r="AV42" s="5">
        <f t="shared" si="46"/>
        <v>1</v>
      </c>
      <c r="AW42" s="5">
        <f t="shared" si="46"/>
        <v>1</v>
      </c>
      <c r="AX42" s="5">
        <f t="shared" si="46"/>
        <v>1</v>
      </c>
      <c r="AY42" s="5">
        <f t="shared" si="46"/>
        <v>1</v>
      </c>
      <c r="AZ42" s="5">
        <f t="shared" si="46"/>
        <v>1</v>
      </c>
      <c r="BA42" s="5">
        <f t="shared" si="46"/>
        <v>1</v>
      </c>
      <c r="BB42" s="5">
        <f t="shared" ref="BB42:BG42" si="47">1-(BB14/BB1)</f>
        <v>1</v>
      </c>
      <c r="BC42" s="5">
        <f t="shared" si="47"/>
        <v>1</v>
      </c>
      <c r="BD42" s="5">
        <f t="shared" si="47"/>
        <v>1</v>
      </c>
      <c r="BE42" s="5">
        <f t="shared" si="47"/>
        <v>1</v>
      </c>
      <c r="BF42" s="5">
        <f t="shared" si="47"/>
        <v>1</v>
      </c>
      <c r="BG42" s="5">
        <f t="shared" si="47"/>
        <v>1</v>
      </c>
      <c r="BH42" s="5">
        <f>1-(BH14/BH1)</f>
        <v>1</v>
      </c>
      <c r="BI42" s="5">
        <f>1-(BI14/BI1)</f>
        <v>1</v>
      </c>
    </row>
    <row r="43" spans="1:61" x14ac:dyDescent="0.35">
      <c r="A43" s="8" t="s">
        <v>46</v>
      </c>
      <c r="B43" s="5">
        <f>1-(B15/B1)</f>
        <v>1</v>
      </c>
      <c r="C43" s="5">
        <f t="shared" ref="C43:M43" si="48">1-(C15/C1)</f>
        <v>1</v>
      </c>
      <c r="D43" s="5">
        <f t="shared" si="48"/>
        <v>1</v>
      </c>
      <c r="E43" s="5">
        <f t="shared" si="48"/>
        <v>1</v>
      </c>
      <c r="F43" s="5">
        <f t="shared" si="48"/>
        <v>1</v>
      </c>
      <c r="G43" s="5">
        <f t="shared" si="48"/>
        <v>1</v>
      </c>
      <c r="H43" s="5">
        <f t="shared" si="48"/>
        <v>1</v>
      </c>
      <c r="I43" s="5">
        <f t="shared" si="48"/>
        <v>1</v>
      </c>
      <c r="J43" s="5">
        <f t="shared" si="48"/>
        <v>1</v>
      </c>
      <c r="K43" s="5">
        <f t="shared" si="48"/>
        <v>1</v>
      </c>
      <c r="L43" s="5">
        <f t="shared" si="48"/>
        <v>1</v>
      </c>
      <c r="M43" s="5">
        <f t="shared" si="48"/>
        <v>1</v>
      </c>
      <c r="N43" s="5">
        <f t="shared" ref="N43:BA43" si="49">1-(N15/N1)</f>
        <v>1</v>
      </c>
      <c r="O43" s="5">
        <f t="shared" si="49"/>
        <v>1</v>
      </c>
      <c r="P43" s="5">
        <f t="shared" si="49"/>
        <v>1</v>
      </c>
      <c r="Q43" s="5">
        <f t="shared" si="49"/>
        <v>1</v>
      </c>
      <c r="R43" s="5">
        <f t="shared" si="49"/>
        <v>1</v>
      </c>
      <c r="S43" s="5">
        <f t="shared" si="49"/>
        <v>1</v>
      </c>
      <c r="T43" s="5">
        <f t="shared" si="49"/>
        <v>1</v>
      </c>
      <c r="U43" s="5">
        <f t="shared" si="49"/>
        <v>1</v>
      </c>
      <c r="V43" s="5">
        <f t="shared" si="49"/>
        <v>1</v>
      </c>
      <c r="W43" s="5">
        <f t="shared" si="49"/>
        <v>1</v>
      </c>
      <c r="X43" s="5">
        <f t="shared" si="49"/>
        <v>1</v>
      </c>
      <c r="Y43" s="5">
        <f t="shared" si="49"/>
        <v>1</v>
      </c>
      <c r="Z43" s="5">
        <f t="shared" si="49"/>
        <v>1</v>
      </c>
      <c r="AA43" s="5">
        <f t="shared" si="49"/>
        <v>1</v>
      </c>
      <c r="AB43" s="5">
        <f t="shared" si="49"/>
        <v>1</v>
      </c>
      <c r="AC43" s="5">
        <f t="shared" si="49"/>
        <v>1</v>
      </c>
      <c r="AD43" s="5">
        <f t="shared" si="49"/>
        <v>1</v>
      </c>
      <c r="AE43" s="5">
        <f t="shared" si="49"/>
        <v>1</v>
      </c>
      <c r="AF43" s="5">
        <f t="shared" si="49"/>
        <v>1</v>
      </c>
      <c r="AG43" s="5">
        <f t="shared" si="49"/>
        <v>1</v>
      </c>
      <c r="AH43" s="5">
        <f t="shared" si="49"/>
        <v>1</v>
      </c>
      <c r="AI43" s="5">
        <f t="shared" si="49"/>
        <v>1</v>
      </c>
      <c r="AJ43" s="5">
        <f t="shared" si="49"/>
        <v>1</v>
      </c>
      <c r="AK43" s="5">
        <f t="shared" si="49"/>
        <v>1</v>
      </c>
      <c r="AL43" s="5">
        <f t="shared" si="49"/>
        <v>1</v>
      </c>
      <c r="AM43" s="5">
        <f t="shared" si="49"/>
        <v>1</v>
      </c>
      <c r="AN43" s="5">
        <f t="shared" si="49"/>
        <v>1</v>
      </c>
      <c r="AO43" s="5">
        <f t="shared" si="49"/>
        <v>1</v>
      </c>
      <c r="AP43" s="5">
        <f t="shared" si="49"/>
        <v>1</v>
      </c>
      <c r="AQ43" s="5">
        <f t="shared" si="49"/>
        <v>1</v>
      </c>
      <c r="AR43" s="5">
        <f t="shared" si="49"/>
        <v>1</v>
      </c>
      <c r="AS43" s="5">
        <f t="shared" si="49"/>
        <v>1</v>
      </c>
      <c r="AT43" s="5">
        <f t="shared" si="49"/>
        <v>1</v>
      </c>
      <c r="AU43" s="5">
        <f t="shared" si="49"/>
        <v>1</v>
      </c>
      <c r="AV43" s="5">
        <f t="shared" si="49"/>
        <v>1</v>
      </c>
      <c r="AW43" s="5">
        <f t="shared" si="49"/>
        <v>1</v>
      </c>
      <c r="AX43" s="5">
        <f t="shared" si="49"/>
        <v>1</v>
      </c>
      <c r="AY43" s="5">
        <f t="shared" si="49"/>
        <v>1</v>
      </c>
      <c r="AZ43" s="5">
        <f t="shared" si="49"/>
        <v>1</v>
      </c>
      <c r="BA43" s="5">
        <f t="shared" si="49"/>
        <v>1</v>
      </c>
      <c r="BB43" s="5">
        <f t="shared" ref="BB43:BG43" si="50">1-(BB15/BB1)</f>
        <v>1</v>
      </c>
      <c r="BC43" s="5">
        <f t="shared" si="50"/>
        <v>1</v>
      </c>
      <c r="BD43" s="5">
        <f t="shared" si="50"/>
        <v>1</v>
      </c>
      <c r="BE43" s="5">
        <f t="shared" si="50"/>
        <v>1</v>
      </c>
      <c r="BF43" s="5">
        <f t="shared" si="50"/>
        <v>1</v>
      </c>
      <c r="BG43" s="5">
        <f t="shared" si="50"/>
        <v>1</v>
      </c>
      <c r="BH43" s="5">
        <f>1-(BH15/BH1)</f>
        <v>1</v>
      </c>
      <c r="BI43" s="5">
        <f>1-(BI15/BI1)</f>
        <v>1</v>
      </c>
    </row>
    <row r="44" spans="1:61" x14ac:dyDescent="0.35">
      <c r="A44" s="8" t="s">
        <v>47</v>
      </c>
      <c r="B44" s="5">
        <f>1-(B16/B1)</f>
        <v>1</v>
      </c>
      <c r="C44" s="5">
        <f t="shared" ref="C44:M44" si="51">1-(C16/C1)</f>
        <v>1</v>
      </c>
      <c r="D44" s="5">
        <f t="shared" si="51"/>
        <v>1</v>
      </c>
      <c r="E44" s="5">
        <f t="shared" si="51"/>
        <v>1</v>
      </c>
      <c r="F44" s="5">
        <f t="shared" si="51"/>
        <v>1</v>
      </c>
      <c r="G44" s="5">
        <f t="shared" si="51"/>
        <v>1</v>
      </c>
      <c r="H44" s="5">
        <f t="shared" si="51"/>
        <v>1</v>
      </c>
      <c r="I44" s="5">
        <f t="shared" si="51"/>
        <v>1</v>
      </c>
      <c r="J44" s="5">
        <f t="shared" si="51"/>
        <v>1</v>
      </c>
      <c r="K44" s="5">
        <f t="shared" si="51"/>
        <v>1</v>
      </c>
      <c r="L44" s="5">
        <f t="shared" si="51"/>
        <v>1</v>
      </c>
      <c r="M44" s="5">
        <f t="shared" si="51"/>
        <v>1</v>
      </c>
      <c r="N44" s="5">
        <f t="shared" ref="N44:BA44" si="52">1-(N16/N1)</f>
        <v>1</v>
      </c>
      <c r="O44" s="5">
        <f t="shared" si="52"/>
        <v>1</v>
      </c>
      <c r="P44" s="5">
        <f t="shared" si="52"/>
        <v>1</v>
      </c>
      <c r="Q44" s="5">
        <f t="shared" si="52"/>
        <v>1</v>
      </c>
      <c r="R44" s="5">
        <f t="shared" si="52"/>
        <v>1</v>
      </c>
      <c r="S44" s="5">
        <f t="shared" si="52"/>
        <v>1</v>
      </c>
      <c r="T44" s="5">
        <f t="shared" si="52"/>
        <v>1</v>
      </c>
      <c r="U44" s="5">
        <f t="shared" si="52"/>
        <v>1</v>
      </c>
      <c r="V44" s="5">
        <f t="shared" si="52"/>
        <v>1</v>
      </c>
      <c r="W44" s="5">
        <f t="shared" si="52"/>
        <v>1</v>
      </c>
      <c r="X44" s="5">
        <f t="shared" si="52"/>
        <v>1</v>
      </c>
      <c r="Y44" s="5">
        <f t="shared" si="52"/>
        <v>0.99573717948717944</v>
      </c>
      <c r="Z44" s="5">
        <f t="shared" si="52"/>
        <v>0.99722916666666661</v>
      </c>
      <c r="AA44" s="5">
        <f t="shared" si="52"/>
        <v>0.9964043209876543</v>
      </c>
      <c r="AB44" s="5">
        <f t="shared" si="52"/>
        <v>1</v>
      </c>
      <c r="AC44" s="5">
        <f t="shared" si="52"/>
        <v>1</v>
      </c>
      <c r="AD44" s="5">
        <f t="shared" si="52"/>
        <v>1</v>
      </c>
      <c r="AE44" s="5">
        <f t="shared" si="52"/>
        <v>1</v>
      </c>
      <c r="AF44" s="5">
        <f t="shared" si="52"/>
        <v>1</v>
      </c>
      <c r="AG44" s="5">
        <f t="shared" si="52"/>
        <v>1</v>
      </c>
      <c r="AH44" s="5">
        <f t="shared" si="52"/>
        <v>1</v>
      </c>
      <c r="AI44" s="5">
        <f t="shared" si="52"/>
        <v>1</v>
      </c>
      <c r="AJ44" s="5">
        <f t="shared" si="52"/>
        <v>1</v>
      </c>
      <c r="AK44" s="5">
        <f t="shared" si="52"/>
        <v>1</v>
      </c>
      <c r="AL44" s="5">
        <f t="shared" si="52"/>
        <v>1</v>
      </c>
      <c r="AM44" s="5">
        <f t="shared" si="52"/>
        <v>1</v>
      </c>
      <c r="AN44" s="5">
        <f t="shared" si="52"/>
        <v>1</v>
      </c>
      <c r="AO44" s="5">
        <f t="shared" si="52"/>
        <v>1</v>
      </c>
      <c r="AP44" s="5">
        <f t="shared" si="52"/>
        <v>1</v>
      </c>
      <c r="AQ44" s="5">
        <f t="shared" si="52"/>
        <v>1</v>
      </c>
      <c r="AR44" s="5">
        <f t="shared" si="52"/>
        <v>1</v>
      </c>
      <c r="AS44" s="5">
        <f t="shared" si="52"/>
        <v>1</v>
      </c>
      <c r="AT44" s="5">
        <f t="shared" si="52"/>
        <v>1</v>
      </c>
      <c r="AU44" s="5">
        <f t="shared" si="52"/>
        <v>1</v>
      </c>
      <c r="AV44" s="5">
        <f t="shared" si="52"/>
        <v>1</v>
      </c>
      <c r="AW44" s="5">
        <f t="shared" si="52"/>
        <v>1</v>
      </c>
      <c r="AX44" s="5">
        <f t="shared" si="52"/>
        <v>1</v>
      </c>
      <c r="AY44" s="5">
        <f t="shared" si="52"/>
        <v>1</v>
      </c>
      <c r="AZ44" s="5">
        <f t="shared" si="52"/>
        <v>1</v>
      </c>
      <c r="BA44" s="5">
        <f t="shared" si="52"/>
        <v>1</v>
      </c>
      <c r="BB44" s="5">
        <f t="shared" ref="BB44:BG44" si="53">1-(BB16/BB1)</f>
        <v>1</v>
      </c>
      <c r="BC44" s="5">
        <f t="shared" si="53"/>
        <v>1</v>
      </c>
      <c r="BD44" s="5">
        <f t="shared" si="53"/>
        <v>1</v>
      </c>
      <c r="BE44" s="5">
        <f t="shared" si="53"/>
        <v>1</v>
      </c>
      <c r="BF44" s="5">
        <f t="shared" si="53"/>
        <v>1</v>
      </c>
      <c r="BG44" s="5">
        <f t="shared" si="53"/>
        <v>1</v>
      </c>
      <c r="BH44" s="5">
        <f>1-(BH16/BH1)</f>
        <v>1</v>
      </c>
      <c r="BI44" s="5">
        <f>1-(BI16/BI1)</f>
        <v>1</v>
      </c>
    </row>
    <row r="45" spans="1:61" x14ac:dyDescent="0.35">
      <c r="A45" s="60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</row>
    <row r="46" spans="1:61" s="2" customFormat="1" x14ac:dyDescent="0.35">
      <c r="A46" s="8" t="s">
        <v>48</v>
      </c>
      <c r="B46" s="5">
        <f>1-(B18/B1)</f>
        <v>1</v>
      </c>
      <c r="C46" s="5">
        <f t="shared" ref="C46:M46" si="54">1-(C18/C1)</f>
        <v>1</v>
      </c>
      <c r="D46" s="5">
        <f t="shared" si="54"/>
        <v>1</v>
      </c>
      <c r="E46" s="5">
        <f t="shared" si="54"/>
        <v>1</v>
      </c>
      <c r="F46" s="5">
        <f t="shared" si="54"/>
        <v>1</v>
      </c>
      <c r="G46" s="5">
        <f t="shared" si="54"/>
        <v>1</v>
      </c>
      <c r="H46" s="5">
        <f t="shared" si="54"/>
        <v>1</v>
      </c>
      <c r="I46" s="5">
        <f t="shared" si="54"/>
        <v>1</v>
      </c>
      <c r="J46" s="5">
        <f t="shared" si="54"/>
        <v>1</v>
      </c>
      <c r="K46" s="5">
        <f t="shared" si="54"/>
        <v>1</v>
      </c>
      <c r="L46" s="5">
        <f t="shared" si="54"/>
        <v>1</v>
      </c>
      <c r="M46" s="5">
        <f t="shared" si="54"/>
        <v>1</v>
      </c>
      <c r="N46" s="5">
        <f t="shared" ref="N46:BA46" si="55">1-(N18/N1)</f>
        <v>1</v>
      </c>
      <c r="O46" s="5">
        <f t="shared" si="55"/>
        <v>1</v>
      </c>
      <c r="P46" s="5">
        <f t="shared" si="55"/>
        <v>1</v>
      </c>
      <c r="Q46" s="5">
        <f t="shared" si="55"/>
        <v>1</v>
      </c>
      <c r="R46" s="5">
        <f t="shared" si="55"/>
        <v>1</v>
      </c>
      <c r="S46" s="5">
        <f t="shared" si="55"/>
        <v>1</v>
      </c>
      <c r="T46" s="5">
        <f t="shared" si="55"/>
        <v>1</v>
      </c>
      <c r="U46" s="5">
        <f t="shared" si="55"/>
        <v>1</v>
      </c>
      <c r="V46" s="5">
        <f t="shared" si="55"/>
        <v>1</v>
      </c>
      <c r="W46" s="5">
        <f t="shared" si="55"/>
        <v>1</v>
      </c>
      <c r="X46" s="5">
        <f t="shared" si="55"/>
        <v>1</v>
      </c>
      <c r="Y46" s="5">
        <f t="shared" si="55"/>
        <v>1</v>
      </c>
      <c r="Z46" s="5">
        <f t="shared" si="55"/>
        <v>1</v>
      </c>
      <c r="AA46" s="5">
        <f t="shared" si="55"/>
        <v>1</v>
      </c>
      <c r="AB46" s="5">
        <f t="shared" si="55"/>
        <v>1</v>
      </c>
      <c r="AC46" s="5">
        <f t="shared" si="55"/>
        <v>1</v>
      </c>
      <c r="AD46" s="5">
        <f t="shared" si="55"/>
        <v>1</v>
      </c>
      <c r="AE46" s="5">
        <f t="shared" si="55"/>
        <v>1</v>
      </c>
      <c r="AF46" s="5">
        <f t="shared" si="55"/>
        <v>1</v>
      </c>
      <c r="AG46" s="5">
        <f t="shared" si="55"/>
        <v>1</v>
      </c>
      <c r="AH46" s="5">
        <f t="shared" si="55"/>
        <v>1</v>
      </c>
      <c r="AI46" s="5">
        <f t="shared" si="55"/>
        <v>1</v>
      </c>
      <c r="AJ46" s="5">
        <f t="shared" si="55"/>
        <v>1</v>
      </c>
      <c r="AK46" s="5">
        <f t="shared" si="55"/>
        <v>1</v>
      </c>
      <c r="AL46" s="5">
        <f t="shared" si="55"/>
        <v>1</v>
      </c>
      <c r="AM46" s="5">
        <f t="shared" si="55"/>
        <v>1</v>
      </c>
      <c r="AN46" s="5">
        <f t="shared" si="55"/>
        <v>1</v>
      </c>
      <c r="AO46" s="5">
        <f t="shared" si="55"/>
        <v>1</v>
      </c>
      <c r="AP46" s="5">
        <f t="shared" si="55"/>
        <v>1</v>
      </c>
      <c r="AQ46" s="5">
        <f t="shared" si="55"/>
        <v>1</v>
      </c>
      <c r="AR46" s="5">
        <f t="shared" si="55"/>
        <v>1</v>
      </c>
      <c r="AS46" s="5">
        <f t="shared" si="55"/>
        <v>1</v>
      </c>
      <c r="AT46" s="5">
        <f t="shared" si="55"/>
        <v>1</v>
      </c>
      <c r="AU46" s="5">
        <f t="shared" si="55"/>
        <v>1</v>
      </c>
      <c r="AV46" s="5">
        <f t="shared" si="55"/>
        <v>1</v>
      </c>
      <c r="AW46" s="5">
        <f t="shared" si="55"/>
        <v>1</v>
      </c>
      <c r="AX46" s="5">
        <f t="shared" si="55"/>
        <v>1</v>
      </c>
      <c r="AY46" s="5">
        <f t="shared" si="55"/>
        <v>1</v>
      </c>
      <c r="AZ46" s="5">
        <f t="shared" si="55"/>
        <v>1</v>
      </c>
      <c r="BA46" s="5">
        <f t="shared" si="55"/>
        <v>1</v>
      </c>
      <c r="BB46" s="5">
        <f t="shared" ref="BB46:BG46" si="56">1-(BB18/BB1)</f>
        <v>1</v>
      </c>
      <c r="BC46" s="5">
        <f t="shared" si="56"/>
        <v>1</v>
      </c>
      <c r="BD46" s="5">
        <f t="shared" si="56"/>
        <v>1</v>
      </c>
      <c r="BE46" s="5">
        <f t="shared" si="56"/>
        <v>1</v>
      </c>
      <c r="BF46" s="5">
        <f t="shared" si="56"/>
        <v>1</v>
      </c>
      <c r="BG46" s="5">
        <f t="shared" si="56"/>
        <v>1</v>
      </c>
      <c r="BH46" s="5">
        <f>1-(BH18/BH1)</f>
        <v>0.9916666666666667</v>
      </c>
      <c r="BI46" s="5">
        <f>1-(BI18/BI1)</f>
        <v>1</v>
      </c>
    </row>
    <row r="47" spans="1:61" s="2" customFormat="1" x14ac:dyDescent="0.35">
      <c r="A47" s="8" t="s">
        <v>49</v>
      </c>
      <c r="B47" s="5">
        <f>1-(B19/B1)</f>
        <v>1</v>
      </c>
      <c r="C47" s="5">
        <f t="shared" ref="C47:M47" si="57">1-(C19/C1)</f>
        <v>1</v>
      </c>
      <c r="D47" s="5">
        <f t="shared" si="57"/>
        <v>1</v>
      </c>
      <c r="E47" s="5">
        <f t="shared" si="57"/>
        <v>1</v>
      </c>
      <c r="F47" s="5">
        <f t="shared" si="57"/>
        <v>1</v>
      </c>
      <c r="G47" s="5">
        <f t="shared" si="57"/>
        <v>1</v>
      </c>
      <c r="H47" s="5">
        <f t="shared" si="57"/>
        <v>1</v>
      </c>
      <c r="I47" s="5">
        <f t="shared" si="57"/>
        <v>1</v>
      </c>
      <c r="J47" s="5">
        <f t="shared" si="57"/>
        <v>1</v>
      </c>
      <c r="K47" s="5">
        <f t="shared" si="57"/>
        <v>1</v>
      </c>
      <c r="L47" s="5">
        <f t="shared" si="57"/>
        <v>1</v>
      </c>
      <c r="M47" s="5">
        <f t="shared" si="57"/>
        <v>1</v>
      </c>
      <c r="N47" s="5">
        <f t="shared" ref="N47:BA47" si="58">1-(N19/N1)</f>
        <v>1</v>
      </c>
      <c r="O47" s="5">
        <f t="shared" si="58"/>
        <v>1</v>
      </c>
      <c r="P47" s="5">
        <f t="shared" si="58"/>
        <v>1</v>
      </c>
      <c r="Q47" s="5">
        <f t="shared" si="58"/>
        <v>1</v>
      </c>
      <c r="R47" s="5">
        <f t="shared" si="58"/>
        <v>1</v>
      </c>
      <c r="S47" s="5">
        <f t="shared" si="58"/>
        <v>1</v>
      </c>
      <c r="T47" s="5">
        <f t="shared" si="58"/>
        <v>1</v>
      </c>
      <c r="U47" s="5">
        <f t="shared" si="58"/>
        <v>1</v>
      </c>
      <c r="V47" s="5">
        <f t="shared" si="58"/>
        <v>1</v>
      </c>
      <c r="W47" s="5">
        <f t="shared" si="58"/>
        <v>1</v>
      </c>
      <c r="X47" s="5">
        <f t="shared" si="58"/>
        <v>1</v>
      </c>
      <c r="Y47" s="5">
        <f t="shared" si="58"/>
        <v>1</v>
      </c>
      <c r="Z47" s="5">
        <f t="shared" si="58"/>
        <v>1</v>
      </c>
      <c r="AA47" s="5">
        <f t="shared" si="58"/>
        <v>1</v>
      </c>
      <c r="AB47" s="5">
        <f t="shared" si="58"/>
        <v>1</v>
      </c>
      <c r="AC47" s="5">
        <f t="shared" si="58"/>
        <v>1</v>
      </c>
      <c r="AD47" s="5">
        <f t="shared" si="58"/>
        <v>1</v>
      </c>
      <c r="AE47" s="5">
        <f t="shared" si="58"/>
        <v>1</v>
      </c>
      <c r="AF47" s="5">
        <f t="shared" si="58"/>
        <v>1</v>
      </c>
      <c r="AG47" s="5">
        <f t="shared" si="58"/>
        <v>1</v>
      </c>
      <c r="AH47" s="5">
        <f t="shared" si="58"/>
        <v>1</v>
      </c>
      <c r="AI47" s="5">
        <f t="shared" si="58"/>
        <v>1</v>
      </c>
      <c r="AJ47" s="5">
        <f t="shared" si="58"/>
        <v>1</v>
      </c>
      <c r="AK47" s="5">
        <f t="shared" si="58"/>
        <v>1</v>
      </c>
      <c r="AL47" s="5">
        <f t="shared" si="58"/>
        <v>1</v>
      </c>
      <c r="AM47" s="5">
        <f t="shared" si="58"/>
        <v>1</v>
      </c>
      <c r="AN47" s="5">
        <f t="shared" si="58"/>
        <v>1</v>
      </c>
      <c r="AO47" s="5">
        <f t="shared" si="58"/>
        <v>1</v>
      </c>
      <c r="AP47" s="5">
        <f t="shared" si="58"/>
        <v>1</v>
      </c>
      <c r="AQ47" s="5">
        <f t="shared" si="58"/>
        <v>1</v>
      </c>
      <c r="AR47" s="5">
        <f t="shared" si="58"/>
        <v>1</v>
      </c>
      <c r="AS47" s="5">
        <f t="shared" si="58"/>
        <v>1</v>
      </c>
      <c r="AT47" s="5">
        <f t="shared" si="58"/>
        <v>1</v>
      </c>
      <c r="AU47" s="5">
        <f t="shared" si="58"/>
        <v>1</v>
      </c>
      <c r="AV47" s="5">
        <f t="shared" si="58"/>
        <v>1</v>
      </c>
      <c r="AW47" s="5">
        <f t="shared" si="58"/>
        <v>1</v>
      </c>
      <c r="AX47" s="5">
        <f t="shared" si="58"/>
        <v>1</v>
      </c>
      <c r="AY47" s="5">
        <f t="shared" si="58"/>
        <v>0.97916666666666663</v>
      </c>
      <c r="AZ47" s="5">
        <f t="shared" si="58"/>
        <v>0.98684210526315785</v>
      </c>
      <c r="BA47" s="5">
        <f t="shared" si="58"/>
        <v>0.99038461538461542</v>
      </c>
      <c r="BB47" s="5">
        <f t="shared" ref="BB47:BG47" si="59">1-(BB19/BB1)</f>
        <v>1</v>
      </c>
      <c r="BC47" s="5">
        <f t="shared" si="59"/>
        <v>1</v>
      </c>
      <c r="BD47" s="5">
        <f t="shared" si="59"/>
        <v>1</v>
      </c>
      <c r="BE47" s="5">
        <f t="shared" si="59"/>
        <v>1</v>
      </c>
      <c r="BF47" s="5">
        <f t="shared" si="59"/>
        <v>1</v>
      </c>
      <c r="BG47" s="5">
        <f t="shared" si="59"/>
        <v>1</v>
      </c>
      <c r="BH47" s="5">
        <f>1-(BH19/BH1)</f>
        <v>1</v>
      </c>
      <c r="BI47" s="5">
        <f>1-(BI19/BI1)</f>
        <v>1</v>
      </c>
    </row>
    <row r="48" spans="1:61" s="2" customFormat="1" x14ac:dyDescent="0.35">
      <c r="A48" s="8" t="s">
        <v>50</v>
      </c>
      <c r="B48" s="5">
        <f>1-(B20/B1)</f>
        <v>1</v>
      </c>
      <c r="C48" s="5">
        <f t="shared" ref="C48:M48" si="60">1-(C20/C1)</f>
        <v>1</v>
      </c>
      <c r="D48" s="5">
        <f t="shared" si="60"/>
        <v>1</v>
      </c>
      <c r="E48" s="5">
        <f t="shared" si="60"/>
        <v>1</v>
      </c>
      <c r="F48" s="5">
        <f t="shared" si="60"/>
        <v>1</v>
      </c>
      <c r="G48" s="5">
        <f t="shared" si="60"/>
        <v>1</v>
      </c>
      <c r="H48" s="5">
        <f t="shared" si="60"/>
        <v>1</v>
      </c>
      <c r="I48" s="5">
        <f t="shared" si="60"/>
        <v>1</v>
      </c>
      <c r="J48" s="5">
        <f t="shared" si="60"/>
        <v>1</v>
      </c>
      <c r="K48" s="5">
        <f t="shared" si="60"/>
        <v>1</v>
      </c>
      <c r="L48" s="5">
        <f t="shared" si="60"/>
        <v>1</v>
      </c>
      <c r="M48" s="5">
        <f t="shared" si="60"/>
        <v>1</v>
      </c>
      <c r="N48" s="5">
        <f t="shared" ref="N48:BA48" si="61">1-(N20/N1)</f>
        <v>1</v>
      </c>
      <c r="O48" s="5">
        <f t="shared" si="61"/>
        <v>1</v>
      </c>
      <c r="P48" s="5">
        <f t="shared" si="61"/>
        <v>1</v>
      </c>
      <c r="Q48" s="5">
        <f t="shared" si="61"/>
        <v>1</v>
      </c>
      <c r="R48" s="5">
        <f t="shared" si="61"/>
        <v>1</v>
      </c>
      <c r="S48" s="5">
        <f t="shared" si="61"/>
        <v>1</v>
      </c>
      <c r="T48" s="5">
        <f t="shared" si="61"/>
        <v>1</v>
      </c>
      <c r="U48" s="5">
        <f t="shared" si="61"/>
        <v>1</v>
      </c>
      <c r="V48" s="5">
        <f t="shared" si="61"/>
        <v>1</v>
      </c>
      <c r="W48" s="5">
        <f t="shared" si="61"/>
        <v>1</v>
      </c>
      <c r="X48" s="5">
        <f t="shared" si="61"/>
        <v>1</v>
      </c>
      <c r="Y48" s="5">
        <f t="shared" si="61"/>
        <v>1</v>
      </c>
      <c r="Z48" s="5">
        <f t="shared" si="61"/>
        <v>1</v>
      </c>
      <c r="AA48" s="5">
        <f t="shared" si="61"/>
        <v>1</v>
      </c>
      <c r="AB48" s="5">
        <f t="shared" si="61"/>
        <v>1</v>
      </c>
      <c r="AC48" s="5">
        <f t="shared" si="61"/>
        <v>1</v>
      </c>
      <c r="AD48" s="5">
        <f t="shared" si="61"/>
        <v>1</v>
      </c>
      <c r="AE48" s="5">
        <f t="shared" si="61"/>
        <v>1</v>
      </c>
      <c r="AF48" s="5">
        <f t="shared" si="61"/>
        <v>1</v>
      </c>
      <c r="AG48" s="5">
        <f t="shared" si="61"/>
        <v>1</v>
      </c>
      <c r="AH48" s="5">
        <f t="shared" si="61"/>
        <v>1</v>
      </c>
      <c r="AI48" s="5">
        <f t="shared" si="61"/>
        <v>1</v>
      </c>
      <c r="AJ48" s="5">
        <f t="shared" si="61"/>
        <v>1</v>
      </c>
      <c r="AK48" s="5">
        <f t="shared" si="61"/>
        <v>1</v>
      </c>
      <c r="AL48" s="5">
        <f t="shared" si="61"/>
        <v>1</v>
      </c>
      <c r="AM48" s="5">
        <f t="shared" si="61"/>
        <v>1</v>
      </c>
      <c r="AN48" s="5">
        <f t="shared" si="61"/>
        <v>1</v>
      </c>
      <c r="AO48" s="5">
        <f t="shared" si="61"/>
        <v>1</v>
      </c>
      <c r="AP48" s="5">
        <f t="shared" si="61"/>
        <v>1</v>
      </c>
      <c r="AQ48" s="5">
        <f t="shared" si="61"/>
        <v>1</v>
      </c>
      <c r="AR48" s="5">
        <f t="shared" si="61"/>
        <v>1</v>
      </c>
      <c r="AS48" s="5">
        <f t="shared" si="61"/>
        <v>1</v>
      </c>
      <c r="AT48" s="5">
        <f t="shared" si="61"/>
        <v>1</v>
      </c>
      <c r="AU48" s="5">
        <f t="shared" si="61"/>
        <v>1</v>
      </c>
      <c r="AV48" s="5">
        <f t="shared" si="61"/>
        <v>1</v>
      </c>
      <c r="AW48" s="5">
        <f t="shared" si="61"/>
        <v>1</v>
      </c>
      <c r="AX48" s="5">
        <f t="shared" si="61"/>
        <v>1</v>
      </c>
      <c r="AY48" s="5">
        <f t="shared" si="61"/>
        <v>1</v>
      </c>
      <c r="AZ48" s="5">
        <f t="shared" si="61"/>
        <v>1</v>
      </c>
      <c r="BA48" s="5">
        <f t="shared" si="61"/>
        <v>1</v>
      </c>
      <c r="BB48" s="5">
        <f t="shared" ref="BB48:BG48" si="62">1-(BB20/BB1)</f>
        <v>1</v>
      </c>
      <c r="BC48" s="5">
        <f t="shared" si="62"/>
        <v>1</v>
      </c>
      <c r="BD48" s="5">
        <f t="shared" si="62"/>
        <v>1</v>
      </c>
      <c r="BE48" s="5">
        <f t="shared" si="62"/>
        <v>1</v>
      </c>
      <c r="BF48" s="5">
        <f t="shared" si="62"/>
        <v>1</v>
      </c>
      <c r="BG48" s="5">
        <f t="shared" si="62"/>
        <v>1</v>
      </c>
      <c r="BH48" s="5">
        <f>1-(BH20/BH1)</f>
        <v>1</v>
      </c>
      <c r="BI48" s="5">
        <f>1-(BI20/BI1)</f>
        <v>1</v>
      </c>
    </row>
    <row r="49" spans="1:61" s="2" customFormat="1" x14ac:dyDescent="0.35">
      <c r="A49" s="8" t="s">
        <v>51</v>
      </c>
      <c r="B49" s="5">
        <f>1-(B21/B1)</f>
        <v>1</v>
      </c>
      <c r="C49" s="5">
        <f t="shared" ref="C49:M49" si="63">1-(C21/C1)</f>
        <v>1</v>
      </c>
      <c r="D49" s="5">
        <f t="shared" si="63"/>
        <v>1</v>
      </c>
      <c r="E49" s="5">
        <f t="shared" si="63"/>
        <v>1</v>
      </c>
      <c r="F49" s="5">
        <f t="shared" si="63"/>
        <v>1</v>
      </c>
      <c r="G49" s="5">
        <f t="shared" si="63"/>
        <v>1</v>
      </c>
      <c r="H49" s="5">
        <f t="shared" si="63"/>
        <v>1</v>
      </c>
      <c r="I49" s="5">
        <f t="shared" si="63"/>
        <v>1</v>
      </c>
      <c r="J49" s="5">
        <f t="shared" si="63"/>
        <v>1</v>
      </c>
      <c r="K49" s="5">
        <f t="shared" si="63"/>
        <v>1</v>
      </c>
      <c r="L49" s="5">
        <f t="shared" si="63"/>
        <v>1</v>
      </c>
      <c r="M49" s="5">
        <f t="shared" si="63"/>
        <v>0.98138888888888887</v>
      </c>
      <c r="N49" s="5">
        <f t="shared" ref="N49:BA49" si="64">1-(N21/N1)</f>
        <v>0.98604166666666671</v>
      </c>
      <c r="O49" s="5">
        <f t="shared" si="64"/>
        <v>1</v>
      </c>
      <c r="P49" s="5">
        <f t="shared" si="64"/>
        <v>1</v>
      </c>
      <c r="Q49" s="5">
        <f t="shared" si="64"/>
        <v>1</v>
      </c>
      <c r="R49" s="5">
        <f t="shared" si="64"/>
        <v>1</v>
      </c>
      <c r="S49" s="5">
        <f t="shared" si="64"/>
        <v>1</v>
      </c>
      <c r="T49" s="5">
        <f t="shared" si="64"/>
        <v>1</v>
      </c>
      <c r="U49" s="5">
        <f t="shared" si="64"/>
        <v>1</v>
      </c>
      <c r="V49" s="5">
        <f t="shared" si="64"/>
        <v>1</v>
      </c>
      <c r="W49" s="5">
        <f t="shared" si="64"/>
        <v>1</v>
      </c>
      <c r="X49" s="5">
        <f t="shared" si="64"/>
        <v>1</v>
      </c>
      <c r="Y49" s="5">
        <f t="shared" si="64"/>
        <v>1</v>
      </c>
      <c r="Z49" s="5">
        <f t="shared" si="64"/>
        <v>1</v>
      </c>
      <c r="AA49" s="5">
        <f t="shared" si="64"/>
        <v>1</v>
      </c>
      <c r="AB49" s="5">
        <f t="shared" si="64"/>
        <v>1</v>
      </c>
      <c r="AC49" s="5">
        <f t="shared" si="64"/>
        <v>1</v>
      </c>
      <c r="AD49" s="5">
        <f t="shared" si="64"/>
        <v>1</v>
      </c>
      <c r="AE49" s="5">
        <f t="shared" si="64"/>
        <v>1</v>
      </c>
      <c r="AF49" s="5">
        <f t="shared" si="64"/>
        <v>1</v>
      </c>
      <c r="AG49" s="5">
        <f t="shared" si="64"/>
        <v>1</v>
      </c>
      <c r="AH49" s="5">
        <f t="shared" si="64"/>
        <v>1</v>
      </c>
      <c r="AI49" s="5">
        <f t="shared" si="64"/>
        <v>1</v>
      </c>
      <c r="AJ49" s="5">
        <f t="shared" si="64"/>
        <v>1</v>
      </c>
      <c r="AK49" s="5">
        <f t="shared" si="64"/>
        <v>1</v>
      </c>
      <c r="AL49" s="5">
        <f t="shared" si="64"/>
        <v>1</v>
      </c>
      <c r="AM49" s="5">
        <f t="shared" si="64"/>
        <v>1</v>
      </c>
      <c r="AN49" s="5">
        <f t="shared" si="64"/>
        <v>1</v>
      </c>
      <c r="AO49" s="5">
        <f t="shared" si="64"/>
        <v>1</v>
      </c>
      <c r="AP49" s="5">
        <f t="shared" si="64"/>
        <v>1</v>
      </c>
      <c r="AQ49" s="5">
        <f t="shared" si="64"/>
        <v>1</v>
      </c>
      <c r="AR49" s="5">
        <f t="shared" si="64"/>
        <v>1</v>
      </c>
      <c r="AS49" s="5">
        <f t="shared" si="64"/>
        <v>1</v>
      </c>
      <c r="AT49" s="5">
        <f t="shared" si="64"/>
        <v>1</v>
      </c>
      <c r="AU49" s="5">
        <f t="shared" si="64"/>
        <v>1</v>
      </c>
      <c r="AV49" s="5">
        <f t="shared" si="64"/>
        <v>1</v>
      </c>
      <c r="AW49" s="5">
        <f t="shared" si="64"/>
        <v>1</v>
      </c>
      <c r="AX49" s="5">
        <f t="shared" si="64"/>
        <v>1</v>
      </c>
      <c r="AY49" s="5">
        <f t="shared" si="64"/>
        <v>1</v>
      </c>
      <c r="AZ49" s="5">
        <f t="shared" si="64"/>
        <v>1</v>
      </c>
      <c r="BA49" s="5">
        <f t="shared" si="64"/>
        <v>1</v>
      </c>
      <c r="BB49" s="5">
        <f t="shared" ref="BB49:BG49" si="65">1-(BB21/BB1)</f>
        <v>1</v>
      </c>
      <c r="BC49" s="5">
        <f t="shared" si="65"/>
        <v>1</v>
      </c>
      <c r="BD49" s="5">
        <f t="shared" si="65"/>
        <v>1</v>
      </c>
      <c r="BE49" s="5">
        <f t="shared" si="65"/>
        <v>1</v>
      </c>
      <c r="BF49" s="5">
        <f t="shared" si="65"/>
        <v>1</v>
      </c>
      <c r="BG49" s="5">
        <f t="shared" si="65"/>
        <v>1</v>
      </c>
      <c r="BH49" s="5">
        <f>1-(BH21/BH1)</f>
        <v>1</v>
      </c>
      <c r="BI49" s="5">
        <f>1-(BI21/BI1)</f>
        <v>1</v>
      </c>
    </row>
    <row r="50" spans="1:61" s="2" customFormat="1" x14ac:dyDescent="0.35">
      <c r="A50" s="8" t="s">
        <v>52</v>
      </c>
      <c r="B50" s="5">
        <f>1-(B22/B1)</f>
        <v>1</v>
      </c>
      <c r="C50" s="5">
        <f t="shared" ref="C50:M50" si="66">1-(C22/C1)</f>
        <v>1</v>
      </c>
      <c r="D50" s="5">
        <f t="shared" si="66"/>
        <v>1</v>
      </c>
      <c r="E50" s="5">
        <f t="shared" si="66"/>
        <v>1</v>
      </c>
      <c r="F50" s="5">
        <f t="shared" si="66"/>
        <v>1</v>
      </c>
      <c r="G50" s="5">
        <f t="shared" si="66"/>
        <v>1</v>
      </c>
      <c r="H50" s="5">
        <f t="shared" si="66"/>
        <v>1</v>
      </c>
      <c r="I50" s="5">
        <f t="shared" si="66"/>
        <v>1</v>
      </c>
      <c r="J50" s="5">
        <f t="shared" si="66"/>
        <v>1</v>
      </c>
      <c r="K50" s="5">
        <f t="shared" si="66"/>
        <v>1</v>
      </c>
      <c r="L50" s="5">
        <f t="shared" si="66"/>
        <v>1</v>
      </c>
      <c r="M50" s="5">
        <f t="shared" si="66"/>
        <v>1</v>
      </c>
      <c r="N50" s="5">
        <f t="shared" ref="N50:BA50" si="67">1-(N22/N1)</f>
        <v>1</v>
      </c>
      <c r="O50" s="5">
        <f t="shared" si="67"/>
        <v>1</v>
      </c>
      <c r="P50" s="5">
        <f t="shared" si="67"/>
        <v>1</v>
      </c>
      <c r="Q50" s="5">
        <f t="shared" si="67"/>
        <v>1</v>
      </c>
      <c r="R50" s="5">
        <f t="shared" si="67"/>
        <v>1</v>
      </c>
      <c r="S50" s="5">
        <f t="shared" si="67"/>
        <v>1</v>
      </c>
      <c r="T50" s="5">
        <f t="shared" si="67"/>
        <v>1</v>
      </c>
      <c r="U50" s="5">
        <f t="shared" si="67"/>
        <v>1</v>
      </c>
      <c r="V50" s="5">
        <f t="shared" si="67"/>
        <v>1</v>
      </c>
      <c r="W50" s="5">
        <f t="shared" si="67"/>
        <v>1</v>
      </c>
      <c r="X50" s="5">
        <f t="shared" si="67"/>
        <v>1</v>
      </c>
      <c r="Y50" s="5">
        <f t="shared" si="67"/>
        <v>1</v>
      </c>
      <c r="Z50" s="5">
        <f t="shared" si="67"/>
        <v>1</v>
      </c>
      <c r="AA50" s="5">
        <f t="shared" si="67"/>
        <v>1</v>
      </c>
      <c r="AB50" s="5">
        <f t="shared" si="67"/>
        <v>1</v>
      </c>
      <c r="AC50" s="5">
        <f t="shared" si="67"/>
        <v>1</v>
      </c>
      <c r="AD50" s="5">
        <f t="shared" si="67"/>
        <v>1</v>
      </c>
      <c r="AE50" s="5">
        <f t="shared" si="67"/>
        <v>1</v>
      </c>
      <c r="AF50" s="5">
        <f t="shared" si="67"/>
        <v>1</v>
      </c>
      <c r="AG50" s="5">
        <f t="shared" si="67"/>
        <v>1</v>
      </c>
      <c r="AH50" s="5">
        <f t="shared" si="67"/>
        <v>1</v>
      </c>
      <c r="AI50" s="5">
        <f t="shared" si="67"/>
        <v>1</v>
      </c>
      <c r="AJ50" s="5">
        <f t="shared" si="67"/>
        <v>1</v>
      </c>
      <c r="AK50" s="5">
        <f t="shared" si="67"/>
        <v>1</v>
      </c>
      <c r="AL50" s="5">
        <f t="shared" si="67"/>
        <v>1</v>
      </c>
      <c r="AM50" s="5">
        <f t="shared" si="67"/>
        <v>1</v>
      </c>
      <c r="AN50" s="5">
        <f t="shared" si="67"/>
        <v>1</v>
      </c>
      <c r="AO50" s="5">
        <f t="shared" si="67"/>
        <v>1</v>
      </c>
      <c r="AP50" s="5">
        <f t="shared" si="67"/>
        <v>1</v>
      </c>
      <c r="AQ50" s="5">
        <f t="shared" si="67"/>
        <v>1</v>
      </c>
      <c r="AR50" s="5">
        <f t="shared" si="67"/>
        <v>1</v>
      </c>
      <c r="AS50" s="5">
        <f t="shared" si="67"/>
        <v>1</v>
      </c>
      <c r="AT50" s="5">
        <f t="shared" si="67"/>
        <v>1</v>
      </c>
      <c r="AU50" s="5">
        <f t="shared" si="67"/>
        <v>1</v>
      </c>
      <c r="AV50" s="5">
        <f t="shared" si="67"/>
        <v>1</v>
      </c>
      <c r="AW50" s="5">
        <f t="shared" si="67"/>
        <v>1</v>
      </c>
      <c r="AX50" s="5">
        <f t="shared" si="67"/>
        <v>1</v>
      </c>
      <c r="AY50" s="5">
        <f t="shared" si="67"/>
        <v>1</v>
      </c>
      <c r="AZ50" s="5">
        <f t="shared" si="67"/>
        <v>1</v>
      </c>
      <c r="BA50" s="5">
        <f t="shared" si="67"/>
        <v>1</v>
      </c>
      <c r="BB50" s="5">
        <f t="shared" ref="BB50:BG50" si="68">1-(BB22/BB1)</f>
        <v>1</v>
      </c>
      <c r="BC50" s="5">
        <f t="shared" si="68"/>
        <v>1</v>
      </c>
      <c r="BD50" s="5">
        <f t="shared" si="68"/>
        <v>1</v>
      </c>
      <c r="BE50" s="5">
        <f t="shared" si="68"/>
        <v>1</v>
      </c>
      <c r="BF50" s="5">
        <f t="shared" si="68"/>
        <v>1</v>
      </c>
      <c r="BG50" s="5">
        <f t="shared" si="68"/>
        <v>1</v>
      </c>
      <c r="BH50" s="5">
        <f>1-(BH22/BH1)</f>
        <v>1</v>
      </c>
      <c r="BI50" s="5">
        <f>1-(BI22/BI1)</f>
        <v>1</v>
      </c>
    </row>
  </sheetData>
  <phoneticPr fontId="14" type="noConversion"/>
  <conditionalFormatting sqref="B4:BI8 B10:BI16 B18:BI22">
    <cfRule type="containsBlanks" dxfId="197" priority="1">
      <formula>LEN(TRIM(B4))=0</formula>
    </cfRule>
    <cfRule type="cellIs" dxfId="196" priority="2" operator="greaterThan">
      <formula>0</formula>
    </cfRule>
  </conditionalFormatting>
  <conditionalFormatting sqref="B32:BI36 B38:BI44 B46:BI50">
    <cfRule type="cellIs" dxfId="195" priority="3" stopIfTrue="1" operator="lessThan">
      <formula>0.999</formula>
    </cfRule>
    <cfRule type="cellIs" dxfId="194" priority="4" stopIfTrue="1" operator="between">
      <formula>0.9989</formula>
      <formula>0.9993</formula>
    </cfRule>
    <cfRule type="cellIs" dxfId="193" priority="5" operator="greaterThanOrEqual">
      <formula>0.9994</formula>
    </cfRule>
    <cfRule type="cellIs" dxfId="192" priority="6" operator="greaterThan">
      <formula>0.9999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E277-BB55-47C0-8616-30474A534E8D}">
  <sheetPr codeName="Sheet6">
    <tabColor theme="7" tint="0.59999389629810485"/>
  </sheetPr>
  <dimension ref="A1:BI56"/>
  <sheetViews>
    <sheetView topLeftCell="AT30" workbookViewId="0">
      <selection activeCell="BI19" sqref="BI19"/>
    </sheetView>
  </sheetViews>
  <sheetFormatPr defaultRowHeight="14.5" x14ac:dyDescent="0.35"/>
  <cols>
    <col min="1" max="1" width="38.54296875" customWidth="1"/>
    <col min="2" max="40" width="10.26953125" hidden="1" customWidth="1"/>
    <col min="41" max="59" width="10.26953125" customWidth="1"/>
    <col min="60" max="61" width="9.08984375" bestFit="1" customWidth="1"/>
  </cols>
  <sheetData>
    <row r="1" spans="1:61" s="2" customFormat="1" x14ac:dyDescent="0.35">
      <c r="A1" s="9" t="s">
        <v>22</v>
      </c>
      <c r="B1" s="63">
        <v>72</v>
      </c>
      <c r="C1" s="1">
        <f>B1+168</f>
        <v>240</v>
      </c>
      <c r="D1" s="1">
        <f t="shared" ref="D1:E1" si="0">C1+168</f>
        <v>408</v>
      </c>
      <c r="E1" s="1">
        <f t="shared" si="0"/>
        <v>576</v>
      </c>
      <c r="F1" s="1">
        <f t="shared" ref="F1:G1" si="1">E1+168</f>
        <v>744</v>
      </c>
      <c r="G1" s="1">
        <f t="shared" si="1"/>
        <v>912</v>
      </c>
      <c r="H1" s="1">
        <f t="shared" ref="H1:I1" si="2">G1+168</f>
        <v>1080</v>
      </c>
      <c r="I1" s="1">
        <f t="shared" si="2"/>
        <v>1248</v>
      </c>
      <c r="J1" s="1">
        <f t="shared" ref="J1:K1" si="3">I1+168</f>
        <v>1416</v>
      </c>
      <c r="K1" s="1">
        <f t="shared" si="3"/>
        <v>1584</v>
      </c>
      <c r="L1" s="1">
        <f t="shared" ref="L1:M1" si="4">K1+168</f>
        <v>1752</v>
      </c>
      <c r="M1" s="1">
        <f t="shared" si="4"/>
        <v>1920</v>
      </c>
      <c r="N1" s="1">
        <f t="shared" ref="N1:O1" si="5">M1+168</f>
        <v>2088</v>
      </c>
      <c r="O1" s="1">
        <f t="shared" si="5"/>
        <v>2256</v>
      </c>
      <c r="P1" s="1">
        <f t="shared" ref="P1:Q1" si="6">O1+168</f>
        <v>2424</v>
      </c>
      <c r="Q1" s="1">
        <f t="shared" si="6"/>
        <v>2592</v>
      </c>
      <c r="R1" s="1">
        <f t="shared" ref="R1:S1" si="7">Q1+168</f>
        <v>2760</v>
      </c>
      <c r="S1" s="1">
        <f t="shared" si="7"/>
        <v>2928</v>
      </c>
      <c r="T1" s="1">
        <f t="shared" ref="T1:U1" si="8">S1+168</f>
        <v>3096</v>
      </c>
      <c r="U1" s="1">
        <f t="shared" si="8"/>
        <v>3264</v>
      </c>
      <c r="V1" s="1">
        <f t="shared" ref="V1:W1" si="9">U1+168</f>
        <v>3432</v>
      </c>
      <c r="W1" s="1">
        <f t="shared" si="9"/>
        <v>3600</v>
      </c>
      <c r="X1" s="1">
        <f t="shared" ref="X1:Y1" si="10">W1+168</f>
        <v>3768</v>
      </c>
      <c r="Y1" s="1">
        <f t="shared" si="10"/>
        <v>3936</v>
      </c>
      <c r="Z1" s="1">
        <f t="shared" ref="Z1:AA1" si="11">Y1+168</f>
        <v>4104</v>
      </c>
      <c r="AA1" s="1">
        <f t="shared" si="11"/>
        <v>4272</v>
      </c>
      <c r="AB1" s="1">
        <f t="shared" ref="AB1:AC1" si="12">AA1+168</f>
        <v>4440</v>
      </c>
      <c r="AC1" s="1">
        <f t="shared" si="12"/>
        <v>4608</v>
      </c>
      <c r="AD1" s="1">
        <f t="shared" ref="AD1:AE1" si="13">AC1+168</f>
        <v>4776</v>
      </c>
      <c r="AE1" s="1">
        <f t="shared" si="13"/>
        <v>4944</v>
      </c>
      <c r="AF1" s="1">
        <f t="shared" ref="AF1:AG1" si="14">AE1+168</f>
        <v>5112</v>
      </c>
      <c r="AG1" s="1">
        <f t="shared" si="14"/>
        <v>5280</v>
      </c>
      <c r="AH1" s="1">
        <f t="shared" ref="AH1:AI1" si="15">AG1+168</f>
        <v>5448</v>
      </c>
      <c r="AI1" s="1">
        <f t="shared" si="15"/>
        <v>5616</v>
      </c>
      <c r="AJ1" s="1">
        <f t="shared" ref="AJ1:AK1" si="16">AI1+168</f>
        <v>5784</v>
      </c>
      <c r="AK1" s="1">
        <f t="shared" si="16"/>
        <v>5952</v>
      </c>
      <c r="AL1" s="1">
        <f t="shared" ref="AL1:AM1" si="17">AK1+168</f>
        <v>6120</v>
      </c>
      <c r="AM1" s="1">
        <f t="shared" si="17"/>
        <v>6288</v>
      </c>
      <c r="AN1" s="1">
        <f t="shared" ref="AN1:AO1" si="18">AM1+168</f>
        <v>6456</v>
      </c>
      <c r="AO1" s="1">
        <f t="shared" si="18"/>
        <v>6624</v>
      </c>
      <c r="AP1" s="1">
        <f t="shared" ref="AP1:AQ1" si="19">AO1+168</f>
        <v>6792</v>
      </c>
      <c r="AQ1" s="1">
        <f t="shared" si="19"/>
        <v>6960</v>
      </c>
      <c r="AR1" s="1">
        <f t="shared" ref="AR1:AS1" si="20">AQ1+168</f>
        <v>7128</v>
      </c>
      <c r="AS1" s="1">
        <f t="shared" si="20"/>
        <v>7296</v>
      </c>
      <c r="AT1" s="1">
        <f t="shared" ref="AT1:AU1" si="21">AS1+168</f>
        <v>7464</v>
      </c>
      <c r="AU1" s="1">
        <f t="shared" si="21"/>
        <v>7632</v>
      </c>
      <c r="AV1" s="1">
        <f t="shared" ref="AV1:AW1" si="22">AU1+168</f>
        <v>7800</v>
      </c>
      <c r="AW1" s="1">
        <f t="shared" si="22"/>
        <v>7968</v>
      </c>
      <c r="AX1" s="1">
        <f t="shared" ref="AX1:AY1" si="23">AW1+168</f>
        <v>8136</v>
      </c>
      <c r="AY1" s="1">
        <f t="shared" si="23"/>
        <v>8304</v>
      </c>
      <c r="AZ1" s="1">
        <f t="shared" ref="AZ1:BA1" si="24">AY1+168</f>
        <v>8472</v>
      </c>
      <c r="BA1" s="1">
        <f t="shared" si="24"/>
        <v>8640</v>
      </c>
      <c r="BB1" s="1">
        <v>48</v>
      </c>
      <c r="BC1" s="1">
        <f>BB1+168</f>
        <v>216</v>
      </c>
      <c r="BD1" s="1">
        <f>BC1+168</f>
        <v>384</v>
      </c>
      <c r="BE1" s="1">
        <f>BD1+168</f>
        <v>552</v>
      </c>
      <c r="BF1" s="1">
        <f>BE1+168</f>
        <v>720</v>
      </c>
      <c r="BG1" s="1">
        <v>888</v>
      </c>
      <c r="BH1" s="1">
        <v>1056</v>
      </c>
      <c r="BI1" s="1">
        <v>1224</v>
      </c>
    </row>
    <row r="2" spans="1:61" s="2" customFormat="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8</v>
      </c>
    </row>
    <row r="3" spans="1:61" s="2" customFormat="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  <c r="BI3" s="64">
        <v>46073</v>
      </c>
    </row>
    <row r="4" spans="1:61" s="2" customFormat="1" x14ac:dyDescent="0.35">
      <c r="A4" s="59" t="s">
        <v>36</v>
      </c>
      <c r="B4" s="4">
        <f>SUM(B5:B8)</f>
        <v>0</v>
      </c>
      <c r="C4" s="4">
        <f t="shared" ref="C4:M4" si="25">SUM(C5:C8)</f>
        <v>0</v>
      </c>
      <c r="D4" s="4">
        <f t="shared" si="25"/>
        <v>0</v>
      </c>
      <c r="E4" s="4">
        <f t="shared" si="25"/>
        <v>0</v>
      </c>
      <c r="F4" s="4">
        <f t="shared" si="25"/>
        <v>0</v>
      </c>
      <c r="G4" s="4">
        <f t="shared" si="25"/>
        <v>0</v>
      </c>
      <c r="H4" s="4">
        <f t="shared" si="25"/>
        <v>0</v>
      </c>
      <c r="I4" s="4">
        <f t="shared" si="25"/>
        <v>0</v>
      </c>
      <c r="J4" s="4">
        <f t="shared" si="25"/>
        <v>0</v>
      </c>
      <c r="K4" s="4">
        <f t="shared" si="25"/>
        <v>0</v>
      </c>
      <c r="L4" s="4">
        <f t="shared" si="25"/>
        <v>0</v>
      </c>
      <c r="M4" s="4">
        <f t="shared" si="25"/>
        <v>9.3800000000000008</v>
      </c>
      <c r="N4" s="4">
        <f t="shared" ref="N4" si="26">SUM(N5:N8)</f>
        <v>9.3800000000000008</v>
      </c>
      <c r="O4" s="4">
        <f t="shared" ref="O4" si="27">SUM(O5:O8)</f>
        <v>9.3800000000000008</v>
      </c>
      <c r="P4" s="4">
        <f t="shared" ref="P4:Q4" si="28">SUM(P5:P8)</f>
        <v>9.3800000000000008</v>
      </c>
      <c r="Q4" s="4">
        <f t="shared" si="28"/>
        <v>9.3800000000000008</v>
      </c>
      <c r="R4" s="4">
        <f t="shared" ref="R4:S4" si="29">SUM(R5:R8)</f>
        <v>9.3800000000000008</v>
      </c>
      <c r="S4" s="4">
        <f t="shared" si="29"/>
        <v>9.3800000000000008</v>
      </c>
      <c r="T4" s="4">
        <f t="shared" ref="T4:U4" si="30">SUM(T5:T8)</f>
        <v>9.3800000000000008</v>
      </c>
      <c r="U4" s="4">
        <f t="shared" si="30"/>
        <v>9.3800000000000008</v>
      </c>
      <c r="V4" s="4">
        <f t="shared" ref="V4" si="31">SUM(V5:V8)</f>
        <v>9.3800000000000008</v>
      </c>
      <c r="W4" s="4">
        <f t="shared" ref="W4" si="32">SUM(W5:W8)</f>
        <v>9.3800000000000008</v>
      </c>
      <c r="X4" s="4">
        <f t="shared" ref="X4:Y4" si="33">SUM(X5:X8)</f>
        <v>9.3800000000000008</v>
      </c>
      <c r="Y4" s="4">
        <f t="shared" si="33"/>
        <v>9.3800000000000008</v>
      </c>
      <c r="Z4" s="4">
        <f t="shared" ref="Z4:AA4" si="34">SUM(Z5:Z8)</f>
        <v>9.3800000000000008</v>
      </c>
      <c r="AA4" s="4">
        <f t="shared" si="34"/>
        <v>9.3800000000000008</v>
      </c>
      <c r="AB4" s="4">
        <f t="shared" ref="AB4:AC4" si="35">SUM(AB5:AB8)</f>
        <v>9.3800000000000008</v>
      </c>
      <c r="AC4" s="4">
        <f t="shared" si="35"/>
        <v>9.3800000000000008</v>
      </c>
      <c r="AD4" s="4">
        <f t="shared" ref="AD4" si="36">SUM(AD5:AD8)</f>
        <v>9.3800000000000008</v>
      </c>
      <c r="AE4" s="4">
        <f t="shared" ref="AE4" si="37">SUM(AE5:AE8)</f>
        <v>9.3800000000000008</v>
      </c>
      <c r="AF4" s="4">
        <f t="shared" ref="AF4:AG4" si="38">SUM(AF5:AF8)</f>
        <v>9.3800000000000008</v>
      </c>
      <c r="AG4" s="4">
        <f t="shared" si="38"/>
        <v>9.3800000000000008</v>
      </c>
      <c r="AH4" s="4">
        <f t="shared" ref="AH4" si="39">SUM(AH5:AH8)</f>
        <v>9.3800000000000008</v>
      </c>
      <c r="AI4" s="4">
        <f t="shared" ref="AI4" si="40">SUM(AI5:AI8)</f>
        <v>9.3800000000000008</v>
      </c>
      <c r="AJ4" s="4">
        <f t="shared" ref="AJ4:AK4" si="41">SUM(AJ5:AJ8)</f>
        <v>9.3800000000000008</v>
      </c>
      <c r="AK4" s="4">
        <f t="shared" si="41"/>
        <v>9.3800000000000008</v>
      </c>
      <c r="AL4" s="4">
        <f t="shared" ref="AL4" si="42">SUM(AL5:AL8)</f>
        <v>9.3800000000000008</v>
      </c>
      <c r="AM4" s="4">
        <f t="shared" ref="AM4:AN4" si="43">SUM(AM5:AM8)</f>
        <v>9.3800000000000008</v>
      </c>
      <c r="AN4" s="4">
        <f t="shared" si="43"/>
        <v>9.3800000000000008</v>
      </c>
      <c r="AO4" s="4">
        <f t="shared" ref="AO4:AP4" si="44">SUM(AO5:AO8)</f>
        <v>9.3800000000000008</v>
      </c>
      <c r="AP4" s="4">
        <f t="shared" si="44"/>
        <v>9.3800000000000008</v>
      </c>
      <c r="AQ4" s="4">
        <f t="shared" ref="AQ4:AR4" si="45">SUM(AQ5:AQ8)</f>
        <v>9.3800000000000008</v>
      </c>
      <c r="AR4" s="4">
        <f t="shared" si="45"/>
        <v>9.3800000000000008</v>
      </c>
      <c r="AS4" s="4">
        <f t="shared" ref="AS4" si="46">SUM(AS5:AS8)</f>
        <v>9.3800000000000008</v>
      </c>
      <c r="AT4" s="4">
        <f t="shared" ref="AT4:AU4" si="47">SUM(AT5:AT8)</f>
        <v>9.3800000000000008</v>
      </c>
      <c r="AU4" s="4">
        <f t="shared" si="47"/>
        <v>9.3800000000000008</v>
      </c>
      <c r="AV4" s="4">
        <f t="shared" ref="AV4" si="48">SUM(AV5:AV8)</f>
        <v>9.3800000000000008</v>
      </c>
      <c r="AW4" s="4">
        <f t="shared" ref="AW4:AX4" si="49">SUM(AW5:AW8)</f>
        <v>9.3800000000000008</v>
      </c>
      <c r="AX4" s="4">
        <f t="shared" si="49"/>
        <v>9.3800000000000008</v>
      </c>
      <c r="AY4" s="4">
        <f t="shared" ref="AY4:AZ4" si="50">SUM(AY5:AY8)</f>
        <v>9.3800000000000008</v>
      </c>
      <c r="AZ4" s="4">
        <f t="shared" si="50"/>
        <v>9.3800000000000008</v>
      </c>
      <c r="BA4" s="4">
        <f t="shared" ref="BA4" si="51">SUM(BA5:BA8)</f>
        <v>9.3800000000000008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</row>
    <row r="5" spans="1:61" s="2" customFormat="1" x14ac:dyDescent="0.35">
      <c r="A5" s="8" t="s">
        <v>37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</row>
    <row r="6" spans="1:61" s="2" customFormat="1" x14ac:dyDescent="0.35">
      <c r="A6" s="8" t="s">
        <v>38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9.3800000000000008</v>
      </c>
      <c r="N6" s="4">
        <v>9.3800000000000008</v>
      </c>
      <c r="O6" s="4">
        <v>9.3800000000000008</v>
      </c>
      <c r="P6" s="4">
        <v>9.3800000000000008</v>
      </c>
      <c r="Q6" s="4">
        <v>9.3800000000000008</v>
      </c>
      <c r="R6" s="4">
        <v>9.3800000000000008</v>
      </c>
      <c r="S6" s="4">
        <v>9.3800000000000008</v>
      </c>
      <c r="T6" s="4">
        <v>9.3800000000000008</v>
      </c>
      <c r="U6" s="4">
        <v>9.3800000000000008</v>
      </c>
      <c r="V6" s="4">
        <v>9.3800000000000008</v>
      </c>
      <c r="W6" s="4">
        <v>9.3800000000000008</v>
      </c>
      <c r="X6" s="4">
        <v>9.3800000000000008</v>
      </c>
      <c r="Y6" s="4">
        <v>9.3800000000000008</v>
      </c>
      <c r="Z6" s="4">
        <v>9.3800000000000008</v>
      </c>
      <c r="AA6" s="4">
        <v>9.3800000000000008</v>
      </c>
      <c r="AB6" s="4">
        <v>9.3800000000000008</v>
      </c>
      <c r="AC6" s="4">
        <v>9.3800000000000008</v>
      </c>
      <c r="AD6" s="4">
        <v>9.3800000000000008</v>
      </c>
      <c r="AE6" s="4">
        <v>9.3800000000000008</v>
      </c>
      <c r="AF6" s="4">
        <v>9.3800000000000008</v>
      </c>
      <c r="AG6" s="4">
        <v>9.3800000000000008</v>
      </c>
      <c r="AH6" s="4">
        <v>9.3800000000000008</v>
      </c>
      <c r="AI6" s="4">
        <v>9.3800000000000008</v>
      </c>
      <c r="AJ6" s="4">
        <v>9.3800000000000008</v>
      </c>
      <c r="AK6" s="4">
        <v>9.3800000000000008</v>
      </c>
      <c r="AL6" s="4">
        <v>9.3800000000000008</v>
      </c>
      <c r="AM6" s="4">
        <v>9.3800000000000008</v>
      </c>
      <c r="AN6" s="4">
        <v>9.3800000000000008</v>
      </c>
      <c r="AO6" s="4">
        <v>9.3800000000000008</v>
      </c>
      <c r="AP6" s="4">
        <v>9.3800000000000008</v>
      </c>
      <c r="AQ6" s="4">
        <v>9.3800000000000008</v>
      </c>
      <c r="AR6" s="4">
        <v>9.3800000000000008</v>
      </c>
      <c r="AS6" s="4">
        <v>9.3800000000000008</v>
      </c>
      <c r="AT6" s="4">
        <v>9.3800000000000008</v>
      </c>
      <c r="AU6" s="4">
        <v>9.3800000000000008</v>
      </c>
      <c r="AV6" s="4">
        <v>9.3800000000000008</v>
      </c>
      <c r="AW6" s="4">
        <v>9.3800000000000008</v>
      </c>
      <c r="AX6" s="4">
        <v>9.3800000000000008</v>
      </c>
      <c r="AY6" s="4">
        <v>9.3800000000000008</v>
      </c>
      <c r="AZ6" s="4">
        <v>9.3800000000000008</v>
      </c>
      <c r="BA6" s="4">
        <v>9.3800000000000008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</row>
    <row r="7" spans="1:61" s="2" customFormat="1" x14ac:dyDescent="0.35">
      <c r="A7" s="8" t="s">
        <v>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</row>
    <row r="8" spans="1:61" s="2" customFormat="1" x14ac:dyDescent="0.35">
      <c r="A8" s="8" t="s">
        <v>40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</row>
    <row r="9" spans="1:61" s="2" customFormat="1" x14ac:dyDescent="0.35">
      <c r="A9" s="6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idden="1" x14ac:dyDescent="0.35">
      <c r="A10" s="7" t="s">
        <v>41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 x14ac:dyDescent="0.35">
      <c r="A11" s="8" t="s">
        <v>42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3.45</v>
      </c>
      <c r="AC11" s="4">
        <v>3.45</v>
      </c>
      <c r="AD11" s="4">
        <v>3.45</v>
      </c>
      <c r="AE11" s="4">
        <v>3.45</v>
      </c>
      <c r="AF11" s="4">
        <v>3.45</v>
      </c>
      <c r="AG11" s="4">
        <v>3.45</v>
      </c>
      <c r="AH11" s="4">
        <v>3.45</v>
      </c>
      <c r="AI11" s="4">
        <v>3.45</v>
      </c>
      <c r="AJ11" s="4">
        <v>3.45</v>
      </c>
      <c r="AK11" s="4">
        <v>3.45</v>
      </c>
      <c r="AL11" s="4">
        <v>3.45</v>
      </c>
      <c r="AM11" s="4">
        <v>3.45</v>
      </c>
      <c r="AN11" s="4">
        <v>3.45</v>
      </c>
      <c r="AO11" s="4">
        <v>3.45</v>
      </c>
      <c r="AP11" s="4">
        <v>3.45</v>
      </c>
      <c r="AQ11" s="4">
        <v>3.45</v>
      </c>
      <c r="AR11" s="4">
        <v>3.45</v>
      </c>
      <c r="AS11" s="4">
        <v>3.45</v>
      </c>
      <c r="AT11" s="4">
        <v>3.45</v>
      </c>
      <c r="AU11" s="4">
        <v>3.45</v>
      </c>
      <c r="AV11" s="4">
        <v>3.45</v>
      </c>
      <c r="AW11" s="4">
        <v>3.45</v>
      </c>
      <c r="AX11" s="4">
        <v>3.45</v>
      </c>
      <c r="AY11" s="4">
        <v>3.45</v>
      </c>
      <c r="AZ11" s="4">
        <v>3.45</v>
      </c>
      <c r="BA11" s="4">
        <v>3.45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</row>
    <row r="12" spans="1:61" x14ac:dyDescent="0.35">
      <c r="A12" s="8" t="s">
        <v>43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4.9800000000000004</v>
      </c>
      <c r="Z12" s="4">
        <v>4.9800000000000004</v>
      </c>
      <c r="AA12" s="4">
        <v>4.9800000000000004</v>
      </c>
      <c r="AB12" s="4">
        <v>8.43</v>
      </c>
      <c r="AC12" s="4">
        <v>8.43</v>
      </c>
      <c r="AD12" s="4">
        <v>8.43</v>
      </c>
      <c r="AE12" s="4">
        <v>8.43</v>
      </c>
      <c r="AF12" s="4">
        <v>8.43</v>
      </c>
      <c r="AG12" s="4">
        <v>8.43</v>
      </c>
      <c r="AH12" s="4">
        <v>8.43</v>
      </c>
      <c r="AI12" s="4">
        <v>8.43</v>
      </c>
      <c r="AJ12" s="4">
        <v>8.43</v>
      </c>
      <c r="AK12" s="4">
        <v>8.43</v>
      </c>
      <c r="AL12" s="4">
        <v>8.43</v>
      </c>
      <c r="AM12" s="4">
        <v>8.43</v>
      </c>
      <c r="AN12" s="4">
        <v>8.43</v>
      </c>
      <c r="AO12" s="4">
        <v>8.43</v>
      </c>
      <c r="AP12" s="4">
        <v>8.43</v>
      </c>
      <c r="AQ12" s="4">
        <v>8.43</v>
      </c>
      <c r="AR12" s="4">
        <v>8.43</v>
      </c>
      <c r="AS12" s="4">
        <v>8.43</v>
      </c>
      <c r="AT12" s="4">
        <v>8.43</v>
      </c>
      <c r="AU12" s="4">
        <v>8.43</v>
      </c>
      <c r="AV12" s="4">
        <v>8.43</v>
      </c>
      <c r="AW12" s="4">
        <v>8.43</v>
      </c>
      <c r="AX12" s="4">
        <v>8.43</v>
      </c>
      <c r="AY12" s="4">
        <v>8.43</v>
      </c>
      <c r="AZ12" s="4">
        <v>8.43</v>
      </c>
      <c r="BA12" s="4">
        <v>8.43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</row>
    <row r="13" spans="1:61" x14ac:dyDescent="0.35">
      <c r="A13" s="8" t="s">
        <v>44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3.45</v>
      </c>
      <c r="AC13" s="4">
        <v>3.45</v>
      </c>
      <c r="AD13" s="4">
        <v>3.45</v>
      </c>
      <c r="AE13" s="4">
        <v>3.45</v>
      </c>
      <c r="AF13" s="4">
        <v>3.45</v>
      </c>
      <c r="AG13" s="4">
        <v>3.45</v>
      </c>
      <c r="AH13" s="4">
        <v>3.45</v>
      </c>
      <c r="AI13" s="4">
        <v>3.45</v>
      </c>
      <c r="AJ13" s="4">
        <v>3.45</v>
      </c>
      <c r="AK13" s="4">
        <v>3.45</v>
      </c>
      <c r="AL13" s="4">
        <v>3.45</v>
      </c>
      <c r="AM13" s="4">
        <v>3.45</v>
      </c>
      <c r="AN13" s="4">
        <v>3.45</v>
      </c>
      <c r="AO13" s="4">
        <v>3.45</v>
      </c>
      <c r="AP13" s="4">
        <v>3.45</v>
      </c>
      <c r="AQ13" s="4">
        <v>3.45</v>
      </c>
      <c r="AR13" s="4">
        <v>3.45</v>
      </c>
      <c r="AS13" s="4">
        <v>3.45</v>
      </c>
      <c r="AT13" s="4">
        <v>3.45</v>
      </c>
      <c r="AU13" s="4">
        <v>3.45</v>
      </c>
      <c r="AV13" s="4">
        <v>3.45</v>
      </c>
      <c r="AW13" s="4">
        <v>3.45</v>
      </c>
      <c r="AX13" s="4">
        <v>3.45</v>
      </c>
      <c r="AY13" s="4">
        <v>3.45</v>
      </c>
      <c r="AZ13" s="4">
        <v>3.45</v>
      </c>
      <c r="BA13" s="4">
        <v>3.45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</row>
    <row r="14" spans="1:61" x14ac:dyDescent="0.35">
      <c r="A14" s="8" t="s">
        <v>45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3.45</v>
      </c>
      <c r="AC14" s="4">
        <v>3.45</v>
      </c>
      <c r="AD14" s="4">
        <v>3.45</v>
      </c>
      <c r="AE14" s="4">
        <v>3.45</v>
      </c>
      <c r="AF14" s="4">
        <v>3.45</v>
      </c>
      <c r="AG14" s="4">
        <v>3.45</v>
      </c>
      <c r="AH14" s="4">
        <v>3.45</v>
      </c>
      <c r="AI14" s="4">
        <v>3.45</v>
      </c>
      <c r="AJ14" s="4">
        <v>3.45</v>
      </c>
      <c r="AK14" s="4">
        <v>3.45</v>
      </c>
      <c r="AL14" s="4">
        <v>3.45</v>
      </c>
      <c r="AM14" s="4">
        <v>3.45</v>
      </c>
      <c r="AN14" s="4">
        <v>3.45</v>
      </c>
      <c r="AO14" s="4">
        <v>3.45</v>
      </c>
      <c r="AP14" s="4">
        <v>3.45</v>
      </c>
      <c r="AQ14" s="4">
        <v>3.45</v>
      </c>
      <c r="AR14" s="4">
        <v>3.45</v>
      </c>
      <c r="AS14" s="4">
        <v>3.45</v>
      </c>
      <c r="AT14" s="4">
        <v>3.45</v>
      </c>
      <c r="AU14" s="4">
        <v>3.45</v>
      </c>
      <c r="AV14" s="4">
        <v>3.45</v>
      </c>
      <c r="AW14" s="4">
        <v>3.45</v>
      </c>
      <c r="AX14" s="4">
        <v>3.45</v>
      </c>
      <c r="AY14" s="4">
        <v>3.45</v>
      </c>
      <c r="AZ14" s="4">
        <v>3.45</v>
      </c>
      <c r="BA14" s="4">
        <v>3.45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</row>
    <row r="15" spans="1:61" x14ac:dyDescent="0.35">
      <c r="A15" s="8" t="s">
        <v>46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3.45</v>
      </c>
      <c r="AC15" s="4">
        <v>3.45</v>
      </c>
      <c r="AD15" s="4">
        <v>3.45</v>
      </c>
      <c r="AE15" s="4">
        <v>3.45</v>
      </c>
      <c r="AF15" s="4">
        <v>3.45</v>
      </c>
      <c r="AG15" s="4">
        <v>3.45</v>
      </c>
      <c r="AH15" s="4">
        <v>3.45</v>
      </c>
      <c r="AI15" s="4">
        <v>3.45</v>
      </c>
      <c r="AJ15" s="4">
        <v>3.45</v>
      </c>
      <c r="AK15" s="4">
        <v>3.45</v>
      </c>
      <c r="AL15" s="4">
        <v>3.45</v>
      </c>
      <c r="AM15" s="4">
        <v>3.45</v>
      </c>
      <c r="AN15" s="4">
        <v>3.45</v>
      </c>
      <c r="AO15" s="4">
        <v>3.45</v>
      </c>
      <c r="AP15" s="4">
        <v>3.45</v>
      </c>
      <c r="AQ15" s="4">
        <v>3.45</v>
      </c>
      <c r="AR15" s="4">
        <v>3.45</v>
      </c>
      <c r="AS15" s="4">
        <v>3.45</v>
      </c>
      <c r="AT15" s="4">
        <v>3.45</v>
      </c>
      <c r="AU15" s="4">
        <v>3.45</v>
      </c>
      <c r="AV15" s="4">
        <v>3.45</v>
      </c>
      <c r="AW15" s="4">
        <v>3.45</v>
      </c>
      <c r="AX15" s="4">
        <v>3.45</v>
      </c>
      <c r="AY15" s="4">
        <v>3.45</v>
      </c>
      <c r="AZ15" s="4">
        <v>3.45</v>
      </c>
      <c r="BA15" s="4">
        <v>3.45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</row>
    <row r="16" spans="1:61" x14ac:dyDescent="0.35">
      <c r="A16" s="8" t="s">
        <v>47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1.33</v>
      </c>
      <c r="Z16" s="4">
        <v>1.33</v>
      </c>
      <c r="AA16" s="4">
        <v>2.33</v>
      </c>
      <c r="AB16" s="4">
        <v>5.78</v>
      </c>
      <c r="AC16" s="4">
        <v>5.78</v>
      </c>
      <c r="AD16" s="4">
        <v>5.78</v>
      </c>
      <c r="AE16" s="4">
        <v>5.78</v>
      </c>
      <c r="AF16" s="4">
        <v>5.78</v>
      </c>
      <c r="AG16" s="4">
        <v>5.78</v>
      </c>
      <c r="AH16" s="4">
        <v>5.78</v>
      </c>
      <c r="AI16" s="4">
        <v>5.78</v>
      </c>
      <c r="AJ16" s="4">
        <v>5.78</v>
      </c>
      <c r="AK16" s="4">
        <v>5.78</v>
      </c>
      <c r="AL16" s="4">
        <v>5.78</v>
      </c>
      <c r="AM16" s="4">
        <v>5.78</v>
      </c>
      <c r="AN16" s="4">
        <v>5.78</v>
      </c>
      <c r="AO16" s="4">
        <v>5.78</v>
      </c>
      <c r="AP16" s="4">
        <v>5.78</v>
      </c>
      <c r="AQ16" s="4">
        <v>5.78</v>
      </c>
      <c r="AR16" s="4">
        <v>5.78</v>
      </c>
      <c r="AS16" s="4">
        <v>5.78</v>
      </c>
      <c r="AT16" s="4">
        <v>5.78</v>
      </c>
      <c r="AU16" s="4">
        <v>5.78</v>
      </c>
      <c r="AV16" s="4">
        <v>5.78</v>
      </c>
      <c r="AW16" s="4">
        <v>5.78</v>
      </c>
      <c r="AX16" s="4">
        <v>5.78</v>
      </c>
      <c r="AY16" s="4">
        <v>5.78</v>
      </c>
      <c r="AZ16" s="4">
        <v>5.78</v>
      </c>
      <c r="BA16" s="4">
        <v>5.78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</row>
    <row r="17" spans="1:61" x14ac:dyDescent="0.35">
      <c r="A17" s="60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</row>
    <row r="18" spans="1:61" s="2" customFormat="1" x14ac:dyDescent="0.35">
      <c r="A18" s="8" t="s">
        <v>48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2.8</v>
      </c>
      <c r="BI18" s="4">
        <v>2.8</v>
      </c>
    </row>
    <row r="19" spans="1:61" s="2" customFormat="1" x14ac:dyDescent="0.35">
      <c r="A19" s="8" t="s">
        <v>49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6</v>
      </c>
      <c r="AZ19" s="4">
        <v>6</v>
      </c>
      <c r="BA19" s="4">
        <v>6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</row>
    <row r="20" spans="1:61" s="2" customFormat="1" x14ac:dyDescent="0.35">
      <c r="A20" s="8" t="s">
        <v>50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</row>
    <row r="21" spans="1:61" s="2" customFormat="1" x14ac:dyDescent="0.35">
      <c r="A21" s="8" t="s">
        <v>51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9.3800000000000008</v>
      </c>
      <c r="N21" s="4">
        <v>9.3800000000000008</v>
      </c>
      <c r="O21" s="4">
        <v>9.3800000000000008</v>
      </c>
      <c r="P21" s="4">
        <v>9.3800000000000008</v>
      </c>
      <c r="Q21" s="4">
        <v>9.3800000000000008</v>
      </c>
      <c r="R21" s="4">
        <v>9.3800000000000008</v>
      </c>
      <c r="S21" s="4">
        <v>9.3800000000000008</v>
      </c>
      <c r="T21" s="4">
        <v>9.3800000000000008</v>
      </c>
      <c r="U21" s="4">
        <v>9.3800000000000008</v>
      </c>
      <c r="V21" s="4">
        <v>9.3800000000000008</v>
      </c>
      <c r="W21" s="4">
        <v>9.3800000000000008</v>
      </c>
      <c r="X21" s="4">
        <v>9.3800000000000008</v>
      </c>
      <c r="Y21" s="4">
        <v>9.3800000000000008</v>
      </c>
      <c r="Z21" s="4">
        <v>9.3800000000000008</v>
      </c>
      <c r="AA21" s="4">
        <v>9.3800000000000008</v>
      </c>
      <c r="AB21" s="4">
        <v>9.3800000000000008</v>
      </c>
      <c r="AC21" s="4">
        <v>9.3800000000000008</v>
      </c>
      <c r="AD21" s="4">
        <v>9.3800000000000008</v>
      </c>
      <c r="AE21" s="4">
        <v>9.3800000000000008</v>
      </c>
      <c r="AF21" s="4">
        <v>9.3800000000000008</v>
      </c>
      <c r="AG21" s="4">
        <v>9.3800000000000008</v>
      </c>
      <c r="AH21" s="4">
        <v>9.3800000000000008</v>
      </c>
      <c r="AI21" s="4">
        <v>9.3800000000000008</v>
      </c>
      <c r="AJ21" s="4">
        <v>9.3800000000000008</v>
      </c>
      <c r="AK21" s="4">
        <v>9.3800000000000008</v>
      </c>
      <c r="AL21" s="4">
        <v>9.3800000000000008</v>
      </c>
      <c r="AM21" s="4">
        <v>9.3800000000000008</v>
      </c>
      <c r="AN21" s="4">
        <v>9.3800000000000008</v>
      </c>
      <c r="AO21" s="4">
        <v>9.3800000000000008</v>
      </c>
      <c r="AP21" s="4">
        <v>9.3800000000000008</v>
      </c>
      <c r="AQ21" s="4">
        <v>9.3800000000000008</v>
      </c>
      <c r="AR21" s="4">
        <v>9.3800000000000008</v>
      </c>
      <c r="AS21" s="4">
        <v>9.3800000000000008</v>
      </c>
      <c r="AT21" s="4">
        <v>9.3800000000000008</v>
      </c>
      <c r="AU21" s="4">
        <v>9.3800000000000008</v>
      </c>
      <c r="AV21" s="4">
        <v>9.3800000000000008</v>
      </c>
      <c r="AW21" s="4">
        <v>9.3800000000000008</v>
      </c>
      <c r="AX21" s="4">
        <v>9.3800000000000008</v>
      </c>
      <c r="AY21" s="4">
        <v>9.3800000000000008</v>
      </c>
      <c r="AZ21" s="4">
        <v>9.3800000000000008</v>
      </c>
      <c r="BA21" s="4">
        <v>9.3800000000000008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</row>
    <row r="22" spans="1:61" s="2" customFormat="1" x14ac:dyDescent="0.35">
      <c r="A22" s="8" t="s">
        <v>52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3.05</v>
      </c>
      <c r="P22" s="4">
        <v>3.05</v>
      </c>
      <c r="Q22" s="4">
        <v>3.05</v>
      </c>
      <c r="R22" s="4">
        <v>3.05</v>
      </c>
      <c r="S22" s="4">
        <v>3.05</v>
      </c>
      <c r="T22" s="4">
        <v>3.05</v>
      </c>
      <c r="U22" s="4">
        <v>3.05</v>
      </c>
      <c r="V22" s="4">
        <v>3.05</v>
      </c>
      <c r="W22" s="4">
        <v>3.05</v>
      </c>
      <c r="X22" s="4">
        <v>3.05</v>
      </c>
      <c r="Y22" s="4">
        <v>3.05</v>
      </c>
      <c r="Z22" s="4">
        <v>3.05</v>
      </c>
      <c r="AA22" s="4">
        <v>3.05</v>
      </c>
      <c r="AB22" s="4">
        <v>3.05</v>
      </c>
      <c r="AC22" s="4">
        <v>3.05</v>
      </c>
      <c r="AD22" s="4">
        <v>3.05</v>
      </c>
      <c r="AE22" s="4">
        <v>3.05</v>
      </c>
      <c r="AF22" s="4">
        <v>3.05</v>
      </c>
      <c r="AG22" s="4">
        <v>3.05</v>
      </c>
      <c r="AH22" s="4">
        <v>3.05</v>
      </c>
      <c r="AI22" s="4">
        <v>3.05</v>
      </c>
      <c r="AJ22" s="4">
        <v>3.05</v>
      </c>
      <c r="AK22" s="4">
        <v>3.05</v>
      </c>
      <c r="AL22" s="4">
        <v>3.05</v>
      </c>
      <c r="AM22" s="4">
        <v>3.05</v>
      </c>
      <c r="AN22" s="4">
        <v>3.05</v>
      </c>
      <c r="AO22" s="4">
        <v>3.05</v>
      </c>
      <c r="AP22" s="4">
        <v>3.05</v>
      </c>
      <c r="AQ22" s="4">
        <v>3.05</v>
      </c>
      <c r="AR22" s="4">
        <v>3.05</v>
      </c>
      <c r="AS22" s="4">
        <v>3.05</v>
      </c>
      <c r="AT22" s="4">
        <v>3.05</v>
      </c>
      <c r="AU22" s="4">
        <v>3.05</v>
      </c>
      <c r="AV22" s="4">
        <v>3.05</v>
      </c>
      <c r="AW22" s="4">
        <v>3.05</v>
      </c>
      <c r="AX22" s="4">
        <v>3.05</v>
      </c>
      <c r="AY22" s="4">
        <v>3.05</v>
      </c>
      <c r="AZ22" s="4">
        <v>3.05</v>
      </c>
      <c r="BA22" s="4">
        <v>3.05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</row>
    <row r="23" spans="1:61" s="2" customForma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s="2" customFormat="1" x14ac:dyDescent="0.35"/>
    <row r="25" spans="1:61" s="2" customFormat="1" x14ac:dyDescent="0.35"/>
    <row r="26" spans="1:61" s="2" customFormat="1" hidden="1" x14ac:dyDescent="0.35"/>
    <row r="27" spans="1:61" s="2" customFormat="1" hidden="1" x14ac:dyDescent="0.35"/>
    <row r="28" spans="1:61" s="2" customFormat="1" hidden="1" x14ac:dyDescent="0.35"/>
    <row r="29" spans="1:61" s="2" customFormat="1" hidden="1" x14ac:dyDescent="0.35"/>
    <row r="30" spans="1:61" s="2" customFormat="1" x14ac:dyDescent="0.35">
      <c r="A30" s="7" t="s">
        <v>34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s="2" customFormat="1" x14ac:dyDescent="0.35">
      <c r="A31" s="7"/>
      <c r="B31" s="65" t="s">
        <v>53</v>
      </c>
      <c r="C31" s="65" t="s">
        <v>54</v>
      </c>
      <c r="D31" s="65" t="s">
        <v>55</v>
      </c>
      <c r="E31" s="65" t="s">
        <v>56</v>
      </c>
      <c r="F31" s="65" t="s">
        <v>57</v>
      </c>
      <c r="G31" s="65" t="s">
        <v>58</v>
      </c>
      <c r="H31" s="65" t="s">
        <v>59</v>
      </c>
      <c r="I31" s="65" t="s">
        <v>60</v>
      </c>
      <c r="J31" s="65" t="s">
        <v>61</v>
      </c>
      <c r="K31" s="65" t="s">
        <v>62</v>
      </c>
      <c r="L31" s="65" t="s">
        <v>63</v>
      </c>
      <c r="M31" s="65" t="s">
        <v>64</v>
      </c>
      <c r="N31" s="65" t="s">
        <v>65</v>
      </c>
      <c r="O31" s="65" t="s">
        <v>66</v>
      </c>
      <c r="P31" s="65" t="s">
        <v>67</v>
      </c>
      <c r="Q31" s="65" t="s">
        <v>68</v>
      </c>
      <c r="R31" s="65" t="s">
        <v>69</v>
      </c>
      <c r="S31" s="65" t="s">
        <v>70</v>
      </c>
      <c r="T31" s="65" t="s">
        <v>71</v>
      </c>
      <c r="U31" s="65" t="s">
        <v>72</v>
      </c>
      <c r="V31" s="65" t="s">
        <v>73</v>
      </c>
      <c r="W31" s="65" t="s">
        <v>74</v>
      </c>
      <c r="X31" s="65" t="s">
        <v>75</v>
      </c>
      <c r="Y31" s="65" t="s">
        <v>76</v>
      </c>
      <c r="Z31" s="65" t="s">
        <v>77</v>
      </c>
      <c r="AA31" s="65" t="s">
        <v>78</v>
      </c>
      <c r="AB31" s="65" t="s">
        <v>79</v>
      </c>
      <c r="AC31" s="65" t="s">
        <v>80</v>
      </c>
      <c r="AD31" s="65" t="s">
        <v>81</v>
      </c>
      <c r="AE31" s="65" t="s">
        <v>82</v>
      </c>
      <c r="AF31" s="65" t="s">
        <v>83</v>
      </c>
      <c r="AG31" s="65" t="s">
        <v>84</v>
      </c>
      <c r="AH31" s="65" t="s">
        <v>85</v>
      </c>
      <c r="AI31" s="65" t="s">
        <v>86</v>
      </c>
      <c r="AJ31" s="65" t="s">
        <v>87</v>
      </c>
      <c r="AK31" s="65" t="s">
        <v>88</v>
      </c>
      <c r="AL31" s="65" t="s">
        <v>89</v>
      </c>
      <c r="AM31" s="65" t="s">
        <v>90</v>
      </c>
      <c r="AN31" s="65" t="s">
        <v>91</v>
      </c>
      <c r="AO31" s="65" t="s">
        <v>92</v>
      </c>
      <c r="AP31" s="65" t="s">
        <v>93</v>
      </c>
      <c r="AQ31" s="65" t="s">
        <v>94</v>
      </c>
      <c r="AR31" s="65" t="s">
        <v>95</v>
      </c>
      <c r="AS31" s="65" t="s">
        <v>96</v>
      </c>
      <c r="AT31" s="65" t="s">
        <v>97</v>
      </c>
      <c r="AU31" s="65" t="s">
        <v>98</v>
      </c>
      <c r="AV31" s="65" t="s">
        <v>99</v>
      </c>
      <c r="AW31" s="65" t="s">
        <v>100</v>
      </c>
      <c r="AX31" s="65" t="s">
        <v>101</v>
      </c>
      <c r="AY31" s="65" t="s">
        <v>102</v>
      </c>
      <c r="AZ31" s="65" t="s">
        <v>103</v>
      </c>
      <c r="BA31" s="65" t="s">
        <v>104</v>
      </c>
      <c r="BB31" s="65">
        <v>1</v>
      </c>
      <c r="BC31" s="65">
        <v>2</v>
      </c>
      <c r="BD31" s="65">
        <v>3</v>
      </c>
      <c r="BE31" s="65">
        <v>4</v>
      </c>
      <c r="BF31" s="65">
        <v>5</v>
      </c>
      <c r="BG31" s="65">
        <v>6</v>
      </c>
      <c r="BH31" s="65">
        <v>7</v>
      </c>
      <c r="BI31" s="65">
        <v>7</v>
      </c>
    </row>
    <row r="32" spans="1:61" s="2" customFormat="1" x14ac:dyDescent="0.35">
      <c r="A32" s="59" t="s">
        <v>36</v>
      </c>
      <c r="B32" s="5">
        <f>1-(B4/B1)</f>
        <v>1</v>
      </c>
      <c r="C32" s="5">
        <f t="shared" ref="C32:BA32" si="52">1-(C4/C1)</f>
        <v>1</v>
      </c>
      <c r="D32" s="5">
        <f t="shared" si="52"/>
        <v>1</v>
      </c>
      <c r="E32" s="5">
        <f t="shared" si="52"/>
        <v>1</v>
      </c>
      <c r="F32" s="5">
        <f t="shared" si="52"/>
        <v>1</v>
      </c>
      <c r="G32" s="5">
        <f t="shared" si="52"/>
        <v>1</v>
      </c>
      <c r="H32" s="5">
        <f t="shared" si="52"/>
        <v>1</v>
      </c>
      <c r="I32" s="5">
        <f t="shared" si="52"/>
        <v>1</v>
      </c>
      <c r="J32" s="5">
        <f t="shared" si="52"/>
        <v>1</v>
      </c>
      <c r="K32" s="5">
        <f t="shared" si="52"/>
        <v>1</v>
      </c>
      <c r="L32" s="5">
        <f t="shared" si="52"/>
        <v>1</v>
      </c>
      <c r="M32" s="5">
        <f t="shared" si="52"/>
        <v>0.99511458333333336</v>
      </c>
      <c r="N32" s="5">
        <f t="shared" si="52"/>
        <v>0.99550766283524905</v>
      </c>
      <c r="O32" s="5">
        <f t="shared" si="52"/>
        <v>0.99584219858156031</v>
      </c>
      <c r="P32" s="5">
        <f t="shared" si="52"/>
        <v>0.99613036303630365</v>
      </c>
      <c r="Q32" s="5">
        <f t="shared" si="52"/>
        <v>0.99638117283950622</v>
      </c>
      <c r="R32" s="5">
        <f t="shared" si="52"/>
        <v>0.99660144927536232</v>
      </c>
      <c r="S32" s="5">
        <f t="shared" si="52"/>
        <v>0.99679644808743173</v>
      </c>
      <c r="T32" s="5">
        <f t="shared" si="52"/>
        <v>0.99697028423772605</v>
      </c>
      <c r="U32" s="5">
        <f t="shared" si="52"/>
        <v>0.99712622549019603</v>
      </c>
      <c r="V32" s="5">
        <f t="shared" si="52"/>
        <v>0.99726689976689975</v>
      </c>
      <c r="W32" s="5">
        <f t="shared" si="52"/>
        <v>0.99739444444444447</v>
      </c>
      <c r="X32" s="5">
        <f t="shared" si="52"/>
        <v>0.99751061571125266</v>
      </c>
      <c r="Y32" s="5">
        <f t="shared" si="52"/>
        <v>0.99761686991869913</v>
      </c>
      <c r="Z32" s="5">
        <f t="shared" si="52"/>
        <v>0.99771442495126705</v>
      </c>
      <c r="AA32" s="5">
        <f t="shared" si="52"/>
        <v>0.9978043071161049</v>
      </c>
      <c r="AB32" s="5">
        <f t="shared" si="52"/>
        <v>0.99788738738738736</v>
      </c>
      <c r="AC32" s="5">
        <f t="shared" si="52"/>
        <v>0.99796440972222222</v>
      </c>
      <c r="AD32" s="5">
        <f t="shared" si="52"/>
        <v>0.99803601340033499</v>
      </c>
      <c r="AE32" s="5">
        <f t="shared" si="52"/>
        <v>0.99810275080906152</v>
      </c>
      <c r="AF32" s="5">
        <f t="shared" si="52"/>
        <v>0.9981651017214398</v>
      </c>
      <c r="AG32" s="5">
        <f t="shared" si="52"/>
        <v>0.99822348484848489</v>
      </c>
      <c r="AH32" s="5">
        <f t="shared" si="52"/>
        <v>0.99827826725403823</v>
      </c>
      <c r="AI32" s="5">
        <f t="shared" si="52"/>
        <v>0.99832977207977203</v>
      </c>
      <c r="AJ32" s="5">
        <f t="shared" si="52"/>
        <v>0.99837828492392811</v>
      </c>
      <c r="AK32" s="5">
        <f t="shared" si="52"/>
        <v>0.99842405913978494</v>
      </c>
      <c r="AL32" s="5">
        <f t="shared" si="52"/>
        <v>0.99846732026143792</v>
      </c>
      <c r="AM32" s="5">
        <f t="shared" si="52"/>
        <v>0.99850826972010176</v>
      </c>
      <c r="AN32" s="5">
        <f t="shared" si="52"/>
        <v>0.99854708798017344</v>
      </c>
      <c r="AO32" s="5">
        <f t="shared" si="52"/>
        <v>0.99858393719806759</v>
      </c>
      <c r="AP32" s="5">
        <f t="shared" si="52"/>
        <v>0.99861896348645462</v>
      </c>
      <c r="AQ32" s="5">
        <f t="shared" si="52"/>
        <v>0.99865229885057472</v>
      </c>
      <c r="AR32" s="5">
        <f t="shared" si="52"/>
        <v>0.99868406285072953</v>
      </c>
      <c r="AS32" s="5">
        <f t="shared" si="52"/>
        <v>0.99871436403508773</v>
      </c>
      <c r="AT32" s="5">
        <f t="shared" si="52"/>
        <v>0.99874330117899246</v>
      </c>
      <c r="AU32" s="5">
        <f t="shared" si="52"/>
        <v>0.99877096436058699</v>
      </c>
      <c r="AV32" s="5">
        <f t="shared" si="52"/>
        <v>0.99879743589743586</v>
      </c>
      <c r="AW32" s="5">
        <f t="shared" si="52"/>
        <v>0.99882279116465866</v>
      </c>
      <c r="AX32" s="5">
        <f t="shared" si="52"/>
        <v>0.99884709931170113</v>
      </c>
      <c r="AY32" s="5">
        <f t="shared" si="52"/>
        <v>0.99887042389210023</v>
      </c>
      <c r="AZ32" s="5">
        <f t="shared" si="52"/>
        <v>0.9988928234183192</v>
      </c>
      <c r="BA32" s="5">
        <f t="shared" si="52"/>
        <v>0.99891435185185184</v>
      </c>
      <c r="BB32" s="5">
        <f t="shared" ref="BB32:BG32" si="53">1-(BB4/BB1)</f>
        <v>1</v>
      </c>
      <c r="BC32" s="5">
        <f t="shared" si="53"/>
        <v>1</v>
      </c>
      <c r="BD32" s="5">
        <f t="shared" si="53"/>
        <v>1</v>
      </c>
      <c r="BE32" s="5">
        <f t="shared" si="53"/>
        <v>1</v>
      </c>
      <c r="BF32" s="5">
        <f t="shared" si="53"/>
        <v>1</v>
      </c>
      <c r="BG32" s="5">
        <f t="shared" si="53"/>
        <v>1</v>
      </c>
      <c r="BH32" s="5">
        <f>1-(BH4/BH1)</f>
        <v>1</v>
      </c>
      <c r="BI32" s="5">
        <f>1-(BI4/BI1)</f>
        <v>1</v>
      </c>
    </row>
    <row r="33" spans="1:61" s="2" customFormat="1" x14ac:dyDescent="0.35">
      <c r="A33" s="8" t="s">
        <v>37</v>
      </c>
      <c r="B33" s="5">
        <f>1-(B5/B1)</f>
        <v>1</v>
      </c>
      <c r="C33" s="5">
        <f t="shared" ref="C33:BA33" si="54">1-(C5/C1)</f>
        <v>1</v>
      </c>
      <c r="D33" s="5">
        <f t="shared" si="54"/>
        <v>1</v>
      </c>
      <c r="E33" s="5">
        <f t="shared" si="54"/>
        <v>1</v>
      </c>
      <c r="F33" s="5">
        <f t="shared" si="54"/>
        <v>1</v>
      </c>
      <c r="G33" s="5">
        <f t="shared" si="54"/>
        <v>1</v>
      </c>
      <c r="H33" s="5">
        <f t="shared" si="54"/>
        <v>1</v>
      </c>
      <c r="I33" s="5">
        <f t="shared" si="54"/>
        <v>1</v>
      </c>
      <c r="J33" s="5">
        <f t="shared" si="54"/>
        <v>1</v>
      </c>
      <c r="K33" s="5">
        <f t="shared" si="54"/>
        <v>1</v>
      </c>
      <c r="L33" s="5">
        <f t="shared" si="54"/>
        <v>1</v>
      </c>
      <c r="M33" s="5">
        <f t="shared" si="54"/>
        <v>1</v>
      </c>
      <c r="N33" s="5">
        <f t="shared" si="54"/>
        <v>1</v>
      </c>
      <c r="O33" s="5">
        <f t="shared" si="54"/>
        <v>1</v>
      </c>
      <c r="P33" s="5">
        <f t="shared" si="54"/>
        <v>1</v>
      </c>
      <c r="Q33" s="5">
        <f t="shared" si="54"/>
        <v>1</v>
      </c>
      <c r="R33" s="5">
        <f t="shared" si="54"/>
        <v>1</v>
      </c>
      <c r="S33" s="5">
        <f t="shared" si="54"/>
        <v>1</v>
      </c>
      <c r="T33" s="5">
        <f t="shared" si="54"/>
        <v>1</v>
      </c>
      <c r="U33" s="5">
        <f t="shared" si="54"/>
        <v>1</v>
      </c>
      <c r="V33" s="5">
        <f t="shared" si="54"/>
        <v>1</v>
      </c>
      <c r="W33" s="5">
        <f t="shared" si="54"/>
        <v>1</v>
      </c>
      <c r="X33" s="5">
        <f t="shared" si="54"/>
        <v>1</v>
      </c>
      <c r="Y33" s="5">
        <f t="shared" si="54"/>
        <v>1</v>
      </c>
      <c r="Z33" s="5">
        <f t="shared" si="54"/>
        <v>1</v>
      </c>
      <c r="AA33" s="5">
        <f t="shared" si="54"/>
        <v>1</v>
      </c>
      <c r="AB33" s="5">
        <f t="shared" si="54"/>
        <v>1</v>
      </c>
      <c r="AC33" s="5">
        <f t="shared" si="54"/>
        <v>1</v>
      </c>
      <c r="AD33" s="5">
        <f t="shared" si="54"/>
        <v>1</v>
      </c>
      <c r="AE33" s="5">
        <f t="shared" si="54"/>
        <v>1</v>
      </c>
      <c r="AF33" s="5">
        <f t="shared" si="54"/>
        <v>1</v>
      </c>
      <c r="AG33" s="5">
        <f t="shared" si="54"/>
        <v>1</v>
      </c>
      <c r="AH33" s="5">
        <f t="shared" si="54"/>
        <v>1</v>
      </c>
      <c r="AI33" s="5">
        <f t="shared" si="54"/>
        <v>1</v>
      </c>
      <c r="AJ33" s="5">
        <f t="shared" si="54"/>
        <v>1</v>
      </c>
      <c r="AK33" s="5">
        <f t="shared" si="54"/>
        <v>1</v>
      </c>
      <c r="AL33" s="5">
        <f t="shared" si="54"/>
        <v>1</v>
      </c>
      <c r="AM33" s="5">
        <f t="shared" si="54"/>
        <v>1</v>
      </c>
      <c r="AN33" s="5">
        <f t="shared" si="54"/>
        <v>1</v>
      </c>
      <c r="AO33" s="5">
        <f t="shared" si="54"/>
        <v>1</v>
      </c>
      <c r="AP33" s="5">
        <f t="shared" si="54"/>
        <v>1</v>
      </c>
      <c r="AQ33" s="5">
        <f t="shared" si="54"/>
        <v>1</v>
      </c>
      <c r="AR33" s="5">
        <f t="shared" si="54"/>
        <v>1</v>
      </c>
      <c r="AS33" s="5">
        <f t="shared" si="54"/>
        <v>1</v>
      </c>
      <c r="AT33" s="5">
        <f t="shared" si="54"/>
        <v>1</v>
      </c>
      <c r="AU33" s="5">
        <f t="shared" si="54"/>
        <v>1</v>
      </c>
      <c r="AV33" s="5">
        <f t="shared" si="54"/>
        <v>1</v>
      </c>
      <c r="AW33" s="5">
        <f t="shared" si="54"/>
        <v>1</v>
      </c>
      <c r="AX33" s="5">
        <f t="shared" si="54"/>
        <v>1</v>
      </c>
      <c r="AY33" s="5">
        <f t="shared" si="54"/>
        <v>1</v>
      </c>
      <c r="AZ33" s="5">
        <f t="shared" si="54"/>
        <v>1</v>
      </c>
      <c r="BA33" s="5">
        <f t="shared" si="54"/>
        <v>1</v>
      </c>
      <c r="BB33" s="5">
        <f t="shared" ref="BB33:BG33" si="55">1-(BB5/BB1)</f>
        <v>1</v>
      </c>
      <c r="BC33" s="5">
        <f t="shared" si="55"/>
        <v>1</v>
      </c>
      <c r="BD33" s="5">
        <f t="shared" si="55"/>
        <v>1</v>
      </c>
      <c r="BE33" s="5">
        <f t="shared" si="55"/>
        <v>1</v>
      </c>
      <c r="BF33" s="5">
        <f t="shared" si="55"/>
        <v>1</v>
      </c>
      <c r="BG33" s="5">
        <f t="shared" si="55"/>
        <v>1</v>
      </c>
      <c r="BH33" s="5">
        <f>1-(BH5/BH1)</f>
        <v>1</v>
      </c>
      <c r="BI33" s="5">
        <f>1-(BI5/BI1)</f>
        <v>1</v>
      </c>
    </row>
    <row r="34" spans="1:61" s="2" customFormat="1" x14ac:dyDescent="0.35">
      <c r="A34" s="8" t="s">
        <v>38</v>
      </c>
      <c r="B34" s="5">
        <f>1-(B6/B1)</f>
        <v>1</v>
      </c>
      <c r="C34" s="5">
        <f t="shared" ref="C34:BA34" si="56">1-(C6/C1)</f>
        <v>1</v>
      </c>
      <c r="D34" s="5">
        <f t="shared" si="56"/>
        <v>1</v>
      </c>
      <c r="E34" s="5">
        <f t="shared" si="56"/>
        <v>1</v>
      </c>
      <c r="F34" s="5">
        <f t="shared" si="56"/>
        <v>1</v>
      </c>
      <c r="G34" s="5">
        <f t="shared" si="56"/>
        <v>1</v>
      </c>
      <c r="H34" s="5">
        <f t="shared" si="56"/>
        <v>1</v>
      </c>
      <c r="I34" s="5">
        <f t="shared" si="56"/>
        <v>1</v>
      </c>
      <c r="J34" s="5">
        <f t="shared" si="56"/>
        <v>1</v>
      </c>
      <c r="K34" s="5">
        <f t="shared" si="56"/>
        <v>1</v>
      </c>
      <c r="L34" s="5">
        <f t="shared" si="56"/>
        <v>1</v>
      </c>
      <c r="M34" s="5">
        <f t="shared" si="56"/>
        <v>0.99511458333333336</v>
      </c>
      <c r="N34" s="5">
        <f t="shared" si="56"/>
        <v>0.99550766283524905</v>
      </c>
      <c r="O34" s="5">
        <f t="shared" si="56"/>
        <v>0.99584219858156031</v>
      </c>
      <c r="P34" s="5">
        <f t="shared" si="56"/>
        <v>0.99613036303630365</v>
      </c>
      <c r="Q34" s="5">
        <f t="shared" si="56"/>
        <v>0.99638117283950622</v>
      </c>
      <c r="R34" s="5">
        <f t="shared" si="56"/>
        <v>0.99660144927536232</v>
      </c>
      <c r="S34" s="5">
        <f t="shared" si="56"/>
        <v>0.99679644808743173</v>
      </c>
      <c r="T34" s="5">
        <f t="shared" si="56"/>
        <v>0.99697028423772605</v>
      </c>
      <c r="U34" s="5">
        <f t="shared" si="56"/>
        <v>0.99712622549019603</v>
      </c>
      <c r="V34" s="5">
        <f t="shared" si="56"/>
        <v>0.99726689976689975</v>
      </c>
      <c r="W34" s="5">
        <f t="shared" si="56"/>
        <v>0.99739444444444447</v>
      </c>
      <c r="X34" s="5">
        <f t="shared" si="56"/>
        <v>0.99751061571125266</v>
      </c>
      <c r="Y34" s="5">
        <f t="shared" si="56"/>
        <v>0.99761686991869913</v>
      </c>
      <c r="Z34" s="5">
        <f t="shared" si="56"/>
        <v>0.99771442495126705</v>
      </c>
      <c r="AA34" s="5">
        <f t="shared" si="56"/>
        <v>0.9978043071161049</v>
      </c>
      <c r="AB34" s="5">
        <f t="shared" si="56"/>
        <v>0.99788738738738736</v>
      </c>
      <c r="AC34" s="5">
        <f t="shared" si="56"/>
        <v>0.99796440972222222</v>
      </c>
      <c r="AD34" s="5">
        <f t="shared" si="56"/>
        <v>0.99803601340033499</v>
      </c>
      <c r="AE34" s="5">
        <f t="shared" si="56"/>
        <v>0.99810275080906152</v>
      </c>
      <c r="AF34" s="5">
        <f t="shared" si="56"/>
        <v>0.9981651017214398</v>
      </c>
      <c r="AG34" s="5">
        <f t="shared" si="56"/>
        <v>0.99822348484848489</v>
      </c>
      <c r="AH34" s="5">
        <f t="shared" si="56"/>
        <v>0.99827826725403823</v>
      </c>
      <c r="AI34" s="5">
        <f t="shared" si="56"/>
        <v>0.99832977207977203</v>
      </c>
      <c r="AJ34" s="5">
        <f t="shared" si="56"/>
        <v>0.99837828492392811</v>
      </c>
      <c r="AK34" s="5">
        <f t="shared" si="56"/>
        <v>0.99842405913978494</v>
      </c>
      <c r="AL34" s="5">
        <f t="shared" si="56"/>
        <v>0.99846732026143792</v>
      </c>
      <c r="AM34" s="5">
        <f t="shared" si="56"/>
        <v>0.99850826972010176</v>
      </c>
      <c r="AN34" s="5">
        <f t="shared" si="56"/>
        <v>0.99854708798017344</v>
      </c>
      <c r="AO34" s="5">
        <f t="shared" si="56"/>
        <v>0.99858393719806759</v>
      </c>
      <c r="AP34" s="5">
        <f t="shared" si="56"/>
        <v>0.99861896348645462</v>
      </c>
      <c r="AQ34" s="5">
        <f t="shared" si="56"/>
        <v>0.99865229885057472</v>
      </c>
      <c r="AR34" s="5">
        <f t="shared" si="56"/>
        <v>0.99868406285072953</v>
      </c>
      <c r="AS34" s="5">
        <f t="shared" si="56"/>
        <v>0.99871436403508773</v>
      </c>
      <c r="AT34" s="5">
        <f t="shared" si="56"/>
        <v>0.99874330117899246</v>
      </c>
      <c r="AU34" s="5">
        <f t="shared" si="56"/>
        <v>0.99877096436058699</v>
      </c>
      <c r="AV34" s="5">
        <f t="shared" si="56"/>
        <v>0.99879743589743586</v>
      </c>
      <c r="AW34" s="5">
        <f t="shared" si="56"/>
        <v>0.99882279116465866</v>
      </c>
      <c r="AX34" s="5">
        <f t="shared" si="56"/>
        <v>0.99884709931170113</v>
      </c>
      <c r="AY34" s="5">
        <f t="shared" si="56"/>
        <v>0.99887042389210023</v>
      </c>
      <c r="AZ34" s="5">
        <f t="shared" si="56"/>
        <v>0.9988928234183192</v>
      </c>
      <c r="BA34" s="5">
        <f t="shared" si="56"/>
        <v>0.99891435185185184</v>
      </c>
      <c r="BB34" s="5">
        <f t="shared" ref="BB34:BG34" si="57">1-(BB6/BB1)</f>
        <v>1</v>
      </c>
      <c r="BC34" s="5">
        <f t="shared" si="57"/>
        <v>1</v>
      </c>
      <c r="BD34" s="5">
        <f t="shared" si="57"/>
        <v>1</v>
      </c>
      <c r="BE34" s="5">
        <f t="shared" si="57"/>
        <v>1</v>
      </c>
      <c r="BF34" s="5">
        <f t="shared" si="57"/>
        <v>1</v>
      </c>
      <c r="BG34" s="5">
        <f t="shared" si="57"/>
        <v>1</v>
      </c>
      <c r="BH34" s="5">
        <f>1-(BH6/BH1)</f>
        <v>1</v>
      </c>
      <c r="BI34" s="5">
        <f>1-(BI6/BI1)</f>
        <v>1</v>
      </c>
    </row>
    <row r="35" spans="1:61" s="2" customFormat="1" x14ac:dyDescent="0.35">
      <c r="A35" s="8" t="s">
        <v>39</v>
      </c>
      <c r="B35" s="5">
        <f>1-(B7/B1)</f>
        <v>1</v>
      </c>
      <c r="C35" s="5">
        <f t="shared" ref="C35:BA35" si="58">1-(C7/C1)</f>
        <v>1</v>
      </c>
      <c r="D35" s="5">
        <f t="shared" si="58"/>
        <v>1</v>
      </c>
      <c r="E35" s="5">
        <f t="shared" si="58"/>
        <v>1</v>
      </c>
      <c r="F35" s="5">
        <f t="shared" si="58"/>
        <v>1</v>
      </c>
      <c r="G35" s="5">
        <f t="shared" si="58"/>
        <v>1</v>
      </c>
      <c r="H35" s="5">
        <f t="shared" si="58"/>
        <v>1</v>
      </c>
      <c r="I35" s="5">
        <f t="shared" si="58"/>
        <v>1</v>
      </c>
      <c r="J35" s="5">
        <f t="shared" si="58"/>
        <v>1</v>
      </c>
      <c r="K35" s="5">
        <f t="shared" si="58"/>
        <v>1</v>
      </c>
      <c r="L35" s="5">
        <f t="shared" si="58"/>
        <v>1</v>
      </c>
      <c r="M35" s="5">
        <f t="shared" si="58"/>
        <v>1</v>
      </c>
      <c r="N35" s="5">
        <f t="shared" si="58"/>
        <v>1</v>
      </c>
      <c r="O35" s="5">
        <f t="shared" si="58"/>
        <v>1</v>
      </c>
      <c r="P35" s="5">
        <f t="shared" si="58"/>
        <v>1</v>
      </c>
      <c r="Q35" s="5">
        <f t="shared" si="58"/>
        <v>1</v>
      </c>
      <c r="R35" s="5">
        <f t="shared" si="58"/>
        <v>1</v>
      </c>
      <c r="S35" s="5">
        <f t="shared" si="58"/>
        <v>1</v>
      </c>
      <c r="T35" s="5">
        <f t="shared" si="58"/>
        <v>1</v>
      </c>
      <c r="U35" s="5">
        <f t="shared" si="58"/>
        <v>1</v>
      </c>
      <c r="V35" s="5">
        <f t="shared" si="58"/>
        <v>1</v>
      </c>
      <c r="W35" s="5">
        <f t="shared" si="58"/>
        <v>1</v>
      </c>
      <c r="X35" s="5">
        <f t="shared" si="58"/>
        <v>1</v>
      </c>
      <c r="Y35" s="5">
        <f t="shared" si="58"/>
        <v>1</v>
      </c>
      <c r="Z35" s="5">
        <f t="shared" si="58"/>
        <v>1</v>
      </c>
      <c r="AA35" s="5">
        <f t="shared" si="58"/>
        <v>1</v>
      </c>
      <c r="AB35" s="5">
        <f t="shared" si="58"/>
        <v>1</v>
      </c>
      <c r="AC35" s="5">
        <f t="shared" si="58"/>
        <v>1</v>
      </c>
      <c r="AD35" s="5">
        <f t="shared" si="58"/>
        <v>1</v>
      </c>
      <c r="AE35" s="5">
        <f t="shared" si="58"/>
        <v>1</v>
      </c>
      <c r="AF35" s="5">
        <f t="shared" si="58"/>
        <v>1</v>
      </c>
      <c r="AG35" s="5">
        <f t="shared" si="58"/>
        <v>1</v>
      </c>
      <c r="AH35" s="5">
        <f t="shared" si="58"/>
        <v>1</v>
      </c>
      <c r="AI35" s="5">
        <f t="shared" si="58"/>
        <v>1</v>
      </c>
      <c r="AJ35" s="5">
        <f t="shared" si="58"/>
        <v>1</v>
      </c>
      <c r="AK35" s="5">
        <f t="shared" si="58"/>
        <v>1</v>
      </c>
      <c r="AL35" s="5">
        <f t="shared" si="58"/>
        <v>1</v>
      </c>
      <c r="AM35" s="5">
        <f t="shared" si="58"/>
        <v>1</v>
      </c>
      <c r="AN35" s="5">
        <f t="shared" si="58"/>
        <v>1</v>
      </c>
      <c r="AO35" s="5">
        <f t="shared" si="58"/>
        <v>1</v>
      </c>
      <c r="AP35" s="5">
        <f t="shared" si="58"/>
        <v>1</v>
      </c>
      <c r="AQ35" s="5">
        <f t="shared" si="58"/>
        <v>1</v>
      </c>
      <c r="AR35" s="5">
        <f t="shared" si="58"/>
        <v>1</v>
      </c>
      <c r="AS35" s="5">
        <f t="shared" si="58"/>
        <v>1</v>
      </c>
      <c r="AT35" s="5">
        <f t="shared" si="58"/>
        <v>1</v>
      </c>
      <c r="AU35" s="5">
        <f t="shared" si="58"/>
        <v>1</v>
      </c>
      <c r="AV35" s="5">
        <f t="shared" si="58"/>
        <v>1</v>
      </c>
      <c r="AW35" s="5">
        <f t="shared" si="58"/>
        <v>1</v>
      </c>
      <c r="AX35" s="5">
        <f t="shared" si="58"/>
        <v>1</v>
      </c>
      <c r="AY35" s="5">
        <f t="shared" si="58"/>
        <v>1</v>
      </c>
      <c r="AZ35" s="5">
        <f t="shared" si="58"/>
        <v>1</v>
      </c>
      <c r="BA35" s="5">
        <f t="shared" si="58"/>
        <v>1</v>
      </c>
      <c r="BB35" s="5">
        <f t="shared" ref="BB35:BG35" si="59">1-(BB7/BB1)</f>
        <v>1</v>
      </c>
      <c r="BC35" s="5">
        <f t="shared" si="59"/>
        <v>1</v>
      </c>
      <c r="BD35" s="5">
        <f t="shared" si="59"/>
        <v>1</v>
      </c>
      <c r="BE35" s="5">
        <f t="shared" si="59"/>
        <v>1</v>
      </c>
      <c r="BF35" s="5">
        <f t="shared" si="59"/>
        <v>1</v>
      </c>
      <c r="BG35" s="5">
        <f t="shared" si="59"/>
        <v>1</v>
      </c>
      <c r="BH35" s="5">
        <f>1-(BH7/BH1)</f>
        <v>1</v>
      </c>
      <c r="BI35" s="5">
        <f>1-(BI7/BI1)</f>
        <v>1</v>
      </c>
    </row>
    <row r="36" spans="1:61" s="2" customFormat="1" x14ac:dyDescent="0.35">
      <c r="A36" s="8" t="s">
        <v>40</v>
      </c>
      <c r="B36" s="5">
        <f>1-(B8/B1)</f>
        <v>1</v>
      </c>
      <c r="C36" s="5">
        <f t="shared" ref="C36:BA36" si="60">1-(C8/C1)</f>
        <v>1</v>
      </c>
      <c r="D36" s="5">
        <f t="shared" si="60"/>
        <v>1</v>
      </c>
      <c r="E36" s="5">
        <f t="shared" si="60"/>
        <v>1</v>
      </c>
      <c r="F36" s="5">
        <f t="shared" si="60"/>
        <v>1</v>
      </c>
      <c r="G36" s="5">
        <f t="shared" si="60"/>
        <v>1</v>
      </c>
      <c r="H36" s="5">
        <f t="shared" si="60"/>
        <v>1</v>
      </c>
      <c r="I36" s="5">
        <f t="shared" si="60"/>
        <v>1</v>
      </c>
      <c r="J36" s="5">
        <f t="shared" si="60"/>
        <v>1</v>
      </c>
      <c r="K36" s="5">
        <f t="shared" si="60"/>
        <v>1</v>
      </c>
      <c r="L36" s="5">
        <f t="shared" si="60"/>
        <v>1</v>
      </c>
      <c r="M36" s="5">
        <f t="shared" si="60"/>
        <v>1</v>
      </c>
      <c r="N36" s="5">
        <f t="shared" si="60"/>
        <v>1</v>
      </c>
      <c r="O36" s="5">
        <f t="shared" si="60"/>
        <v>1</v>
      </c>
      <c r="P36" s="5">
        <f t="shared" si="60"/>
        <v>1</v>
      </c>
      <c r="Q36" s="5">
        <f t="shared" si="60"/>
        <v>1</v>
      </c>
      <c r="R36" s="5">
        <f t="shared" si="60"/>
        <v>1</v>
      </c>
      <c r="S36" s="5">
        <f t="shared" si="60"/>
        <v>1</v>
      </c>
      <c r="T36" s="5">
        <f t="shared" si="60"/>
        <v>1</v>
      </c>
      <c r="U36" s="5">
        <f t="shared" si="60"/>
        <v>1</v>
      </c>
      <c r="V36" s="5">
        <f t="shared" si="60"/>
        <v>1</v>
      </c>
      <c r="W36" s="5">
        <f t="shared" si="60"/>
        <v>1</v>
      </c>
      <c r="X36" s="5">
        <f t="shared" si="60"/>
        <v>1</v>
      </c>
      <c r="Y36" s="5">
        <f t="shared" si="60"/>
        <v>1</v>
      </c>
      <c r="Z36" s="5">
        <f t="shared" si="60"/>
        <v>1</v>
      </c>
      <c r="AA36" s="5">
        <f t="shared" si="60"/>
        <v>1</v>
      </c>
      <c r="AB36" s="5">
        <f t="shared" si="60"/>
        <v>1</v>
      </c>
      <c r="AC36" s="5">
        <f t="shared" si="60"/>
        <v>1</v>
      </c>
      <c r="AD36" s="5">
        <f t="shared" si="60"/>
        <v>1</v>
      </c>
      <c r="AE36" s="5">
        <f t="shared" si="60"/>
        <v>1</v>
      </c>
      <c r="AF36" s="5">
        <f t="shared" si="60"/>
        <v>1</v>
      </c>
      <c r="AG36" s="5">
        <f t="shared" si="60"/>
        <v>1</v>
      </c>
      <c r="AH36" s="5">
        <f t="shared" si="60"/>
        <v>1</v>
      </c>
      <c r="AI36" s="5">
        <f t="shared" si="60"/>
        <v>1</v>
      </c>
      <c r="AJ36" s="5">
        <f t="shared" si="60"/>
        <v>1</v>
      </c>
      <c r="AK36" s="5">
        <f t="shared" si="60"/>
        <v>1</v>
      </c>
      <c r="AL36" s="5">
        <f t="shared" si="60"/>
        <v>1</v>
      </c>
      <c r="AM36" s="5">
        <f t="shared" si="60"/>
        <v>1</v>
      </c>
      <c r="AN36" s="5">
        <f t="shared" si="60"/>
        <v>1</v>
      </c>
      <c r="AO36" s="5">
        <f t="shared" si="60"/>
        <v>1</v>
      </c>
      <c r="AP36" s="5">
        <f t="shared" si="60"/>
        <v>1</v>
      </c>
      <c r="AQ36" s="5">
        <f t="shared" si="60"/>
        <v>1</v>
      </c>
      <c r="AR36" s="5">
        <f t="shared" si="60"/>
        <v>1</v>
      </c>
      <c r="AS36" s="5">
        <f t="shared" si="60"/>
        <v>1</v>
      </c>
      <c r="AT36" s="5">
        <f t="shared" si="60"/>
        <v>1</v>
      </c>
      <c r="AU36" s="5">
        <f t="shared" si="60"/>
        <v>1</v>
      </c>
      <c r="AV36" s="5">
        <f t="shared" si="60"/>
        <v>1</v>
      </c>
      <c r="AW36" s="5">
        <f t="shared" si="60"/>
        <v>1</v>
      </c>
      <c r="AX36" s="5">
        <f t="shared" si="60"/>
        <v>1</v>
      </c>
      <c r="AY36" s="5">
        <f t="shared" si="60"/>
        <v>1</v>
      </c>
      <c r="AZ36" s="5">
        <f t="shared" si="60"/>
        <v>1</v>
      </c>
      <c r="BA36" s="5">
        <f t="shared" si="60"/>
        <v>1</v>
      </c>
      <c r="BB36" s="5">
        <f t="shared" ref="BB36:BG36" si="61">1-(BB8/BB1)</f>
        <v>1</v>
      </c>
      <c r="BC36" s="5">
        <f t="shared" si="61"/>
        <v>1</v>
      </c>
      <c r="BD36" s="5">
        <f t="shared" si="61"/>
        <v>1</v>
      </c>
      <c r="BE36" s="5">
        <f t="shared" si="61"/>
        <v>1</v>
      </c>
      <c r="BF36" s="5">
        <f t="shared" si="61"/>
        <v>1</v>
      </c>
      <c r="BG36" s="5">
        <f t="shared" si="61"/>
        <v>1</v>
      </c>
      <c r="BH36" s="5">
        <f>1-(BH8/BH1)</f>
        <v>1</v>
      </c>
      <c r="BI36" s="5">
        <f>1-(BI8/BI1)</f>
        <v>1</v>
      </c>
    </row>
    <row r="37" spans="1:61" s="2" customFormat="1" x14ac:dyDescent="0.35">
      <c r="A37" s="6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x14ac:dyDescent="0.35">
      <c r="A38" s="7" t="s">
        <v>41</v>
      </c>
      <c r="B38" s="5">
        <f>1-(B10/B1)</f>
        <v>1</v>
      </c>
      <c r="C38" s="5">
        <f t="shared" ref="C38:BA38" si="62">1-(C10/C1)</f>
        <v>1</v>
      </c>
      <c r="D38" s="5">
        <f t="shared" si="62"/>
        <v>1</v>
      </c>
      <c r="E38" s="5">
        <f t="shared" si="62"/>
        <v>1</v>
      </c>
      <c r="F38" s="5">
        <f t="shared" si="62"/>
        <v>1</v>
      </c>
      <c r="G38" s="5">
        <f t="shared" si="62"/>
        <v>1</v>
      </c>
      <c r="H38" s="5">
        <f t="shared" si="62"/>
        <v>1</v>
      </c>
      <c r="I38" s="5">
        <f t="shared" si="62"/>
        <v>1</v>
      </c>
      <c r="J38" s="5">
        <f t="shared" si="62"/>
        <v>1</v>
      </c>
      <c r="K38" s="5">
        <f t="shared" si="62"/>
        <v>1</v>
      </c>
      <c r="L38" s="5">
        <f t="shared" si="62"/>
        <v>1</v>
      </c>
      <c r="M38" s="5">
        <f t="shared" si="62"/>
        <v>1</v>
      </c>
      <c r="N38" s="5">
        <f t="shared" si="62"/>
        <v>1</v>
      </c>
      <c r="O38" s="5">
        <f t="shared" si="62"/>
        <v>1</v>
      </c>
      <c r="P38" s="5">
        <f t="shared" si="62"/>
        <v>1</v>
      </c>
      <c r="Q38" s="5">
        <f t="shared" si="62"/>
        <v>1</v>
      </c>
      <c r="R38" s="5">
        <f t="shared" si="62"/>
        <v>1</v>
      </c>
      <c r="S38" s="5">
        <f t="shared" si="62"/>
        <v>1</v>
      </c>
      <c r="T38" s="5">
        <f t="shared" si="62"/>
        <v>1</v>
      </c>
      <c r="U38" s="5">
        <f t="shared" si="62"/>
        <v>1</v>
      </c>
      <c r="V38" s="5">
        <f t="shared" si="62"/>
        <v>1</v>
      </c>
      <c r="W38" s="5">
        <f t="shared" si="62"/>
        <v>1</v>
      </c>
      <c r="X38" s="5">
        <f t="shared" si="62"/>
        <v>1</v>
      </c>
      <c r="Y38" s="5">
        <f t="shared" si="62"/>
        <v>1</v>
      </c>
      <c r="Z38" s="5">
        <f t="shared" si="62"/>
        <v>1</v>
      </c>
      <c r="AA38" s="5">
        <f t="shared" si="62"/>
        <v>1</v>
      </c>
      <c r="AB38" s="5">
        <f t="shared" si="62"/>
        <v>1</v>
      </c>
      <c r="AC38" s="5">
        <f t="shared" si="62"/>
        <v>1</v>
      </c>
      <c r="AD38" s="5">
        <f t="shared" si="62"/>
        <v>1</v>
      </c>
      <c r="AE38" s="5">
        <f t="shared" si="62"/>
        <v>1</v>
      </c>
      <c r="AF38" s="5">
        <f t="shared" si="62"/>
        <v>1</v>
      </c>
      <c r="AG38" s="5">
        <f t="shared" si="62"/>
        <v>1</v>
      </c>
      <c r="AH38" s="5">
        <f t="shared" si="62"/>
        <v>1</v>
      </c>
      <c r="AI38" s="5">
        <f t="shared" si="62"/>
        <v>1</v>
      </c>
      <c r="AJ38" s="5">
        <f t="shared" si="62"/>
        <v>1</v>
      </c>
      <c r="AK38" s="5">
        <f t="shared" si="62"/>
        <v>1</v>
      </c>
      <c r="AL38" s="5">
        <f t="shared" si="62"/>
        <v>1</v>
      </c>
      <c r="AM38" s="5">
        <f t="shared" si="62"/>
        <v>1</v>
      </c>
      <c r="AN38" s="5">
        <f t="shared" si="62"/>
        <v>1</v>
      </c>
      <c r="AO38" s="5">
        <f t="shared" si="62"/>
        <v>1</v>
      </c>
      <c r="AP38" s="5">
        <f t="shared" si="62"/>
        <v>1</v>
      </c>
      <c r="AQ38" s="5">
        <f t="shared" si="62"/>
        <v>1</v>
      </c>
      <c r="AR38" s="5">
        <f t="shared" si="62"/>
        <v>1</v>
      </c>
      <c r="AS38" s="5">
        <f t="shared" si="62"/>
        <v>1</v>
      </c>
      <c r="AT38" s="5">
        <f t="shared" si="62"/>
        <v>1</v>
      </c>
      <c r="AU38" s="5">
        <f t="shared" si="62"/>
        <v>1</v>
      </c>
      <c r="AV38" s="5">
        <f t="shared" si="62"/>
        <v>1</v>
      </c>
      <c r="AW38" s="5">
        <f t="shared" si="62"/>
        <v>1</v>
      </c>
      <c r="AX38" s="5">
        <f t="shared" si="62"/>
        <v>1</v>
      </c>
      <c r="AY38" s="5">
        <f t="shared" si="62"/>
        <v>1</v>
      </c>
      <c r="AZ38" s="5">
        <f t="shared" si="62"/>
        <v>1</v>
      </c>
      <c r="BA38" s="5">
        <f t="shared" si="62"/>
        <v>1</v>
      </c>
      <c r="BB38" s="5">
        <f t="shared" ref="BB38:BG38" si="63">1-(BB10/BB1)</f>
        <v>1</v>
      </c>
      <c r="BC38" s="5">
        <f t="shared" si="63"/>
        <v>1</v>
      </c>
      <c r="BD38" s="5">
        <f t="shared" si="63"/>
        <v>1</v>
      </c>
      <c r="BE38" s="5">
        <f t="shared" si="63"/>
        <v>1</v>
      </c>
      <c r="BF38" s="5">
        <f t="shared" si="63"/>
        <v>1</v>
      </c>
      <c r="BG38" s="5">
        <f t="shared" si="63"/>
        <v>1</v>
      </c>
      <c r="BH38" s="5">
        <f>1-(BH10/BH1)</f>
        <v>1</v>
      </c>
      <c r="BI38" s="5">
        <f>1-(BI10/BI1)</f>
        <v>1</v>
      </c>
    </row>
    <row r="39" spans="1:61" x14ac:dyDescent="0.35">
      <c r="A39" s="8" t="s">
        <v>42</v>
      </c>
      <c r="B39" s="5">
        <f>1-(B11/B1)</f>
        <v>1</v>
      </c>
      <c r="C39" s="5">
        <f t="shared" ref="C39:BA39" si="64">1-(C11/C1)</f>
        <v>1</v>
      </c>
      <c r="D39" s="5">
        <f t="shared" si="64"/>
        <v>1</v>
      </c>
      <c r="E39" s="5">
        <f t="shared" si="64"/>
        <v>1</v>
      </c>
      <c r="F39" s="5">
        <f t="shared" si="64"/>
        <v>1</v>
      </c>
      <c r="G39" s="5">
        <f t="shared" si="64"/>
        <v>1</v>
      </c>
      <c r="H39" s="5">
        <f t="shared" si="64"/>
        <v>1</v>
      </c>
      <c r="I39" s="5">
        <f t="shared" si="64"/>
        <v>1</v>
      </c>
      <c r="J39" s="5">
        <f t="shared" si="64"/>
        <v>1</v>
      </c>
      <c r="K39" s="5">
        <f t="shared" si="64"/>
        <v>1</v>
      </c>
      <c r="L39" s="5">
        <f t="shared" si="64"/>
        <v>1</v>
      </c>
      <c r="M39" s="5">
        <f t="shared" si="64"/>
        <v>1</v>
      </c>
      <c r="N39" s="5">
        <f t="shared" si="64"/>
        <v>1</v>
      </c>
      <c r="O39" s="5">
        <f t="shared" si="64"/>
        <v>1</v>
      </c>
      <c r="P39" s="5">
        <f t="shared" si="64"/>
        <v>1</v>
      </c>
      <c r="Q39" s="5">
        <f t="shared" si="64"/>
        <v>1</v>
      </c>
      <c r="R39" s="5">
        <f t="shared" si="64"/>
        <v>1</v>
      </c>
      <c r="S39" s="5">
        <f t="shared" si="64"/>
        <v>1</v>
      </c>
      <c r="T39" s="5">
        <f t="shared" si="64"/>
        <v>1</v>
      </c>
      <c r="U39" s="5">
        <f t="shared" si="64"/>
        <v>1</v>
      </c>
      <c r="V39" s="5">
        <f t="shared" si="64"/>
        <v>1</v>
      </c>
      <c r="W39" s="5">
        <f t="shared" si="64"/>
        <v>1</v>
      </c>
      <c r="X39" s="5">
        <f t="shared" si="64"/>
        <v>1</v>
      </c>
      <c r="Y39" s="5">
        <f t="shared" si="64"/>
        <v>1</v>
      </c>
      <c r="Z39" s="5">
        <f t="shared" si="64"/>
        <v>1</v>
      </c>
      <c r="AA39" s="5">
        <f t="shared" si="64"/>
        <v>1</v>
      </c>
      <c r="AB39" s="5">
        <f t="shared" si="64"/>
        <v>0.99922297297297302</v>
      </c>
      <c r="AC39" s="5">
        <f t="shared" si="64"/>
        <v>0.99925130208333335</v>
      </c>
      <c r="AD39" s="5">
        <f t="shared" si="64"/>
        <v>0.99927763819095472</v>
      </c>
      <c r="AE39" s="5">
        <f t="shared" si="64"/>
        <v>0.99930218446601937</v>
      </c>
      <c r="AF39" s="5">
        <f t="shared" si="64"/>
        <v>0.99932511737089202</v>
      </c>
      <c r="AG39" s="5">
        <f t="shared" si="64"/>
        <v>0.99934659090909095</v>
      </c>
      <c r="AH39" s="5">
        <f t="shared" si="64"/>
        <v>0.99936674008810578</v>
      </c>
      <c r="AI39" s="5">
        <f t="shared" si="64"/>
        <v>0.99938568376068371</v>
      </c>
      <c r="AJ39" s="5">
        <f t="shared" si="64"/>
        <v>0.99940352697095436</v>
      </c>
      <c r="AK39" s="5">
        <f t="shared" si="64"/>
        <v>0.99942036290322578</v>
      </c>
      <c r="AL39" s="5">
        <f t="shared" si="64"/>
        <v>0.99943627450980388</v>
      </c>
      <c r="AM39" s="5">
        <f t="shared" si="64"/>
        <v>0.99945133587786261</v>
      </c>
      <c r="AN39" s="5">
        <f t="shared" si="64"/>
        <v>0.99946561338289963</v>
      </c>
      <c r="AO39" s="5">
        <f t="shared" si="64"/>
        <v>0.9994791666666667</v>
      </c>
      <c r="AP39" s="5">
        <f t="shared" si="64"/>
        <v>0.99949204946996462</v>
      </c>
      <c r="AQ39" s="5">
        <f t="shared" si="64"/>
        <v>0.99950431034482756</v>
      </c>
      <c r="AR39" s="5">
        <f t="shared" si="64"/>
        <v>0.99951599326599327</v>
      </c>
      <c r="AS39" s="5">
        <f t="shared" si="64"/>
        <v>0.99952713815789473</v>
      </c>
      <c r="AT39" s="5">
        <f t="shared" si="64"/>
        <v>0.99953778135048232</v>
      </c>
      <c r="AU39" s="5">
        <f t="shared" si="64"/>
        <v>0.99954795597484281</v>
      </c>
      <c r="AV39" s="5">
        <f t="shared" si="64"/>
        <v>0.99955769230769231</v>
      </c>
      <c r="AW39" s="5">
        <f t="shared" si="64"/>
        <v>0.9995670180722892</v>
      </c>
      <c r="AX39" s="5">
        <f t="shared" si="64"/>
        <v>0.99957595870206495</v>
      </c>
      <c r="AY39" s="5">
        <f t="shared" si="64"/>
        <v>0.99958453757225429</v>
      </c>
      <c r="AZ39" s="5">
        <f t="shared" si="64"/>
        <v>0.99959277620396603</v>
      </c>
      <c r="BA39" s="5">
        <f t="shared" si="64"/>
        <v>0.99960069444444444</v>
      </c>
      <c r="BB39" s="5">
        <f t="shared" ref="BB39:BG39" si="65">1-(BB11/BB1)</f>
        <v>1</v>
      </c>
      <c r="BC39" s="5">
        <f t="shared" si="65"/>
        <v>1</v>
      </c>
      <c r="BD39" s="5">
        <f t="shared" si="65"/>
        <v>1</v>
      </c>
      <c r="BE39" s="5">
        <f t="shared" si="65"/>
        <v>1</v>
      </c>
      <c r="BF39" s="5">
        <f t="shared" si="65"/>
        <v>1</v>
      </c>
      <c r="BG39" s="5">
        <f t="shared" si="65"/>
        <v>1</v>
      </c>
      <c r="BH39" s="5">
        <f>1-(BH11/BH1)</f>
        <v>1</v>
      </c>
      <c r="BI39" s="5">
        <f>1-(BI11/BI1)</f>
        <v>1</v>
      </c>
    </row>
    <row r="40" spans="1:61" x14ac:dyDescent="0.35">
      <c r="A40" s="8" t="s">
        <v>43</v>
      </c>
      <c r="B40" s="5">
        <f>1-(B12/B1)</f>
        <v>1</v>
      </c>
      <c r="C40" s="5">
        <f t="shared" ref="C40:BA40" si="66">1-(C12/C1)</f>
        <v>1</v>
      </c>
      <c r="D40" s="5">
        <f t="shared" si="66"/>
        <v>1</v>
      </c>
      <c r="E40" s="5">
        <f t="shared" si="66"/>
        <v>1</v>
      </c>
      <c r="F40" s="5">
        <f t="shared" si="66"/>
        <v>1</v>
      </c>
      <c r="G40" s="5">
        <f t="shared" si="66"/>
        <v>1</v>
      </c>
      <c r="H40" s="5">
        <f t="shared" si="66"/>
        <v>1</v>
      </c>
      <c r="I40" s="5">
        <f t="shared" si="66"/>
        <v>1</v>
      </c>
      <c r="J40" s="5">
        <f t="shared" si="66"/>
        <v>1</v>
      </c>
      <c r="K40" s="5">
        <f t="shared" si="66"/>
        <v>1</v>
      </c>
      <c r="L40" s="5">
        <f t="shared" si="66"/>
        <v>1</v>
      </c>
      <c r="M40" s="5">
        <f t="shared" si="66"/>
        <v>1</v>
      </c>
      <c r="N40" s="5">
        <f t="shared" si="66"/>
        <v>1</v>
      </c>
      <c r="O40" s="5">
        <f t="shared" si="66"/>
        <v>1</v>
      </c>
      <c r="P40" s="5">
        <f t="shared" si="66"/>
        <v>1</v>
      </c>
      <c r="Q40" s="5">
        <f t="shared" si="66"/>
        <v>1</v>
      </c>
      <c r="R40" s="5">
        <f t="shared" si="66"/>
        <v>1</v>
      </c>
      <c r="S40" s="5">
        <f t="shared" si="66"/>
        <v>1</v>
      </c>
      <c r="T40" s="5">
        <f t="shared" si="66"/>
        <v>1</v>
      </c>
      <c r="U40" s="5">
        <f t="shared" si="66"/>
        <v>1</v>
      </c>
      <c r="V40" s="5">
        <f t="shared" si="66"/>
        <v>1</v>
      </c>
      <c r="W40" s="5">
        <f t="shared" si="66"/>
        <v>1</v>
      </c>
      <c r="X40" s="5">
        <f t="shared" si="66"/>
        <v>1</v>
      </c>
      <c r="Y40" s="5">
        <f t="shared" si="66"/>
        <v>0.99873475609756102</v>
      </c>
      <c r="Z40" s="5">
        <f t="shared" si="66"/>
        <v>0.99878654970760239</v>
      </c>
      <c r="AA40" s="5">
        <f t="shared" si="66"/>
        <v>0.99883426966292133</v>
      </c>
      <c r="AB40" s="5">
        <f t="shared" si="66"/>
        <v>0.99810135135135136</v>
      </c>
      <c r="AC40" s="5">
        <f t="shared" si="66"/>
        <v>0.99817057291666667</v>
      </c>
      <c r="AD40" s="5">
        <f t="shared" si="66"/>
        <v>0.99823492462311558</v>
      </c>
      <c r="AE40" s="5">
        <f t="shared" si="66"/>
        <v>0.99829490291262135</v>
      </c>
      <c r="AF40" s="5">
        <f t="shared" si="66"/>
        <v>0.99835093896713611</v>
      </c>
      <c r="AG40" s="5">
        <f t="shared" si="66"/>
        <v>0.99840340909090908</v>
      </c>
      <c r="AH40" s="5">
        <f t="shared" si="66"/>
        <v>0.99845264317180615</v>
      </c>
      <c r="AI40" s="5">
        <f t="shared" si="66"/>
        <v>0.99849893162393166</v>
      </c>
      <c r="AJ40" s="5">
        <f t="shared" si="66"/>
        <v>0.99854253112033198</v>
      </c>
      <c r="AK40" s="5">
        <f t="shared" si="66"/>
        <v>0.99858366935483867</v>
      </c>
      <c r="AL40" s="5">
        <f t="shared" si="66"/>
        <v>0.9986225490196079</v>
      </c>
      <c r="AM40" s="5">
        <f t="shared" si="66"/>
        <v>0.99865935114503812</v>
      </c>
      <c r="AN40" s="5">
        <f t="shared" si="66"/>
        <v>0.99869423791821565</v>
      </c>
      <c r="AO40" s="5">
        <f t="shared" si="66"/>
        <v>0.9987273550724638</v>
      </c>
      <c r="AP40" s="5">
        <f t="shared" si="66"/>
        <v>0.9987588339222615</v>
      </c>
      <c r="AQ40" s="5">
        <f t="shared" si="66"/>
        <v>0.99878879310344826</v>
      </c>
      <c r="AR40" s="5">
        <f t="shared" si="66"/>
        <v>0.99881734006734002</v>
      </c>
      <c r="AS40" s="5">
        <f t="shared" si="66"/>
        <v>0.99884457236842106</v>
      </c>
      <c r="AT40" s="5">
        <f t="shared" si="66"/>
        <v>0.99887057877813501</v>
      </c>
      <c r="AU40" s="5">
        <f t="shared" si="66"/>
        <v>0.99889544025157229</v>
      </c>
      <c r="AV40" s="5">
        <f t="shared" si="66"/>
        <v>0.99891923076923073</v>
      </c>
      <c r="AW40" s="5">
        <f t="shared" si="66"/>
        <v>0.99894201807228911</v>
      </c>
      <c r="AX40" s="5">
        <f t="shared" si="66"/>
        <v>0.99896386430678463</v>
      </c>
      <c r="AY40" s="5">
        <f t="shared" si="66"/>
        <v>0.99898482658959542</v>
      </c>
      <c r="AZ40" s="5">
        <f t="shared" si="66"/>
        <v>0.99900495750708218</v>
      </c>
      <c r="BA40" s="5">
        <f t="shared" si="66"/>
        <v>0.99902430555555555</v>
      </c>
      <c r="BB40" s="5">
        <f t="shared" ref="BB40:BG40" si="67">1-(BB12/BB1)</f>
        <v>1</v>
      </c>
      <c r="BC40" s="5">
        <f t="shared" si="67"/>
        <v>1</v>
      </c>
      <c r="BD40" s="5">
        <f t="shared" si="67"/>
        <v>1</v>
      </c>
      <c r="BE40" s="5">
        <f t="shared" si="67"/>
        <v>1</v>
      </c>
      <c r="BF40" s="5">
        <f t="shared" si="67"/>
        <v>1</v>
      </c>
      <c r="BG40" s="5">
        <f t="shared" si="67"/>
        <v>1</v>
      </c>
      <c r="BH40" s="5">
        <f>1-(BH12/BH1)</f>
        <v>1</v>
      </c>
      <c r="BI40" s="5">
        <f>1-(BI12/BI1)</f>
        <v>1</v>
      </c>
    </row>
    <row r="41" spans="1:61" x14ac:dyDescent="0.35">
      <c r="A41" s="8" t="s">
        <v>44</v>
      </c>
      <c r="B41" s="5">
        <f>1-(B13/B1)</f>
        <v>1</v>
      </c>
      <c r="C41" s="5">
        <f t="shared" ref="C41:BA41" si="68">1-(C13/C1)</f>
        <v>1</v>
      </c>
      <c r="D41" s="5">
        <f t="shared" si="68"/>
        <v>1</v>
      </c>
      <c r="E41" s="5">
        <f t="shared" si="68"/>
        <v>1</v>
      </c>
      <c r="F41" s="5">
        <f t="shared" si="68"/>
        <v>1</v>
      </c>
      <c r="G41" s="5">
        <f t="shared" si="68"/>
        <v>1</v>
      </c>
      <c r="H41" s="5">
        <f t="shared" si="68"/>
        <v>1</v>
      </c>
      <c r="I41" s="5">
        <f t="shared" si="68"/>
        <v>1</v>
      </c>
      <c r="J41" s="5">
        <f t="shared" si="68"/>
        <v>1</v>
      </c>
      <c r="K41" s="5">
        <f t="shared" si="68"/>
        <v>1</v>
      </c>
      <c r="L41" s="5">
        <f t="shared" si="68"/>
        <v>1</v>
      </c>
      <c r="M41" s="5">
        <f t="shared" si="68"/>
        <v>1</v>
      </c>
      <c r="N41" s="5">
        <f t="shared" si="68"/>
        <v>1</v>
      </c>
      <c r="O41" s="5">
        <f t="shared" si="68"/>
        <v>1</v>
      </c>
      <c r="P41" s="5">
        <f t="shared" si="68"/>
        <v>1</v>
      </c>
      <c r="Q41" s="5">
        <f t="shared" si="68"/>
        <v>1</v>
      </c>
      <c r="R41" s="5">
        <f t="shared" si="68"/>
        <v>1</v>
      </c>
      <c r="S41" s="5">
        <f t="shared" si="68"/>
        <v>1</v>
      </c>
      <c r="T41" s="5">
        <f t="shared" si="68"/>
        <v>1</v>
      </c>
      <c r="U41" s="5">
        <f t="shared" si="68"/>
        <v>1</v>
      </c>
      <c r="V41" s="5">
        <f t="shared" si="68"/>
        <v>1</v>
      </c>
      <c r="W41" s="5">
        <f t="shared" si="68"/>
        <v>1</v>
      </c>
      <c r="X41" s="5">
        <f t="shared" si="68"/>
        <v>1</v>
      </c>
      <c r="Y41" s="5">
        <f t="shared" si="68"/>
        <v>1</v>
      </c>
      <c r="Z41" s="5">
        <f t="shared" si="68"/>
        <v>1</v>
      </c>
      <c r="AA41" s="5">
        <f t="shared" si="68"/>
        <v>1</v>
      </c>
      <c r="AB41" s="5">
        <f t="shared" si="68"/>
        <v>0.99922297297297302</v>
      </c>
      <c r="AC41" s="5">
        <f t="shared" si="68"/>
        <v>0.99925130208333335</v>
      </c>
      <c r="AD41" s="5">
        <f t="shared" si="68"/>
        <v>0.99927763819095472</v>
      </c>
      <c r="AE41" s="5">
        <f t="shared" si="68"/>
        <v>0.99930218446601937</v>
      </c>
      <c r="AF41" s="5">
        <f t="shared" si="68"/>
        <v>0.99932511737089202</v>
      </c>
      <c r="AG41" s="5">
        <f t="shared" si="68"/>
        <v>0.99934659090909095</v>
      </c>
      <c r="AH41" s="5">
        <f t="shared" si="68"/>
        <v>0.99936674008810578</v>
      </c>
      <c r="AI41" s="5">
        <f t="shared" si="68"/>
        <v>0.99938568376068371</v>
      </c>
      <c r="AJ41" s="5">
        <f t="shared" si="68"/>
        <v>0.99940352697095436</v>
      </c>
      <c r="AK41" s="5">
        <f t="shared" si="68"/>
        <v>0.99942036290322578</v>
      </c>
      <c r="AL41" s="5">
        <f t="shared" si="68"/>
        <v>0.99943627450980388</v>
      </c>
      <c r="AM41" s="5">
        <f t="shared" si="68"/>
        <v>0.99945133587786261</v>
      </c>
      <c r="AN41" s="5">
        <f t="shared" si="68"/>
        <v>0.99946561338289963</v>
      </c>
      <c r="AO41" s="5">
        <f t="shared" si="68"/>
        <v>0.9994791666666667</v>
      </c>
      <c r="AP41" s="5">
        <f t="shared" si="68"/>
        <v>0.99949204946996462</v>
      </c>
      <c r="AQ41" s="5">
        <f t="shared" si="68"/>
        <v>0.99950431034482756</v>
      </c>
      <c r="AR41" s="5">
        <f t="shared" si="68"/>
        <v>0.99951599326599327</v>
      </c>
      <c r="AS41" s="5">
        <f t="shared" si="68"/>
        <v>0.99952713815789473</v>
      </c>
      <c r="AT41" s="5">
        <f t="shared" si="68"/>
        <v>0.99953778135048232</v>
      </c>
      <c r="AU41" s="5">
        <f t="shared" si="68"/>
        <v>0.99954795597484281</v>
      </c>
      <c r="AV41" s="5">
        <f t="shared" si="68"/>
        <v>0.99955769230769231</v>
      </c>
      <c r="AW41" s="5">
        <f t="shared" si="68"/>
        <v>0.9995670180722892</v>
      </c>
      <c r="AX41" s="5">
        <f t="shared" si="68"/>
        <v>0.99957595870206495</v>
      </c>
      <c r="AY41" s="5">
        <f t="shared" si="68"/>
        <v>0.99958453757225429</v>
      </c>
      <c r="AZ41" s="5">
        <f t="shared" si="68"/>
        <v>0.99959277620396603</v>
      </c>
      <c r="BA41" s="5">
        <f t="shared" si="68"/>
        <v>0.99960069444444444</v>
      </c>
      <c r="BB41" s="5">
        <f t="shared" ref="BB41:BG41" si="69">1-(BB13/BB1)</f>
        <v>1</v>
      </c>
      <c r="BC41" s="5">
        <f t="shared" si="69"/>
        <v>1</v>
      </c>
      <c r="BD41" s="5">
        <f t="shared" si="69"/>
        <v>1</v>
      </c>
      <c r="BE41" s="5">
        <f t="shared" si="69"/>
        <v>1</v>
      </c>
      <c r="BF41" s="5">
        <f t="shared" si="69"/>
        <v>1</v>
      </c>
      <c r="BG41" s="5">
        <f t="shared" si="69"/>
        <v>1</v>
      </c>
      <c r="BH41" s="5">
        <f>1-(BH13/BH1)</f>
        <v>1</v>
      </c>
      <c r="BI41" s="5">
        <f>1-(BI13/BI1)</f>
        <v>1</v>
      </c>
    </row>
    <row r="42" spans="1:61" x14ac:dyDescent="0.35">
      <c r="A42" s="8" t="s">
        <v>45</v>
      </c>
      <c r="B42" s="5">
        <f>1-(B14/B1)</f>
        <v>1</v>
      </c>
      <c r="C42" s="5">
        <f t="shared" ref="C42:BA42" si="70">1-(C14/C1)</f>
        <v>1</v>
      </c>
      <c r="D42" s="5">
        <f t="shared" si="70"/>
        <v>1</v>
      </c>
      <c r="E42" s="5">
        <f t="shared" si="70"/>
        <v>1</v>
      </c>
      <c r="F42" s="5">
        <f t="shared" si="70"/>
        <v>1</v>
      </c>
      <c r="G42" s="5">
        <f t="shared" si="70"/>
        <v>1</v>
      </c>
      <c r="H42" s="5">
        <f t="shared" si="70"/>
        <v>1</v>
      </c>
      <c r="I42" s="5">
        <f t="shared" si="70"/>
        <v>1</v>
      </c>
      <c r="J42" s="5">
        <f t="shared" si="70"/>
        <v>1</v>
      </c>
      <c r="K42" s="5">
        <f t="shared" si="70"/>
        <v>1</v>
      </c>
      <c r="L42" s="5">
        <f t="shared" si="70"/>
        <v>1</v>
      </c>
      <c r="M42" s="5">
        <f t="shared" si="70"/>
        <v>1</v>
      </c>
      <c r="N42" s="5">
        <f t="shared" si="70"/>
        <v>1</v>
      </c>
      <c r="O42" s="5">
        <f t="shared" si="70"/>
        <v>1</v>
      </c>
      <c r="P42" s="5">
        <f t="shared" si="70"/>
        <v>1</v>
      </c>
      <c r="Q42" s="5">
        <f t="shared" si="70"/>
        <v>1</v>
      </c>
      <c r="R42" s="5">
        <f t="shared" si="70"/>
        <v>1</v>
      </c>
      <c r="S42" s="5">
        <f t="shared" si="70"/>
        <v>1</v>
      </c>
      <c r="T42" s="5">
        <f t="shared" si="70"/>
        <v>1</v>
      </c>
      <c r="U42" s="5">
        <f t="shared" si="70"/>
        <v>1</v>
      </c>
      <c r="V42" s="5">
        <f t="shared" si="70"/>
        <v>1</v>
      </c>
      <c r="W42" s="5">
        <f t="shared" si="70"/>
        <v>1</v>
      </c>
      <c r="X42" s="5">
        <f t="shared" si="70"/>
        <v>1</v>
      </c>
      <c r="Y42" s="5">
        <f t="shared" si="70"/>
        <v>1</v>
      </c>
      <c r="Z42" s="5">
        <f t="shared" si="70"/>
        <v>1</v>
      </c>
      <c r="AA42" s="5">
        <f t="shared" si="70"/>
        <v>1</v>
      </c>
      <c r="AB42" s="5">
        <f t="shared" si="70"/>
        <v>0.99922297297297302</v>
      </c>
      <c r="AC42" s="5">
        <f t="shared" si="70"/>
        <v>0.99925130208333335</v>
      </c>
      <c r="AD42" s="5">
        <f t="shared" si="70"/>
        <v>0.99927763819095472</v>
      </c>
      <c r="AE42" s="5">
        <f t="shared" si="70"/>
        <v>0.99930218446601937</v>
      </c>
      <c r="AF42" s="5">
        <f t="shared" si="70"/>
        <v>0.99932511737089202</v>
      </c>
      <c r="AG42" s="5">
        <f t="shared" si="70"/>
        <v>0.99934659090909095</v>
      </c>
      <c r="AH42" s="5">
        <f t="shared" si="70"/>
        <v>0.99936674008810578</v>
      </c>
      <c r="AI42" s="5">
        <f t="shared" si="70"/>
        <v>0.99938568376068371</v>
      </c>
      <c r="AJ42" s="5">
        <f t="shared" si="70"/>
        <v>0.99940352697095436</v>
      </c>
      <c r="AK42" s="5">
        <f t="shared" si="70"/>
        <v>0.99942036290322578</v>
      </c>
      <c r="AL42" s="5">
        <f t="shared" si="70"/>
        <v>0.99943627450980388</v>
      </c>
      <c r="AM42" s="5">
        <f t="shared" si="70"/>
        <v>0.99945133587786261</v>
      </c>
      <c r="AN42" s="5">
        <f t="shared" si="70"/>
        <v>0.99946561338289963</v>
      </c>
      <c r="AO42" s="5">
        <f t="shared" si="70"/>
        <v>0.9994791666666667</v>
      </c>
      <c r="AP42" s="5">
        <f t="shared" si="70"/>
        <v>0.99949204946996462</v>
      </c>
      <c r="AQ42" s="5">
        <f t="shared" si="70"/>
        <v>0.99950431034482756</v>
      </c>
      <c r="AR42" s="5">
        <f t="shared" si="70"/>
        <v>0.99951599326599327</v>
      </c>
      <c r="AS42" s="5">
        <f t="shared" si="70"/>
        <v>0.99952713815789473</v>
      </c>
      <c r="AT42" s="5">
        <f t="shared" si="70"/>
        <v>0.99953778135048232</v>
      </c>
      <c r="AU42" s="5">
        <f t="shared" si="70"/>
        <v>0.99954795597484281</v>
      </c>
      <c r="AV42" s="5">
        <f t="shared" si="70"/>
        <v>0.99955769230769231</v>
      </c>
      <c r="AW42" s="5">
        <f t="shared" si="70"/>
        <v>0.9995670180722892</v>
      </c>
      <c r="AX42" s="5">
        <f t="shared" si="70"/>
        <v>0.99957595870206495</v>
      </c>
      <c r="AY42" s="5">
        <f t="shared" si="70"/>
        <v>0.99958453757225429</v>
      </c>
      <c r="AZ42" s="5">
        <f t="shared" si="70"/>
        <v>0.99959277620396603</v>
      </c>
      <c r="BA42" s="5">
        <f t="shared" si="70"/>
        <v>0.99960069444444444</v>
      </c>
      <c r="BB42" s="5">
        <f t="shared" ref="BB42:BG42" si="71">1-(BB14/BB1)</f>
        <v>1</v>
      </c>
      <c r="BC42" s="5">
        <f t="shared" si="71"/>
        <v>1</v>
      </c>
      <c r="BD42" s="5">
        <f t="shared" si="71"/>
        <v>1</v>
      </c>
      <c r="BE42" s="5">
        <f t="shared" si="71"/>
        <v>1</v>
      </c>
      <c r="BF42" s="5">
        <f t="shared" si="71"/>
        <v>1</v>
      </c>
      <c r="BG42" s="5">
        <f t="shared" si="71"/>
        <v>1</v>
      </c>
      <c r="BH42" s="5">
        <f>1-(BH14/BH1)</f>
        <v>1</v>
      </c>
      <c r="BI42" s="5">
        <f>1-(BI14/BI1)</f>
        <v>1</v>
      </c>
    </row>
    <row r="43" spans="1:61" x14ac:dyDescent="0.35">
      <c r="A43" s="8" t="s">
        <v>46</v>
      </c>
      <c r="B43" s="5">
        <f>1-(B15/B1)</f>
        <v>1</v>
      </c>
      <c r="C43" s="5">
        <f t="shared" ref="C43:BA43" si="72">1-(C15/C1)</f>
        <v>1</v>
      </c>
      <c r="D43" s="5">
        <f t="shared" si="72"/>
        <v>1</v>
      </c>
      <c r="E43" s="5">
        <f t="shared" si="72"/>
        <v>1</v>
      </c>
      <c r="F43" s="5">
        <f t="shared" si="72"/>
        <v>1</v>
      </c>
      <c r="G43" s="5">
        <f t="shared" si="72"/>
        <v>1</v>
      </c>
      <c r="H43" s="5">
        <f t="shared" si="72"/>
        <v>1</v>
      </c>
      <c r="I43" s="5">
        <f t="shared" si="72"/>
        <v>1</v>
      </c>
      <c r="J43" s="5">
        <f t="shared" si="72"/>
        <v>1</v>
      </c>
      <c r="K43" s="5">
        <f t="shared" si="72"/>
        <v>1</v>
      </c>
      <c r="L43" s="5">
        <f t="shared" si="72"/>
        <v>1</v>
      </c>
      <c r="M43" s="5">
        <f t="shared" si="72"/>
        <v>1</v>
      </c>
      <c r="N43" s="5">
        <f t="shared" si="72"/>
        <v>1</v>
      </c>
      <c r="O43" s="5">
        <f t="shared" si="72"/>
        <v>1</v>
      </c>
      <c r="P43" s="5">
        <f t="shared" si="72"/>
        <v>1</v>
      </c>
      <c r="Q43" s="5">
        <f t="shared" si="72"/>
        <v>1</v>
      </c>
      <c r="R43" s="5">
        <f t="shared" si="72"/>
        <v>1</v>
      </c>
      <c r="S43" s="5">
        <f t="shared" si="72"/>
        <v>1</v>
      </c>
      <c r="T43" s="5">
        <f t="shared" si="72"/>
        <v>1</v>
      </c>
      <c r="U43" s="5">
        <f t="shared" si="72"/>
        <v>1</v>
      </c>
      <c r="V43" s="5">
        <f t="shared" si="72"/>
        <v>1</v>
      </c>
      <c r="W43" s="5">
        <f t="shared" si="72"/>
        <v>1</v>
      </c>
      <c r="X43" s="5">
        <f t="shared" si="72"/>
        <v>1</v>
      </c>
      <c r="Y43" s="5">
        <f t="shared" si="72"/>
        <v>1</v>
      </c>
      <c r="Z43" s="5">
        <f t="shared" si="72"/>
        <v>1</v>
      </c>
      <c r="AA43" s="5">
        <f t="shared" si="72"/>
        <v>1</v>
      </c>
      <c r="AB43" s="5">
        <f t="shared" si="72"/>
        <v>0.99922297297297302</v>
      </c>
      <c r="AC43" s="5">
        <f t="shared" si="72"/>
        <v>0.99925130208333335</v>
      </c>
      <c r="AD43" s="5">
        <f t="shared" si="72"/>
        <v>0.99927763819095472</v>
      </c>
      <c r="AE43" s="5">
        <f t="shared" si="72"/>
        <v>0.99930218446601937</v>
      </c>
      <c r="AF43" s="5">
        <f t="shared" si="72"/>
        <v>0.99932511737089202</v>
      </c>
      <c r="AG43" s="5">
        <f t="shared" si="72"/>
        <v>0.99934659090909095</v>
      </c>
      <c r="AH43" s="5">
        <f t="shared" si="72"/>
        <v>0.99936674008810578</v>
      </c>
      <c r="AI43" s="5">
        <f t="shared" si="72"/>
        <v>0.99938568376068371</v>
      </c>
      <c r="AJ43" s="5">
        <f t="shared" si="72"/>
        <v>0.99940352697095436</v>
      </c>
      <c r="AK43" s="5">
        <f t="shared" si="72"/>
        <v>0.99942036290322578</v>
      </c>
      <c r="AL43" s="5">
        <f t="shared" si="72"/>
        <v>0.99943627450980388</v>
      </c>
      <c r="AM43" s="5">
        <f t="shared" si="72"/>
        <v>0.99945133587786261</v>
      </c>
      <c r="AN43" s="5">
        <f t="shared" si="72"/>
        <v>0.99946561338289963</v>
      </c>
      <c r="AO43" s="5">
        <f t="shared" si="72"/>
        <v>0.9994791666666667</v>
      </c>
      <c r="AP43" s="5">
        <f t="shared" si="72"/>
        <v>0.99949204946996462</v>
      </c>
      <c r="AQ43" s="5">
        <f t="shared" si="72"/>
        <v>0.99950431034482756</v>
      </c>
      <c r="AR43" s="5">
        <f t="shared" si="72"/>
        <v>0.99951599326599327</v>
      </c>
      <c r="AS43" s="5">
        <f t="shared" si="72"/>
        <v>0.99952713815789473</v>
      </c>
      <c r="AT43" s="5">
        <f t="shared" si="72"/>
        <v>0.99953778135048232</v>
      </c>
      <c r="AU43" s="5">
        <f t="shared" si="72"/>
        <v>0.99954795597484281</v>
      </c>
      <c r="AV43" s="5">
        <f t="shared" si="72"/>
        <v>0.99955769230769231</v>
      </c>
      <c r="AW43" s="5">
        <f t="shared" si="72"/>
        <v>0.9995670180722892</v>
      </c>
      <c r="AX43" s="5">
        <f t="shared" si="72"/>
        <v>0.99957595870206495</v>
      </c>
      <c r="AY43" s="5">
        <f t="shared" si="72"/>
        <v>0.99958453757225429</v>
      </c>
      <c r="AZ43" s="5">
        <f t="shared" si="72"/>
        <v>0.99959277620396603</v>
      </c>
      <c r="BA43" s="5">
        <f t="shared" si="72"/>
        <v>0.99960069444444444</v>
      </c>
      <c r="BB43" s="5">
        <f t="shared" ref="BB43:BG43" si="73">1-(BB15/BB1)</f>
        <v>1</v>
      </c>
      <c r="BC43" s="5">
        <f t="shared" si="73"/>
        <v>1</v>
      </c>
      <c r="BD43" s="5">
        <f t="shared" si="73"/>
        <v>1</v>
      </c>
      <c r="BE43" s="5">
        <f t="shared" si="73"/>
        <v>1</v>
      </c>
      <c r="BF43" s="5">
        <f t="shared" si="73"/>
        <v>1</v>
      </c>
      <c r="BG43" s="5">
        <f t="shared" si="73"/>
        <v>1</v>
      </c>
      <c r="BH43" s="5">
        <f>1-(BH15/BH1)</f>
        <v>1</v>
      </c>
      <c r="BI43" s="5">
        <f>1-(BI15/BI1)</f>
        <v>1</v>
      </c>
    </row>
    <row r="44" spans="1:61" x14ac:dyDescent="0.35">
      <c r="A44" s="8" t="s">
        <v>47</v>
      </c>
      <c r="B44" s="5">
        <f>1-(B16/B1)</f>
        <v>1</v>
      </c>
      <c r="C44" s="5">
        <f t="shared" ref="C44:BA44" si="74">1-(C16/C1)</f>
        <v>1</v>
      </c>
      <c r="D44" s="5">
        <f t="shared" si="74"/>
        <v>1</v>
      </c>
      <c r="E44" s="5">
        <f t="shared" si="74"/>
        <v>1</v>
      </c>
      <c r="F44" s="5">
        <f t="shared" si="74"/>
        <v>1</v>
      </c>
      <c r="G44" s="5">
        <f t="shared" si="74"/>
        <v>1</v>
      </c>
      <c r="H44" s="5">
        <f t="shared" si="74"/>
        <v>1</v>
      </c>
      <c r="I44" s="5">
        <f t="shared" si="74"/>
        <v>1</v>
      </c>
      <c r="J44" s="5">
        <f t="shared" si="74"/>
        <v>1</v>
      </c>
      <c r="K44" s="5">
        <f t="shared" si="74"/>
        <v>1</v>
      </c>
      <c r="L44" s="5">
        <f t="shared" si="74"/>
        <v>1</v>
      </c>
      <c r="M44" s="5">
        <f t="shared" si="74"/>
        <v>1</v>
      </c>
      <c r="N44" s="5">
        <f t="shared" si="74"/>
        <v>1</v>
      </c>
      <c r="O44" s="5">
        <f t="shared" si="74"/>
        <v>1</v>
      </c>
      <c r="P44" s="5">
        <f t="shared" si="74"/>
        <v>1</v>
      </c>
      <c r="Q44" s="5">
        <f t="shared" si="74"/>
        <v>1</v>
      </c>
      <c r="R44" s="5">
        <f t="shared" si="74"/>
        <v>1</v>
      </c>
      <c r="S44" s="5">
        <f t="shared" si="74"/>
        <v>1</v>
      </c>
      <c r="T44" s="5">
        <f t="shared" si="74"/>
        <v>1</v>
      </c>
      <c r="U44" s="5">
        <f t="shared" si="74"/>
        <v>1</v>
      </c>
      <c r="V44" s="5">
        <f t="shared" si="74"/>
        <v>1</v>
      </c>
      <c r="W44" s="5">
        <f t="shared" si="74"/>
        <v>1</v>
      </c>
      <c r="X44" s="5">
        <f t="shared" si="74"/>
        <v>1</v>
      </c>
      <c r="Y44" s="5">
        <f t="shared" si="74"/>
        <v>0.99966209349593493</v>
      </c>
      <c r="Z44" s="5">
        <f t="shared" si="74"/>
        <v>0.99967592592592591</v>
      </c>
      <c r="AA44" s="5">
        <f t="shared" si="74"/>
        <v>0.99945458801498133</v>
      </c>
      <c r="AB44" s="5">
        <f t="shared" si="74"/>
        <v>0.99869819819819816</v>
      </c>
      <c r="AC44" s="5">
        <f t="shared" si="74"/>
        <v>0.99874565972222218</v>
      </c>
      <c r="AD44" s="5">
        <f t="shared" si="74"/>
        <v>0.99878978224455617</v>
      </c>
      <c r="AE44" s="5">
        <f t="shared" si="74"/>
        <v>0.99883090614886727</v>
      </c>
      <c r="AF44" s="5">
        <f t="shared" si="74"/>
        <v>0.99886932707355247</v>
      </c>
      <c r="AG44" s="5">
        <f t="shared" si="74"/>
        <v>0.998905303030303</v>
      </c>
      <c r="AH44" s="5">
        <f t="shared" si="74"/>
        <v>0.99893906020557999</v>
      </c>
      <c r="AI44" s="5">
        <f t="shared" si="74"/>
        <v>0.99897079772079778</v>
      </c>
      <c r="AJ44" s="5">
        <f t="shared" si="74"/>
        <v>0.99900069156293225</v>
      </c>
      <c r="AK44" s="5">
        <f t="shared" si="74"/>
        <v>0.99902889784946236</v>
      </c>
      <c r="AL44" s="5">
        <f t="shared" si="74"/>
        <v>0.99905555555555559</v>
      </c>
      <c r="AM44" s="5">
        <f t="shared" si="74"/>
        <v>0.99908078880407125</v>
      </c>
      <c r="AN44" s="5">
        <f t="shared" si="74"/>
        <v>0.99910470879801738</v>
      </c>
      <c r="AO44" s="5">
        <f t="shared" si="74"/>
        <v>0.99912741545893724</v>
      </c>
      <c r="AP44" s="5">
        <f t="shared" si="74"/>
        <v>0.9991489988221437</v>
      </c>
      <c r="AQ44" s="5">
        <f t="shared" si="74"/>
        <v>0.99916954022988502</v>
      </c>
      <c r="AR44" s="5">
        <f t="shared" si="74"/>
        <v>0.99918911335577998</v>
      </c>
      <c r="AS44" s="5">
        <f t="shared" si="74"/>
        <v>0.99920778508771935</v>
      </c>
      <c r="AT44" s="5">
        <f t="shared" si="74"/>
        <v>0.99922561629153273</v>
      </c>
      <c r="AU44" s="5">
        <f t="shared" si="74"/>
        <v>0.99924266247379456</v>
      </c>
      <c r="AV44" s="5">
        <f t="shared" si="74"/>
        <v>0.99925897435897437</v>
      </c>
      <c r="AW44" s="5">
        <f t="shared" si="74"/>
        <v>0.99927459839357424</v>
      </c>
      <c r="AX44" s="5">
        <f t="shared" si="74"/>
        <v>0.99928957718780731</v>
      </c>
      <c r="AY44" s="5">
        <f t="shared" si="74"/>
        <v>0.99930394990366089</v>
      </c>
      <c r="AZ44" s="5">
        <f t="shared" si="74"/>
        <v>0.99931775259678945</v>
      </c>
      <c r="BA44" s="5">
        <f t="shared" si="74"/>
        <v>0.99933101851851847</v>
      </c>
      <c r="BB44" s="5">
        <f t="shared" ref="BB44:BG44" si="75">1-(BB16/BB1)</f>
        <v>1</v>
      </c>
      <c r="BC44" s="5">
        <f t="shared" si="75"/>
        <v>1</v>
      </c>
      <c r="BD44" s="5">
        <f t="shared" si="75"/>
        <v>1</v>
      </c>
      <c r="BE44" s="5">
        <f t="shared" si="75"/>
        <v>1</v>
      </c>
      <c r="BF44" s="5">
        <f t="shared" si="75"/>
        <v>1</v>
      </c>
      <c r="BG44" s="5">
        <f t="shared" si="75"/>
        <v>1</v>
      </c>
      <c r="BH44" s="5">
        <f>1-(BH16/BH1)</f>
        <v>1</v>
      </c>
      <c r="BI44" s="5">
        <f>1-(BI16/BI1)</f>
        <v>1</v>
      </c>
    </row>
    <row r="45" spans="1:61" x14ac:dyDescent="0.35">
      <c r="A45" s="60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</row>
    <row r="46" spans="1:61" s="2" customFormat="1" x14ac:dyDescent="0.35">
      <c r="A46" s="8" t="s">
        <v>48</v>
      </c>
      <c r="B46" s="5">
        <f>1-(B18/B1)</f>
        <v>1</v>
      </c>
      <c r="C46" s="5">
        <f t="shared" ref="C46:BA46" si="76">1-(C18/C1)</f>
        <v>1</v>
      </c>
      <c r="D46" s="5">
        <f t="shared" si="76"/>
        <v>1</v>
      </c>
      <c r="E46" s="5">
        <f t="shared" si="76"/>
        <v>1</v>
      </c>
      <c r="F46" s="5">
        <f t="shared" si="76"/>
        <v>1</v>
      </c>
      <c r="G46" s="5">
        <f t="shared" si="76"/>
        <v>1</v>
      </c>
      <c r="H46" s="5">
        <f t="shared" si="76"/>
        <v>1</v>
      </c>
      <c r="I46" s="5">
        <f t="shared" si="76"/>
        <v>1</v>
      </c>
      <c r="J46" s="5">
        <f t="shared" si="76"/>
        <v>1</v>
      </c>
      <c r="K46" s="5">
        <f t="shared" si="76"/>
        <v>1</v>
      </c>
      <c r="L46" s="5">
        <f t="shared" si="76"/>
        <v>1</v>
      </c>
      <c r="M46" s="5">
        <f t="shared" si="76"/>
        <v>1</v>
      </c>
      <c r="N46" s="5">
        <f t="shared" si="76"/>
        <v>1</v>
      </c>
      <c r="O46" s="5">
        <f t="shared" si="76"/>
        <v>1</v>
      </c>
      <c r="P46" s="5">
        <f t="shared" si="76"/>
        <v>1</v>
      </c>
      <c r="Q46" s="5">
        <f t="shared" si="76"/>
        <v>1</v>
      </c>
      <c r="R46" s="5">
        <f t="shared" si="76"/>
        <v>1</v>
      </c>
      <c r="S46" s="5">
        <f t="shared" si="76"/>
        <v>1</v>
      </c>
      <c r="T46" s="5">
        <f t="shared" si="76"/>
        <v>1</v>
      </c>
      <c r="U46" s="5">
        <f t="shared" si="76"/>
        <v>1</v>
      </c>
      <c r="V46" s="5">
        <f t="shared" si="76"/>
        <v>1</v>
      </c>
      <c r="W46" s="5">
        <f t="shared" si="76"/>
        <v>1</v>
      </c>
      <c r="X46" s="5">
        <f t="shared" si="76"/>
        <v>1</v>
      </c>
      <c r="Y46" s="5">
        <f t="shared" si="76"/>
        <v>1</v>
      </c>
      <c r="Z46" s="5">
        <f t="shared" si="76"/>
        <v>1</v>
      </c>
      <c r="AA46" s="5">
        <f t="shared" si="76"/>
        <v>1</v>
      </c>
      <c r="AB46" s="5">
        <f t="shared" si="76"/>
        <v>1</v>
      </c>
      <c r="AC46" s="5">
        <f t="shared" si="76"/>
        <v>1</v>
      </c>
      <c r="AD46" s="5">
        <f t="shared" si="76"/>
        <v>1</v>
      </c>
      <c r="AE46" s="5">
        <f t="shared" si="76"/>
        <v>1</v>
      </c>
      <c r="AF46" s="5">
        <f t="shared" si="76"/>
        <v>1</v>
      </c>
      <c r="AG46" s="5">
        <f t="shared" si="76"/>
        <v>1</v>
      </c>
      <c r="AH46" s="5">
        <f t="shared" si="76"/>
        <v>1</v>
      </c>
      <c r="AI46" s="5">
        <f t="shared" si="76"/>
        <v>1</v>
      </c>
      <c r="AJ46" s="5">
        <f t="shared" si="76"/>
        <v>1</v>
      </c>
      <c r="AK46" s="5">
        <f t="shared" si="76"/>
        <v>1</v>
      </c>
      <c r="AL46" s="5">
        <f t="shared" si="76"/>
        <v>1</v>
      </c>
      <c r="AM46" s="5">
        <f t="shared" si="76"/>
        <v>1</v>
      </c>
      <c r="AN46" s="5">
        <f t="shared" si="76"/>
        <v>1</v>
      </c>
      <c r="AO46" s="5">
        <f t="shared" si="76"/>
        <v>1</v>
      </c>
      <c r="AP46" s="5">
        <f t="shared" si="76"/>
        <v>1</v>
      </c>
      <c r="AQ46" s="5">
        <f t="shared" si="76"/>
        <v>1</v>
      </c>
      <c r="AR46" s="5">
        <f t="shared" si="76"/>
        <v>1</v>
      </c>
      <c r="AS46" s="5">
        <f t="shared" si="76"/>
        <v>1</v>
      </c>
      <c r="AT46" s="5">
        <f t="shared" si="76"/>
        <v>1</v>
      </c>
      <c r="AU46" s="5">
        <f t="shared" si="76"/>
        <v>1</v>
      </c>
      <c r="AV46" s="5">
        <f t="shared" si="76"/>
        <v>1</v>
      </c>
      <c r="AW46" s="5">
        <f t="shared" si="76"/>
        <v>1</v>
      </c>
      <c r="AX46" s="5">
        <f t="shared" si="76"/>
        <v>1</v>
      </c>
      <c r="AY46" s="5">
        <f t="shared" si="76"/>
        <v>1</v>
      </c>
      <c r="AZ46" s="5">
        <f t="shared" si="76"/>
        <v>1</v>
      </c>
      <c r="BA46" s="5">
        <f t="shared" si="76"/>
        <v>1</v>
      </c>
      <c r="BB46" s="5">
        <f t="shared" ref="BB46:BG46" si="77">1-(BB18/BB1)</f>
        <v>1</v>
      </c>
      <c r="BC46" s="5">
        <f t="shared" si="77"/>
        <v>1</v>
      </c>
      <c r="BD46" s="5">
        <f t="shared" si="77"/>
        <v>1</v>
      </c>
      <c r="BE46" s="5">
        <f t="shared" si="77"/>
        <v>1</v>
      </c>
      <c r="BF46" s="5">
        <f t="shared" si="77"/>
        <v>1</v>
      </c>
      <c r="BG46" s="5">
        <f t="shared" si="77"/>
        <v>1</v>
      </c>
      <c r="BH46" s="5">
        <f>1-(BH18/BH1)</f>
        <v>0.99734848484848482</v>
      </c>
      <c r="BI46" s="5">
        <f>1-(BI18/BI1)</f>
        <v>0.9977124183006536</v>
      </c>
    </row>
    <row r="47" spans="1:61" s="2" customFormat="1" x14ac:dyDescent="0.35">
      <c r="A47" s="8" t="s">
        <v>49</v>
      </c>
      <c r="B47" s="5">
        <f>1-(B19/B1)</f>
        <v>1</v>
      </c>
      <c r="C47" s="5">
        <f t="shared" ref="C47:BA47" si="78">1-(C19/C1)</f>
        <v>1</v>
      </c>
      <c r="D47" s="5">
        <f t="shared" si="78"/>
        <v>1</v>
      </c>
      <c r="E47" s="5">
        <f t="shared" si="78"/>
        <v>1</v>
      </c>
      <c r="F47" s="5">
        <f t="shared" si="78"/>
        <v>1</v>
      </c>
      <c r="G47" s="5">
        <f t="shared" si="78"/>
        <v>1</v>
      </c>
      <c r="H47" s="5">
        <f t="shared" si="78"/>
        <v>1</v>
      </c>
      <c r="I47" s="5">
        <f t="shared" si="78"/>
        <v>1</v>
      </c>
      <c r="J47" s="5">
        <f t="shared" si="78"/>
        <v>1</v>
      </c>
      <c r="K47" s="5">
        <f t="shared" si="78"/>
        <v>1</v>
      </c>
      <c r="L47" s="5">
        <f t="shared" si="78"/>
        <v>1</v>
      </c>
      <c r="M47" s="5">
        <f t="shared" si="78"/>
        <v>1</v>
      </c>
      <c r="N47" s="5">
        <f t="shared" si="78"/>
        <v>1</v>
      </c>
      <c r="O47" s="5">
        <f t="shared" si="78"/>
        <v>1</v>
      </c>
      <c r="P47" s="5">
        <f t="shared" si="78"/>
        <v>1</v>
      </c>
      <c r="Q47" s="5">
        <f t="shared" si="78"/>
        <v>1</v>
      </c>
      <c r="R47" s="5">
        <f t="shared" si="78"/>
        <v>1</v>
      </c>
      <c r="S47" s="5">
        <f t="shared" si="78"/>
        <v>1</v>
      </c>
      <c r="T47" s="5">
        <f t="shared" si="78"/>
        <v>1</v>
      </c>
      <c r="U47" s="5">
        <f t="shared" si="78"/>
        <v>1</v>
      </c>
      <c r="V47" s="5">
        <f t="shared" si="78"/>
        <v>1</v>
      </c>
      <c r="W47" s="5">
        <f t="shared" si="78"/>
        <v>1</v>
      </c>
      <c r="X47" s="5">
        <f t="shared" si="78"/>
        <v>1</v>
      </c>
      <c r="Y47" s="5">
        <f t="shared" si="78"/>
        <v>1</v>
      </c>
      <c r="Z47" s="5">
        <f t="shared" si="78"/>
        <v>1</v>
      </c>
      <c r="AA47" s="5">
        <f t="shared" si="78"/>
        <v>1</v>
      </c>
      <c r="AB47" s="5">
        <f t="shared" si="78"/>
        <v>1</v>
      </c>
      <c r="AC47" s="5">
        <f t="shared" si="78"/>
        <v>1</v>
      </c>
      <c r="AD47" s="5">
        <f t="shared" si="78"/>
        <v>1</v>
      </c>
      <c r="AE47" s="5">
        <f t="shared" si="78"/>
        <v>1</v>
      </c>
      <c r="AF47" s="5">
        <f t="shared" si="78"/>
        <v>1</v>
      </c>
      <c r="AG47" s="5">
        <f t="shared" si="78"/>
        <v>1</v>
      </c>
      <c r="AH47" s="5">
        <f t="shared" si="78"/>
        <v>1</v>
      </c>
      <c r="AI47" s="5">
        <f t="shared" si="78"/>
        <v>1</v>
      </c>
      <c r="AJ47" s="5">
        <f t="shared" si="78"/>
        <v>1</v>
      </c>
      <c r="AK47" s="5">
        <f t="shared" si="78"/>
        <v>1</v>
      </c>
      <c r="AL47" s="5">
        <f t="shared" si="78"/>
        <v>1</v>
      </c>
      <c r="AM47" s="5">
        <f t="shared" si="78"/>
        <v>1</v>
      </c>
      <c r="AN47" s="5">
        <f t="shared" si="78"/>
        <v>1</v>
      </c>
      <c r="AO47" s="5">
        <f t="shared" si="78"/>
        <v>1</v>
      </c>
      <c r="AP47" s="5">
        <f t="shared" si="78"/>
        <v>1</v>
      </c>
      <c r="AQ47" s="5">
        <f t="shared" si="78"/>
        <v>1</v>
      </c>
      <c r="AR47" s="5">
        <f t="shared" si="78"/>
        <v>1</v>
      </c>
      <c r="AS47" s="5">
        <f t="shared" si="78"/>
        <v>1</v>
      </c>
      <c r="AT47" s="5">
        <f t="shared" si="78"/>
        <v>1</v>
      </c>
      <c r="AU47" s="5">
        <f t="shared" si="78"/>
        <v>1</v>
      </c>
      <c r="AV47" s="5">
        <f t="shared" si="78"/>
        <v>1</v>
      </c>
      <c r="AW47" s="5">
        <f t="shared" si="78"/>
        <v>1</v>
      </c>
      <c r="AX47" s="5">
        <f t="shared" si="78"/>
        <v>1</v>
      </c>
      <c r="AY47" s="5">
        <f t="shared" si="78"/>
        <v>0.99927745664739887</v>
      </c>
      <c r="AZ47" s="5">
        <f t="shared" si="78"/>
        <v>0.99929178470254953</v>
      </c>
      <c r="BA47" s="5">
        <f t="shared" si="78"/>
        <v>0.99930555555555556</v>
      </c>
      <c r="BB47" s="5">
        <f t="shared" ref="BB47:BG47" si="79">1-(BB19/BB1)</f>
        <v>1</v>
      </c>
      <c r="BC47" s="5">
        <f t="shared" si="79"/>
        <v>1</v>
      </c>
      <c r="BD47" s="5">
        <f t="shared" si="79"/>
        <v>1</v>
      </c>
      <c r="BE47" s="5">
        <f t="shared" si="79"/>
        <v>1</v>
      </c>
      <c r="BF47" s="5">
        <f t="shared" si="79"/>
        <v>1</v>
      </c>
      <c r="BG47" s="5">
        <f t="shared" si="79"/>
        <v>1</v>
      </c>
      <c r="BH47" s="5">
        <f>1-(BH19/BH1)</f>
        <v>1</v>
      </c>
      <c r="BI47" s="5">
        <f>1-(BI19/BI1)</f>
        <v>1</v>
      </c>
    </row>
    <row r="48" spans="1:61" s="2" customFormat="1" x14ac:dyDescent="0.35">
      <c r="A48" s="8" t="s">
        <v>50</v>
      </c>
      <c r="B48" s="5">
        <f>1-(B20/B1)</f>
        <v>1</v>
      </c>
      <c r="C48" s="5">
        <f t="shared" ref="C48:BA48" si="80">1-(C20/C1)</f>
        <v>1</v>
      </c>
      <c r="D48" s="5">
        <f t="shared" si="80"/>
        <v>1</v>
      </c>
      <c r="E48" s="5">
        <f t="shared" si="80"/>
        <v>1</v>
      </c>
      <c r="F48" s="5">
        <f t="shared" si="80"/>
        <v>1</v>
      </c>
      <c r="G48" s="5">
        <f t="shared" si="80"/>
        <v>1</v>
      </c>
      <c r="H48" s="5">
        <f t="shared" si="80"/>
        <v>1</v>
      </c>
      <c r="I48" s="5">
        <f t="shared" si="80"/>
        <v>1</v>
      </c>
      <c r="J48" s="5">
        <f t="shared" si="80"/>
        <v>1</v>
      </c>
      <c r="K48" s="5">
        <f t="shared" si="80"/>
        <v>1</v>
      </c>
      <c r="L48" s="5">
        <f t="shared" si="80"/>
        <v>1</v>
      </c>
      <c r="M48" s="5">
        <f t="shared" si="80"/>
        <v>1</v>
      </c>
      <c r="N48" s="5">
        <f t="shared" si="80"/>
        <v>1</v>
      </c>
      <c r="O48" s="5">
        <f t="shared" si="80"/>
        <v>1</v>
      </c>
      <c r="P48" s="5">
        <f t="shared" si="80"/>
        <v>1</v>
      </c>
      <c r="Q48" s="5">
        <f t="shared" si="80"/>
        <v>1</v>
      </c>
      <c r="R48" s="5">
        <f t="shared" si="80"/>
        <v>1</v>
      </c>
      <c r="S48" s="5">
        <f t="shared" si="80"/>
        <v>1</v>
      </c>
      <c r="T48" s="5">
        <f t="shared" si="80"/>
        <v>1</v>
      </c>
      <c r="U48" s="5">
        <f t="shared" si="80"/>
        <v>1</v>
      </c>
      <c r="V48" s="5">
        <f t="shared" si="80"/>
        <v>1</v>
      </c>
      <c r="W48" s="5">
        <f t="shared" si="80"/>
        <v>1</v>
      </c>
      <c r="X48" s="5">
        <f t="shared" si="80"/>
        <v>1</v>
      </c>
      <c r="Y48" s="5">
        <f t="shared" si="80"/>
        <v>1</v>
      </c>
      <c r="Z48" s="5">
        <f t="shared" si="80"/>
        <v>1</v>
      </c>
      <c r="AA48" s="5">
        <f t="shared" si="80"/>
        <v>1</v>
      </c>
      <c r="AB48" s="5">
        <f t="shared" si="80"/>
        <v>1</v>
      </c>
      <c r="AC48" s="5">
        <f t="shared" si="80"/>
        <v>1</v>
      </c>
      <c r="AD48" s="5">
        <f t="shared" si="80"/>
        <v>1</v>
      </c>
      <c r="AE48" s="5">
        <f t="shared" si="80"/>
        <v>1</v>
      </c>
      <c r="AF48" s="5">
        <f t="shared" si="80"/>
        <v>1</v>
      </c>
      <c r="AG48" s="5">
        <f t="shared" si="80"/>
        <v>1</v>
      </c>
      <c r="AH48" s="5">
        <f t="shared" si="80"/>
        <v>1</v>
      </c>
      <c r="AI48" s="5">
        <f t="shared" si="80"/>
        <v>1</v>
      </c>
      <c r="AJ48" s="5">
        <f t="shared" si="80"/>
        <v>1</v>
      </c>
      <c r="AK48" s="5">
        <f t="shared" si="80"/>
        <v>1</v>
      </c>
      <c r="AL48" s="5">
        <f t="shared" si="80"/>
        <v>1</v>
      </c>
      <c r="AM48" s="5">
        <f t="shared" si="80"/>
        <v>1</v>
      </c>
      <c r="AN48" s="5">
        <f t="shared" si="80"/>
        <v>1</v>
      </c>
      <c r="AO48" s="5">
        <f t="shared" si="80"/>
        <v>1</v>
      </c>
      <c r="AP48" s="5">
        <f t="shared" si="80"/>
        <v>1</v>
      </c>
      <c r="AQ48" s="5">
        <f t="shared" si="80"/>
        <v>1</v>
      </c>
      <c r="AR48" s="5">
        <f t="shared" si="80"/>
        <v>1</v>
      </c>
      <c r="AS48" s="5">
        <f t="shared" si="80"/>
        <v>1</v>
      </c>
      <c r="AT48" s="5">
        <f t="shared" si="80"/>
        <v>1</v>
      </c>
      <c r="AU48" s="5">
        <f t="shared" si="80"/>
        <v>1</v>
      </c>
      <c r="AV48" s="5">
        <f t="shared" si="80"/>
        <v>1</v>
      </c>
      <c r="AW48" s="5">
        <f t="shared" si="80"/>
        <v>1</v>
      </c>
      <c r="AX48" s="5">
        <f t="shared" si="80"/>
        <v>1</v>
      </c>
      <c r="AY48" s="5">
        <f t="shared" si="80"/>
        <v>1</v>
      </c>
      <c r="AZ48" s="5">
        <f t="shared" si="80"/>
        <v>1</v>
      </c>
      <c r="BA48" s="5">
        <f t="shared" si="80"/>
        <v>1</v>
      </c>
      <c r="BB48" s="5">
        <f t="shared" ref="BB48:BG48" si="81">1-(BB20/BB1)</f>
        <v>1</v>
      </c>
      <c r="BC48" s="5">
        <f t="shared" si="81"/>
        <v>1</v>
      </c>
      <c r="BD48" s="5">
        <f t="shared" si="81"/>
        <v>1</v>
      </c>
      <c r="BE48" s="5">
        <f t="shared" si="81"/>
        <v>1</v>
      </c>
      <c r="BF48" s="5">
        <f t="shared" si="81"/>
        <v>1</v>
      </c>
      <c r="BG48" s="5">
        <f t="shared" si="81"/>
        <v>1</v>
      </c>
      <c r="BH48" s="5">
        <f>1-(BH20/BH1)</f>
        <v>1</v>
      </c>
      <c r="BI48" s="5">
        <f>1-(BI20/BI1)</f>
        <v>1</v>
      </c>
    </row>
    <row r="49" spans="1:61" s="2" customFormat="1" x14ac:dyDescent="0.35">
      <c r="A49" s="8" t="s">
        <v>51</v>
      </c>
      <c r="B49" s="5">
        <f>1-(B21/B1)</f>
        <v>1</v>
      </c>
      <c r="C49" s="5">
        <f t="shared" ref="C49:BA49" si="82">1-(C21/C1)</f>
        <v>1</v>
      </c>
      <c r="D49" s="5">
        <f t="shared" si="82"/>
        <v>1</v>
      </c>
      <c r="E49" s="5">
        <f t="shared" si="82"/>
        <v>1</v>
      </c>
      <c r="F49" s="5">
        <f t="shared" si="82"/>
        <v>1</v>
      </c>
      <c r="G49" s="5">
        <f t="shared" si="82"/>
        <v>1</v>
      </c>
      <c r="H49" s="5">
        <f t="shared" si="82"/>
        <v>1</v>
      </c>
      <c r="I49" s="5">
        <f t="shared" si="82"/>
        <v>1</v>
      </c>
      <c r="J49" s="5">
        <f t="shared" si="82"/>
        <v>1</v>
      </c>
      <c r="K49" s="5">
        <f t="shared" si="82"/>
        <v>1</v>
      </c>
      <c r="L49" s="5">
        <f t="shared" si="82"/>
        <v>1</v>
      </c>
      <c r="M49" s="5">
        <f t="shared" si="82"/>
        <v>0.99511458333333336</v>
      </c>
      <c r="N49" s="5">
        <f t="shared" si="82"/>
        <v>0.99550766283524905</v>
      </c>
      <c r="O49" s="5">
        <f t="shared" si="82"/>
        <v>0.99584219858156031</v>
      </c>
      <c r="P49" s="5">
        <f t="shared" si="82"/>
        <v>0.99613036303630365</v>
      </c>
      <c r="Q49" s="5">
        <f t="shared" si="82"/>
        <v>0.99638117283950622</v>
      </c>
      <c r="R49" s="5">
        <f t="shared" si="82"/>
        <v>0.99660144927536232</v>
      </c>
      <c r="S49" s="5">
        <f t="shared" si="82"/>
        <v>0.99679644808743173</v>
      </c>
      <c r="T49" s="5">
        <f t="shared" si="82"/>
        <v>0.99697028423772605</v>
      </c>
      <c r="U49" s="5">
        <f t="shared" si="82"/>
        <v>0.99712622549019603</v>
      </c>
      <c r="V49" s="5">
        <f t="shared" si="82"/>
        <v>0.99726689976689975</v>
      </c>
      <c r="W49" s="5">
        <f t="shared" si="82"/>
        <v>0.99739444444444447</v>
      </c>
      <c r="X49" s="5">
        <f t="shared" si="82"/>
        <v>0.99751061571125266</v>
      </c>
      <c r="Y49" s="5">
        <f t="shared" si="82"/>
        <v>0.99761686991869913</v>
      </c>
      <c r="Z49" s="5">
        <f t="shared" si="82"/>
        <v>0.99771442495126705</v>
      </c>
      <c r="AA49" s="5">
        <f t="shared" si="82"/>
        <v>0.9978043071161049</v>
      </c>
      <c r="AB49" s="5">
        <f t="shared" si="82"/>
        <v>0.99788738738738736</v>
      </c>
      <c r="AC49" s="5">
        <f t="shared" si="82"/>
        <v>0.99796440972222222</v>
      </c>
      <c r="AD49" s="5">
        <f t="shared" si="82"/>
        <v>0.99803601340033499</v>
      </c>
      <c r="AE49" s="5">
        <f t="shared" si="82"/>
        <v>0.99810275080906152</v>
      </c>
      <c r="AF49" s="5">
        <f t="shared" si="82"/>
        <v>0.9981651017214398</v>
      </c>
      <c r="AG49" s="5">
        <f t="shared" si="82"/>
        <v>0.99822348484848489</v>
      </c>
      <c r="AH49" s="5">
        <f t="shared" si="82"/>
        <v>0.99827826725403823</v>
      </c>
      <c r="AI49" s="5">
        <f t="shared" si="82"/>
        <v>0.99832977207977203</v>
      </c>
      <c r="AJ49" s="5">
        <f t="shared" si="82"/>
        <v>0.99837828492392811</v>
      </c>
      <c r="AK49" s="5">
        <f t="shared" si="82"/>
        <v>0.99842405913978494</v>
      </c>
      <c r="AL49" s="5">
        <f t="shared" si="82"/>
        <v>0.99846732026143792</v>
      </c>
      <c r="AM49" s="5">
        <f t="shared" si="82"/>
        <v>0.99850826972010176</v>
      </c>
      <c r="AN49" s="5">
        <f t="shared" si="82"/>
        <v>0.99854708798017344</v>
      </c>
      <c r="AO49" s="5">
        <f t="shared" si="82"/>
        <v>0.99858393719806759</v>
      </c>
      <c r="AP49" s="5">
        <f t="shared" si="82"/>
        <v>0.99861896348645462</v>
      </c>
      <c r="AQ49" s="5">
        <f t="shared" si="82"/>
        <v>0.99865229885057472</v>
      </c>
      <c r="AR49" s="5">
        <f t="shared" si="82"/>
        <v>0.99868406285072953</v>
      </c>
      <c r="AS49" s="5">
        <f t="shared" si="82"/>
        <v>0.99871436403508773</v>
      </c>
      <c r="AT49" s="5">
        <f t="shared" si="82"/>
        <v>0.99874330117899246</v>
      </c>
      <c r="AU49" s="5">
        <f t="shared" si="82"/>
        <v>0.99877096436058699</v>
      </c>
      <c r="AV49" s="5">
        <f t="shared" si="82"/>
        <v>0.99879743589743586</v>
      </c>
      <c r="AW49" s="5">
        <f t="shared" si="82"/>
        <v>0.99882279116465866</v>
      </c>
      <c r="AX49" s="5">
        <f t="shared" si="82"/>
        <v>0.99884709931170113</v>
      </c>
      <c r="AY49" s="5">
        <f t="shared" si="82"/>
        <v>0.99887042389210023</v>
      </c>
      <c r="AZ49" s="5">
        <f t="shared" si="82"/>
        <v>0.9988928234183192</v>
      </c>
      <c r="BA49" s="5">
        <f t="shared" si="82"/>
        <v>0.99891435185185184</v>
      </c>
      <c r="BB49" s="5">
        <f t="shared" ref="BB49:BG49" si="83">1-(BB21/BB1)</f>
        <v>1</v>
      </c>
      <c r="BC49" s="5">
        <f t="shared" si="83"/>
        <v>1</v>
      </c>
      <c r="BD49" s="5">
        <f t="shared" si="83"/>
        <v>1</v>
      </c>
      <c r="BE49" s="5">
        <f t="shared" si="83"/>
        <v>1</v>
      </c>
      <c r="BF49" s="5">
        <f t="shared" si="83"/>
        <v>1</v>
      </c>
      <c r="BG49" s="5">
        <f t="shared" si="83"/>
        <v>1</v>
      </c>
      <c r="BH49" s="5">
        <f>1-(BH21/BH1)</f>
        <v>1</v>
      </c>
      <c r="BI49" s="5">
        <f>1-(BI21/BI1)</f>
        <v>1</v>
      </c>
    </row>
    <row r="50" spans="1:61" s="2" customFormat="1" x14ac:dyDescent="0.35">
      <c r="A50" s="8" t="s">
        <v>52</v>
      </c>
      <c r="B50" s="5">
        <f>1-(B22/B1)</f>
        <v>1</v>
      </c>
      <c r="C50" s="5">
        <f t="shared" ref="C50:BA50" si="84">1-(C22/C1)</f>
        <v>1</v>
      </c>
      <c r="D50" s="5">
        <f t="shared" si="84"/>
        <v>1</v>
      </c>
      <c r="E50" s="5">
        <f t="shared" si="84"/>
        <v>1</v>
      </c>
      <c r="F50" s="5">
        <f t="shared" si="84"/>
        <v>1</v>
      </c>
      <c r="G50" s="5">
        <f t="shared" si="84"/>
        <v>1</v>
      </c>
      <c r="H50" s="5">
        <f t="shared" si="84"/>
        <v>1</v>
      </c>
      <c r="I50" s="5">
        <f t="shared" si="84"/>
        <v>1</v>
      </c>
      <c r="J50" s="5">
        <f t="shared" si="84"/>
        <v>1</v>
      </c>
      <c r="K50" s="5">
        <f t="shared" si="84"/>
        <v>1</v>
      </c>
      <c r="L50" s="5">
        <f t="shared" si="84"/>
        <v>1</v>
      </c>
      <c r="M50" s="5">
        <f t="shared" si="84"/>
        <v>1</v>
      </c>
      <c r="N50" s="5">
        <f t="shared" si="84"/>
        <v>1</v>
      </c>
      <c r="O50" s="5">
        <f t="shared" si="84"/>
        <v>0.99864804964539011</v>
      </c>
      <c r="P50" s="5">
        <f t="shared" si="84"/>
        <v>0.99874174917491754</v>
      </c>
      <c r="Q50" s="5">
        <f t="shared" si="84"/>
        <v>0.99882330246913575</v>
      </c>
      <c r="R50" s="5">
        <f t="shared" si="84"/>
        <v>0.99889492753623188</v>
      </c>
      <c r="S50" s="5">
        <f t="shared" si="84"/>
        <v>0.99895833333333328</v>
      </c>
      <c r="T50" s="5">
        <f t="shared" si="84"/>
        <v>0.99901485788113698</v>
      </c>
      <c r="U50" s="5">
        <f t="shared" si="84"/>
        <v>0.99906556372549016</v>
      </c>
      <c r="V50" s="5">
        <f t="shared" si="84"/>
        <v>0.99911130536130532</v>
      </c>
      <c r="W50" s="5">
        <f t="shared" si="84"/>
        <v>0.99915277777777778</v>
      </c>
      <c r="X50" s="5">
        <f t="shared" si="84"/>
        <v>0.99919055201698515</v>
      </c>
      <c r="Y50" s="5">
        <f t="shared" si="84"/>
        <v>0.9992251016260163</v>
      </c>
      <c r="Z50" s="5">
        <f t="shared" si="84"/>
        <v>0.99925682261208582</v>
      </c>
      <c r="AA50" s="5">
        <f t="shared" si="84"/>
        <v>0.99928604868913862</v>
      </c>
      <c r="AB50" s="77">
        <f t="shared" si="84"/>
        <v>0.99931306306306311</v>
      </c>
      <c r="AC50" s="77">
        <f t="shared" si="84"/>
        <v>0.99933810763888886</v>
      </c>
      <c r="AD50" s="5">
        <f t="shared" si="84"/>
        <v>0.99936139028475712</v>
      </c>
      <c r="AE50" s="5">
        <f t="shared" si="84"/>
        <v>0.99938309061488673</v>
      </c>
      <c r="AF50" s="5">
        <f t="shared" si="84"/>
        <v>0.99940336463223789</v>
      </c>
      <c r="AG50" s="5">
        <f t="shared" si="84"/>
        <v>0.99942234848484846</v>
      </c>
      <c r="AH50" s="5">
        <f t="shared" si="84"/>
        <v>0.99944016152716597</v>
      </c>
      <c r="AI50" s="5">
        <f t="shared" si="84"/>
        <v>0.99945690883190885</v>
      </c>
      <c r="AJ50" s="5">
        <f t="shared" si="84"/>
        <v>0.99947268326417704</v>
      </c>
      <c r="AK50" s="5">
        <f t="shared" si="84"/>
        <v>0.9994875672043011</v>
      </c>
      <c r="AL50" s="5">
        <f t="shared" si="84"/>
        <v>0.99950163398692815</v>
      </c>
      <c r="AM50" s="5">
        <f t="shared" si="84"/>
        <v>0.99951494910941474</v>
      </c>
      <c r="AN50" s="5">
        <f t="shared" si="84"/>
        <v>0.9995275712515489</v>
      </c>
      <c r="AO50" s="5">
        <f t="shared" si="84"/>
        <v>0.99953955314009657</v>
      </c>
      <c r="AP50" s="5">
        <f t="shared" si="84"/>
        <v>0.99955094228504127</v>
      </c>
      <c r="AQ50" s="5">
        <f t="shared" si="84"/>
        <v>0.9995617816091954</v>
      </c>
      <c r="AR50" s="5">
        <f t="shared" si="84"/>
        <v>0.99957210998877666</v>
      </c>
      <c r="AS50" s="5">
        <f t="shared" si="84"/>
        <v>0.99958196271929822</v>
      </c>
      <c r="AT50" s="5">
        <f t="shared" si="84"/>
        <v>0.9995913719185423</v>
      </c>
      <c r="AU50" s="5">
        <f t="shared" si="84"/>
        <v>0.99960036687631026</v>
      </c>
      <c r="AV50" s="5">
        <f t="shared" si="84"/>
        <v>0.99960897435897433</v>
      </c>
      <c r="AW50" s="5">
        <f t="shared" si="84"/>
        <v>0.99961721887550203</v>
      </c>
      <c r="AX50" s="5">
        <f t="shared" si="84"/>
        <v>0.99962512291052119</v>
      </c>
      <c r="AY50" s="5">
        <f t="shared" si="84"/>
        <v>0.99963270712909447</v>
      </c>
      <c r="AZ50" s="5">
        <f t="shared" si="84"/>
        <v>0.99963999055712938</v>
      </c>
      <c r="BA50" s="5">
        <f t="shared" si="84"/>
        <v>0.9996469907407407</v>
      </c>
      <c r="BB50" s="5">
        <f t="shared" ref="BB50:BG50" si="85">1-(BB22/BB1)</f>
        <v>1</v>
      </c>
      <c r="BC50" s="5">
        <f t="shared" si="85"/>
        <v>1</v>
      </c>
      <c r="BD50" s="5">
        <f t="shared" si="85"/>
        <v>1</v>
      </c>
      <c r="BE50" s="5">
        <f t="shared" si="85"/>
        <v>1</v>
      </c>
      <c r="BF50" s="5">
        <f t="shared" si="85"/>
        <v>1</v>
      </c>
      <c r="BG50" s="5">
        <f t="shared" si="85"/>
        <v>1</v>
      </c>
      <c r="BH50" s="5">
        <f>1-(BH22/BH1)</f>
        <v>1</v>
      </c>
      <c r="BI50" s="5">
        <f>1-(BI22/BI1)</f>
        <v>1</v>
      </c>
    </row>
    <row r="52" spans="1:61" x14ac:dyDescent="0.35">
      <c r="Y52" s="69" t="s">
        <v>180</v>
      </c>
    </row>
    <row r="53" spans="1:61" x14ac:dyDescent="0.35">
      <c r="Y53" s="69" t="s">
        <v>179</v>
      </c>
    </row>
    <row r="54" spans="1:61" x14ac:dyDescent="0.35">
      <c r="AA54" s="69" t="s">
        <v>181</v>
      </c>
    </row>
    <row r="55" spans="1:61" x14ac:dyDescent="0.35">
      <c r="AB55" s="69" t="s">
        <v>182</v>
      </c>
    </row>
    <row r="56" spans="1:61" x14ac:dyDescent="0.35">
      <c r="AC56" s="78" t="s">
        <v>189</v>
      </c>
    </row>
  </sheetData>
  <conditionalFormatting sqref="B44:AZ44">
    <cfRule type="cellIs" dxfId="191" priority="45" operator="greaterThanOrEqual">
      <formula>0.9994</formula>
    </cfRule>
    <cfRule type="cellIs" dxfId="190" priority="46" operator="greaterThan">
      <formula>0.9999</formula>
    </cfRule>
  </conditionalFormatting>
  <conditionalFormatting sqref="B38:BG39 B40:AN40 AX40:BG40 B41:BG43 B44:AH44 AJ44:BG44">
    <cfRule type="cellIs" dxfId="189" priority="78" operator="between">
      <formula>0.9989</formula>
      <formula>0.9993</formula>
    </cfRule>
    <cfRule type="cellIs" dxfId="188" priority="79" operator="lessThan">
      <formula>0.999</formula>
    </cfRule>
  </conditionalFormatting>
  <conditionalFormatting sqref="B38:BG43">
    <cfRule type="cellIs" dxfId="187" priority="41" operator="greaterThanOrEqual">
      <formula>0.9994</formula>
    </cfRule>
    <cfRule type="cellIs" dxfId="186" priority="42" operator="greaterThan">
      <formula>0.9999</formula>
    </cfRule>
  </conditionalFormatting>
  <conditionalFormatting sqref="B4:BI8">
    <cfRule type="containsBlanks" dxfId="185" priority="5">
      <formula>LEN(TRIM(B4))=0</formula>
    </cfRule>
    <cfRule type="cellIs" dxfId="184" priority="6" operator="greaterThan">
      <formula>0</formula>
    </cfRule>
  </conditionalFormatting>
  <conditionalFormatting sqref="B10:BI16">
    <cfRule type="containsBlanks" dxfId="183" priority="3">
      <formula>LEN(TRIM(B10))=0</formula>
    </cfRule>
    <cfRule type="cellIs" dxfId="182" priority="4" operator="greaterThan">
      <formula>0</formula>
    </cfRule>
  </conditionalFormatting>
  <conditionalFormatting sqref="B18:BI22">
    <cfRule type="containsBlanks" dxfId="181" priority="7">
      <formula>LEN(TRIM(B18))=0</formula>
    </cfRule>
    <cfRule type="cellIs" dxfId="180" priority="8" operator="greaterThan">
      <formula>0</formula>
    </cfRule>
  </conditionalFormatting>
  <conditionalFormatting sqref="B32:BI36">
    <cfRule type="cellIs" dxfId="179" priority="9" stopIfTrue="1" operator="lessThan">
      <formula>0.999</formula>
    </cfRule>
    <cfRule type="cellIs" dxfId="178" priority="10" stopIfTrue="1" operator="between">
      <formula>0.9989</formula>
      <formula>0.9993</formula>
    </cfRule>
    <cfRule type="cellIs" dxfId="177" priority="11" operator="greaterThanOrEqual">
      <formula>0.9994</formula>
    </cfRule>
    <cfRule type="cellIs" dxfId="176" priority="12" operator="greaterThan">
      <formula>0.9999</formula>
    </cfRule>
  </conditionalFormatting>
  <conditionalFormatting sqref="B46:BI50">
    <cfRule type="cellIs" dxfId="175" priority="13" stopIfTrue="1" operator="lessThan">
      <formula>0.999</formula>
    </cfRule>
    <cfRule type="cellIs" dxfId="174" priority="14" stopIfTrue="1" operator="between">
      <formula>0.9989</formula>
      <formula>0.9993</formula>
    </cfRule>
    <cfRule type="cellIs" dxfId="173" priority="15" operator="greaterThanOrEqual">
      <formula>0.9994</formula>
    </cfRule>
    <cfRule type="cellIs" dxfId="172" priority="16" operator="greaterThan">
      <formula>0.9999</formula>
    </cfRule>
  </conditionalFormatting>
  <conditionalFormatting sqref="AI44">
    <cfRule type="cellIs" dxfId="171" priority="43" stopIfTrue="1" operator="lessThan">
      <formula>0.999</formula>
    </cfRule>
    <cfRule type="cellIs" dxfId="170" priority="44" stopIfTrue="1" operator="between">
      <formula>0.9989</formula>
      <formula>0.9993</formula>
    </cfRule>
  </conditionalFormatting>
  <conditionalFormatting sqref="AO40:AW40">
    <cfRule type="cellIs" dxfId="169" priority="39" stopIfTrue="1" operator="lessThan">
      <formula>0.999</formula>
    </cfRule>
    <cfRule type="cellIs" dxfId="168" priority="40" stopIfTrue="1" operator="between">
      <formula>0.9989</formula>
      <formula>0.9993</formula>
    </cfRule>
  </conditionalFormatting>
  <conditionalFormatting sqref="BA44:BI44">
    <cfRule type="cellIs" dxfId="167" priority="37" operator="greaterThanOrEqual">
      <formula>0.9994</formula>
    </cfRule>
    <cfRule type="cellIs" dxfId="166" priority="38" operator="greaterThan">
      <formula>0.9999</formula>
    </cfRule>
  </conditionalFormatting>
  <conditionalFormatting sqref="BH38:BI43">
    <cfRule type="cellIs" dxfId="165" priority="1" operator="greaterThanOrEqual">
      <formula>0.9994</formula>
    </cfRule>
    <cfRule type="cellIs" dxfId="164" priority="2" operator="greaterThan">
      <formula>0.9999</formula>
    </cfRule>
  </conditionalFormatting>
  <conditionalFormatting sqref="BH38:BI44">
    <cfRule type="cellIs" dxfId="163" priority="17" operator="between">
      <formula>0.9989</formula>
      <formula>0.9993</formula>
    </cfRule>
    <cfRule type="cellIs" dxfId="162" priority="18" operator="lessThan">
      <formula>0.999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226E-DD83-4577-A832-8633A9C3A909}">
  <sheetPr codeName="Sheet7">
    <tabColor theme="7" tint="0.59999389629810485"/>
  </sheetPr>
  <dimension ref="A1:BI56"/>
  <sheetViews>
    <sheetView workbookViewId="0">
      <selection activeCell="BH1" sqref="BH1:BI1"/>
    </sheetView>
  </sheetViews>
  <sheetFormatPr defaultColWidth="8.81640625" defaultRowHeight="14.5" x14ac:dyDescent="0.35"/>
  <cols>
    <col min="1" max="1" width="22.7265625" style="2" customWidth="1"/>
    <col min="2" max="41" width="10.54296875" style="2" hidden="1" customWidth="1"/>
    <col min="42" max="59" width="10.54296875" style="2" customWidth="1"/>
    <col min="60" max="60" width="9.08984375" style="2" bestFit="1" customWidth="1"/>
    <col min="61" max="16384" width="8.81640625" style="2"/>
  </cols>
  <sheetData>
    <row r="1" spans="1:61" x14ac:dyDescent="0.35">
      <c r="A1" s="9" t="s">
        <v>22</v>
      </c>
      <c r="B1" s="1">
        <v>72</v>
      </c>
      <c r="C1" s="1">
        <f>B1+168</f>
        <v>240</v>
      </c>
      <c r="D1" s="1">
        <f t="shared" ref="D1:E1" si="0">C1+168</f>
        <v>408</v>
      </c>
      <c r="E1" s="1">
        <f t="shared" si="0"/>
        <v>576</v>
      </c>
      <c r="F1" s="1">
        <f t="shared" ref="F1:G1" si="1">E1+168</f>
        <v>744</v>
      </c>
      <c r="G1" s="1">
        <f t="shared" si="1"/>
        <v>912</v>
      </c>
      <c r="H1" s="1">
        <f t="shared" ref="H1:I1" si="2">G1+168</f>
        <v>1080</v>
      </c>
      <c r="I1" s="1">
        <f t="shared" si="2"/>
        <v>1248</v>
      </c>
      <c r="J1" s="1">
        <f t="shared" ref="J1:K1" si="3">I1+168</f>
        <v>1416</v>
      </c>
      <c r="K1" s="1">
        <f t="shared" si="3"/>
        <v>1584</v>
      </c>
      <c r="L1" s="1">
        <f t="shared" ref="L1:M1" si="4">K1+168</f>
        <v>1752</v>
      </c>
      <c r="M1" s="1">
        <f t="shared" si="4"/>
        <v>1920</v>
      </c>
      <c r="N1" s="1">
        <f t="shared" ref="N1:O1" si="5">M1+168</f>
        <v>2088</v>
      </c>
      <c r="O1" s="1">
        <f t="shared" si="5"/>
        <v>2256</v>
      </c>
      <c r="P1" s="1">
        <f t="shared" ref="P1:Q1" si="6">O1+168</f>
        <v>2424</v>
      </c>
      <c r="Q1" s="1">
        <f t="shared" si="6"/>
        <v>2592</v>
      </c>
      <c r="R1" s="1">
        <f t="shared" ref="R1:S1" si="7">Q1+168</f>
        <v>2760</v>
      </c>
      <c r="S1" s="1">
        <f t="shared" si="7"/>
        <v>2928</v>
      </c>
      <c r="T1" s="1">
        <f t="shared" ref="T1:U1" si="8">S1+168</f>
        <v>3096</v>
      </c>
      <c r="U1" s="1">
        <f t="shared" si="8"/>
        <v>3264</v>
      </c>
      <c r="V1" s="1">
        <f t="shared" ref="V1:W1" si="9">U1+168</f>
        <v>3432</v>
      </c>
      <c r="W1" s="1">
        <f t="shared" si="9"/>
        <v>3600</v>
      </c>
      <c r="X1" s="1">
        <f t="shared" ref="X1:Y1" si="10">W1+168</f>
        <v>3768</v>
      </c>
      <c r="Y1" s="1">
        <f t="shared" si="10"/>
        <v>3936</v>
      </c>
      <c r="Z1" s="1">
        <f t="shared" ref="Z1:AA1" si="11">Y1+168</f>
        <v>4104</v>
      </c>
      <c r="AA1" s="1">
        <f t="shared" si="11"/>
        <v>4272</v>
      </c>
      <c r="AB1" s="1">
        <f t="shared" ref="AB1:AC1" si="12">AA1+168</f>
        <v>4440</v>
      </c>
      <c r="AC1" s="1">
        <f t="shared" si="12"/>
        <v>4608</v>
      </c>
      <c r="AD1" s="1">
        <f t="shared" ref="AD1:AE1" si="13">AC1+168</f>
        <v>4776</v>
      </c>
      <c r="AE1" s="1">
        <f t="shared" si="13"/>
        <v>4944</v>
      </c>
      <c r="AF1" s="1">
        <f t="shared" ref="AF1:AG1" si="14">AE1+168</f>
        <v>5112</v>
      </c>
      <c r="AG1" s="1">
        <f t="shared" si="14"/>
        <v>5280</v>
      </c>
      <c r="AH1" s="1">
        <f t="shared" ref="AH1:AI1" si="15">AG1+168</f>
        <v>5448</v>
      </c>
      <c r="AI1" s="1">
        <f t="shared" si="15"/>
        <v>5616</v>
      </c>
      <c r="AJ1" s="1">
        <f t="shared" ref="AJ1:AK1" si="16">AI1+168</f>
        <v>5784</v>
      </c>
      <c r="AK1" s="1">
        <f t="shared" si="16"/>
        <v>5952</v>
      </c>
      <c r="AL1" s="1">
        <f t="shared" ref="AL1:AM1" si="17">AK1+168</f>
        <v>6120</v>
      </c>
      <c r="AM1" s="1">
        <f t="shared" si="17"/>
        <v>6288</v>
      </c>
      <c r="AN1" s="1">
        <f t="shared" ref="AN1:AO1" si="18">AM1+168</f>
        <v>6456</v>
      </c>
      <c r="AO1" s="1">
        <f t="shared" si="18"/>
        <v>6624</v>
      </c>
      <c r="AP1" s="1">
        <f t="shared" ref="AP1:AQ1" si="19">AO1+168</f>
        <v>6792</v>
      </c>
      <c r="AQ1" s="1">
        <f t="shared" si="19"/>
        <v>6960</v>
      </c>
      <c r="AR1" s="1">
        <f t="shared" ref="AR1:AS1" si="20">AQ1+168</f>
        <v>7128</v>
      </c>
      <c r="AS1" s="1">
        <f t="shared" si="20"/>
        <v>7296</v>
      </c>
      <c r="AT1" s="1">
        <f t="shared" ref="AT1:AU1" si="21">AS1+168</f>
        <v>7464</v>
      </c>
      <c r="AU1" s="1">
        <f t="shared" si="21"/>
        <v>7632</v>
      </c>
      <c r="AV1" s="1">
        <f t="shared" ref="AV1:AW1" si="22">AU1+168</f>
        <v>7800</v>
      </c>
      <c r="AW1" s="1">
        <f t="shared" si="22"/>
        <v>7968</v>
      </c>
      <c r="AX1" s="1">
        <f t="shared" ref="AX1:AY1" si="23">AW1+168</f>
        <v>8136</v>
      </c>
      <c r="AY1" s="1">
        <f t="shared" si="23"/>
        <v>8304</v>
      </c>
      <c r="AZ1" s="1">
        <f t="shared" ref="AZ1:BA1" si="24">AY1+168</f>
        <v>8472</v>
      </c>
      <c r="BA1" s="1">
        <f t="shared" si="24"/>
        <v>8640</v>
      </c>
      <c r="BB1" s="1">
        <v>48</v>
      </c>
      <c r="BC1" s="1">
        <f>BB1+168</f>
        <v>216</v>
      </c>
      <c r="BD1" s="1">
        <f>BC1+168</f>
        <v>384</v>
      </c>
      <c r="BE1" s="1">
        <f>BD1+168</f>
        <v>552</v>
      </c>
      <c r="BF1" s="1">
        <v>720</v>
      </c>
      <c r="BG1" s="1">
        <v>888</v>
      </c>
      <c r="BH1" s="1">
        <f>BG1+168</f>
        <v>1056</v>
      </c>
      <c r="BI1" s="1">
        <f>BH1+168</f>
        <v>1224</v>
      </c>
    </row>
    <row r="2" spans="1:6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</row>
    <row r="3" spans="1:6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</row>
    <row r="4" spans="1:6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1" x14ac:dyDescent="0.35">
      <c r="A5" s="8" t="s">
        <v>26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3.45</v>
      </c>
      <c r="AC5" s="4">
        <v>3.45</v>
      </c>
      <c r="AD5" s="4">
        <v>3.45</v>
      </c>
      <c r="AE5" s="4">
        <v>3.45</v>
      </c>
      <c r="AF5" s="4">
        <v>3.45</v>
      </c>
      <c r="AG5" s="4">
        <v>3.45</v>
      </c>
      <c r="AH5" s="4">
        <v>3.45</v>
      </c>
      <c r="AI5" s="4">
        <v>3.45</v>
      </c>
      <c r="AJ5" s="4">
        <v>3.45</v>
      </c>
      <c r="AK5" s="4">
        <v>3.45</v>
      </c>
      <c r="AL5" s="4">
        <v>3.45</v>
      </c>
      <c r="AM5" s="4">
        <v>3.45</v>
      </c>
      <c r="AN5" s="4">
        <v>3.45</v>
      </c>
      <c r="AO5" s="4">
        <v>3.45</v>
      </c>
      <c r="AP5" s="4">
        <v>3.45</v>
      </c>
      <c r="AQ5" s="4">
        <v>3.45</v>
      </c>
      <c r="AR5" s="4">
        <v>3.45</v>
      </c>
      <c r="AS5" s="4">
        <v>3.45</v>
      </c>
      <c r="AT5" s="4">
        <v>3.45</v>
      </c>
      <c r="AU5" s="4">
        <v>3.45</v>
      </c>
      <c r="AV5" s="4">
        <v>3.45</v>
      </c>
      <c r="AW5" s="4">
        <v>3.45</v>
      </c>
      <c r="AX5" s="4">
        <v>3.45</v>
      </c>
      <c r="AY5" s="4">
        <v>3.45</v>
      </c>
      <c r="AZ5" s="4">
        <v>3.45</v>
      </c>
      <c r="BA5" s="4">
        <v>3.45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1" x14ac:dyDescent="0.35">
      <c r="A6" s="8" t="s">
        <v>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3.45</v>
      </c>
      <c r="AC6" s="4">
        <v>3.45</v>
      </c>
      <c r="AD6" s="4">
        <v>3.45</v>
      </c>
      <c r="AE6" s="4">
        <v>3.45</v>
      </c>
      <c r="AF6" s="4">
        <v>3.45</v>
      </c>
      <c r="AG6" s="4">
        <v>3.45</v>
      </c>
      <c r="AH6" s="4">
        <v>3.45</v>
      </c>
      <c r="AI6" s="4">
        <v>3.45</v>
      </c>
      <c r="AJ6" s="4">
        <v>3.45</v>
      </c>
      <c r="AK6" s="4">
        <v>3.45</v>
      </c>
      <c r="AL6" s="4">
        <v>3.45</v>
      </c>
      <c r="AM6" s="4">
        <v>3.45</v>
      </c>
      <c r="AN6" s="4">
        <v>3.45</v>
      </c>
      <c r="AO6" s="4">
        <v>3.45</v>
      </c>
      <c r="AP6" s="4">
        <v>3.45</v>
      </c>
      <c r="AQ6" s="4">
        <v>3.45</v>
      </c>
      <c r="AR6" s="4">
        <v>3.45</v>
      </c>
      <c r="AS6" s="4">
        <v>3.45</v>
      </c>
      <c r="AT6" s="4">
        <v>3.45</v>
      </c>
      <c r="AU6" s="4">
        <v>3.45</v>
      </c>
      <c r="AV6" s="4">
        <v>3.45</v>
      </c>
      <c r="AW6" s="4">
        <v>3.45</v>
      </c>
      <c r="AX6" s="4">
        <v>3.45</v>
      </c>
      <c r="AY6" s="4">
        <v>3.45</v>
      </c>
      <c r="AZ6" s="4">
        <v>3.45</v>
      </c>
      <c r="BA6" s="4">
        <v>3.45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1" x14ac:dyDescent="0.35">
      <c r="A7" s="8" t="s">
        <v>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3.45</v>
      </c>
      <c r="AC7" s="4">
        <v>3.45</v>
      </c>
      <c r="AD7" s="4">
        <v>3.45</v>
      </c>
      <c r="AE7" s="4">
        <v>3.45</v>
      </c>
      <c r="AF7" s="4">
        <v>3.45</v>
      </c>
      <c r="AG7" s="4">
        <v>3.45</v>
      </c>
      <c r="AH7" s="4">
        <v>3.45</v>
      </c>
      <c r="AI7" s="4">
        <v>3.45</v>
      </c>
      <c r="AJ7" s="4">
        <v>3.45</v>
      </c>
      <c r="AK7" s="4">
        <v>3.45</v>
      </c>
      <c r="AL7" s="4">
        <v>3.45</v>
      </c>
      <c r="AM7" s="4">
        <v>3.45</v>
      </c>
      <c r="AN7" s="4">
        <v>3.45</v>
      </c>
      <c r="AO7" s="4">
        <v>3.45</v>
      </c>
      <c r="AP7" s="4">
        <v>3.45</v>
      </c>
      <c r="AQ7" s="4">
        <v>3.45</v>
      </c>
      <c r="AR7" s="4">
        <v>3.45</v>
      </c>
      <c r="AS7" s="4">
        <v>3.45</v>
      </c>
      <c r="AT7" s="4">
        <v>3.45</v>
      </c>
      <c r="AU7" s="4">
        <v>3.45</v>
      </c>
      <c r="AV7" s="4">
        <v>3.45</v>
      </c>
      <c r="AW7" s="4">
        <v>3.45</v>
      </c>
      <c r="AX7" s="4">
        <v>3.45</v>
      </c>
      <c r="AY7" s="4">
        <v>3.45</v>
      </c>
      <c r="AZ7" s="4">
        <v>3.45</v>
      </c>
      <c r="BA7" s="4">
        <v>3.45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</row>
    <row r="8" spans="1:61" x14ac:dyDescent="0.35">
      <c r="A8" s="7" t="s">
        <v>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1" x14ac:dyDescent="0.35">
      <c r="A9" s="8" t="s">
        <v>26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4.9800000000000004</v>
      </c>
      <c r="Z9" s="4">
        <v>4.9800000000000004</v>
      </c>
      <c r="AA9" s="4">
        <v>4.9800000000000004</v>
      </c>
      <c r="AB9" s="4">
        <v>8.43</v>
      </c>
      <c r="AC9" s="4">
        <v>8.43</v>
      </c>
      <c r="AD9" s="4">
        <v>8.43</v>
      </c>
      <c r="AE9" s="4">
        <v>8.43</v>
      </c>
      <c r="AF9" s="4">
        <v>8.43</v>
      </c>
      <c r="AG9" s="4">
        <v>8.43</v>
      </c>
      <c r="AH9" s="4">
        <v>8.43</v>
      </c>
      <c r="AI9" s="4">
        <v>8.43</v>
      </c>
      <c r="AJ9" s="4">
        <v>8.43</v>
      </c>
      <c r="AK9" s="4">
        <v>8.43</v>
      </c>
      <c r="AL9" s="4">
        <v>8.43</v>
      </c>
      <c r="AM9" s="4">
        <v>8.43</v>
      </c>
      <c r="AN9" s="4">
        <v>8.43</v>
      </c>
      <c r="AO9" s="4">
        <v>8.43</v>
      </c>
      <c r="AP9" s="4">
        <v>8.43</v>
      </c>
      <c r="AQ9" s="4">
        <v>8.43</v>
      </c>
      <c r="AR9" s="4">
        <v>8.43</v>
      </c>
      <c r="AS9" s="4">
        <v>8.43</v>
      </c>
      <c r="AT9" s="4">
        <v>8.43</v>
      </c>
      <c r="AU9" s="4">
        <v>8.43</v>
      </c>
      <c r="AV9" s="4">
        <v>8.43</v>
      </c>
      <c r="AW9" s="4">
        <v>8.43</v>
      </c>
      <c r="AX9" s="4">
        <v>8.43</v>
      </c>
      <c r="AY9" s="4">
        <v>8.43</v>
      </c>
      <c r="AZ9" s="4">
        <v>8.43</v>
      </c>
      <c r="BA9" s="4">
        <v>8.43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1" x14ac:dyDescent="0.35">
      <c r="A10" s="8" t="s">
        <v>27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4.9800000000000004</v>
      </c>
      <c r="Z10" s="4">
        <v>4.9800000000000004</v>
      </c>
      <c r="AA10" s="4">
        <v>4.9800000000000004</v>
      </c>
      <c r="AB10" s="4">
        <v>8.43</v>
      </c>
      <c r="AC10" s="4">
        <v>8.43</v>
      </c>
      <c r="AD10" s="4">
        <v>8.43</v>
      </c>
      <c r="AE10" s="4">
        <v>8.43</v>
      </c>
      <c r="AF10" s="4">
        <v>8.43</v>
      </c>
      <c r="AG10" s="4">
        <v>8.43</v>
      </c>
      <c r="AH10" s="4">
        <v>8.43</v>
      </c>
      <c r="AI10" s="4">
        <v>8.43</v>
      </c>
      <c r="AJ10" s="4">
        <v>8.43</v>
      </c>
      <c r="AK10" s="4">
        <v>8.43</v>
      </c>
      <c r="AL10" s="4">
        <v>8.43</v>
      </c>
      <c r="AM10" s="4">
        <v>8.43</v>
      </c>
      <c r="AN10" s="4">
        <v>8.43</v>
      </c>
      <c r="AO10" s="4">
        <v>8.43</v>
      </c>
      <c r="AP10" s="4">
        <v>8.43</v>
      </c>
      <c r="AQ10" s="4">
        <v>8.43</v>
      </c>
      <c r="AR10" s="4">
        <v>8.43</v>
      </c>
      <c r="AS10" s="4">
        <v>8.43</v>
      </c>
      <c r="AT10" s="4">
        <v>8.43</v>
      </c>
      <c r="AU10" s="4">
        <v>8.43</v>
      </c>
      <c r="AV10" s="4">
        <v>8.43</v>
      </c>
      <c r="AW10" s="4">
        <v>8.43</v>
      </c>
      <c r="AX10" s="4">
        <v>8.43</v>
      </c>
      <c r="AY10" s="4">
        <v>8.43</v>
      </c>
      <c r="AZ10" s="4">
        <v>8.43</v>
      </c>
      <c r="BA10" s="4">
        <v>8.43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spans="1:61" x14ac:dyDescent="0.35">
      <c r="A11" s="8" t="s">
        <v>28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4.9800000000000004</v>
      </c>
      <c r="Z11" s="4">
        <v>4.9800000000000004</v>
      </c>
      <c r="AA11" s="4">
        <v>4.9800000000000004</v>
      </c>
      <c r="AB11" s="4">
        <v>8.43</v>
      </c>
      <c r="AC11" s="4">
        <v>8.43</v>
      </c>
      <c r="AD11" s="4">
        <v>8.43</v>
      </c>
      <c r="AE11" s="4">
        <v>8.43</v>
      </c>
      <c r="AF11" s="4">
        <v>8.43</v>
      </c>
      <c r="AG11" s="4">
        <v>8.43</v>
      </c>
      <c r="AH11" s="4">
        <v>8.43</v>
      </c>
      <c r="AI11" s="4">
        <v>8.43</v>
      </c>
      <c r="AJ11" s="4">
        <v>8.43</v>
      </c>
      <c r="AK11" s="4">
        <v>8.43</v>
      </c>
      <c r="AL11" s="4">
        <v>8.43</v>
      </c>
      <c r="AM11" s="4">
        <v>8.43</v>
      </c>
      <c r="AN11" s="4">
        <v>8.43</v>
      </c>
      <c r="AO11" s="4">
        <v>8.43</v>
      </c>
      <c r="AP11" s="4">
        <v>8.43</v>
      </c>
      <c r="AQ11" s="4">
        <v>8.43</v>
      </c>
      <c r="AR11" s="4">
        <v>8.43</v>
      </c>
      <c r="AS11" s="4">
        <v>8.43</v>
      </c>
      <c r="AT11" s="4">
        <v>8.43</v>
      </c>
      <c r="AU11" s="4">
        <v>8.43</v>
      </c>
      <c r="AV11" s="4">
        <v>8.43</v>
      </c>
      <c r="AW11" s="4">
        <v>8.43</v>
      </c>
      <c r="AX11" s="4">
        <v>8.43</v>
      </c>
      <c r="AY11" s="4">
        <v>8.43</v>
      </c>
      <c r="AZ11" s="4">
        <v>8.43</v>
      </c>
      <c r="BA11" s="4">
        <v>8.43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1" x14ac:dyDescent="0.3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1" x14ac:dyDescent="0.35">
      <c r="A13" s="8" t="s">
        <v>26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3.45</v>
      </c>
      <c r="AC13" s="4">
        <v>3.45</v>
      </c>
      <c r="AD13" s="4">
        <v>3.45</v>
      </c>
      <c r="AE13" s="4">
        <v>3.45</v>
      </c>
      <c r="AF13" s="4">
        <v>3.45</v>
      </c>
      <c r="AG13" s="4">
        <v>3.45</v>
      </c>
      <c r="AH13" s="4">
        <v>3.45</v>
      </c>
      <c r="AI13" s="4">
        <v>3.45</v>
      </c>
      <c r="AJ13" s="4">
        <v>3.45</v>
      </c>
      <c r="AK13" s="4">
        <v>3.45</v>
      </c>
      <c r="AL13" s="4">
        <v>3.45</v>
      </c>
      <c r="AM13" s="4">
        <v>3.45</v>
      </c>
      <c r="AN13" s="4">
        <v>3.45</v>
      </c>
      <c r="AO13" s="4">
        <v>3.45</v>
      </c>
      <c r="AP13" s="4">
        <v>3.45</v>
      </c>
      <c r="AQ13" s="4">
        <v>3.45</v>
      </c>
      <c r="AR13" s="4">
        <v>3.45</v>
      </c>
      <c r="AS13" s="4">
        <v>3.45</v>
      </c>
      <c r="AT13" s="4">
        <v>3.45</v>
      </c>
      <c r="AU13" s="4">
        <v>3.45</v>
      </c>
      <c r="AV13" s="4">
        <v>3.45</v>
      </c>
      <c r="AW13" s="4">
        <v>3.45</v>
      </c>
      <c r="AX13" s="4">
        <v>3.45</v>
      </c>
      <c r="AY13" s="4">
        <v>3.45</v>
      </c>
      <c r="AZ13" s="4">
        <v>3.45</v>
      </c>
      <c r="BA13" s="4">
        <v>3.45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1" x14ac:dyDescent="0.35">
      <c r="A14" s="8" t="s">
        <v>27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3.45</v>
      </c>
      <c r="AC14" s="4">
        <v>3.45</v>
      </c>
      <c r="AD14" s="4">
        <v>3.45</v>
      </c>
      <c r="AE14" s="4">
        <v>3.45</v>
      </c>
      <c r="AF14" s="4">
        <v>3.45</v>
      </c>
      <c r="AG14" s="4">
        <v>3.45</v>
      </c>
      <c r="AH14" s="4">
        <v>3.45</v>
      </c>
      <c r="AI14" s="4">
        <v>3.45</v>
      </c>
      <c r="AJ14" s="4">
        <v>3.45</v>
      </c>
      <c r="AK14" s="4">
        <v>3.45</v>
      </c>
      <c r="AL14" s="4">
        <v>3.45</v>
      </c>
      <c r="AM14" s="4">
        <v>3.45</v>
      </c>
      <c r="AN14" s="4">
        <v>3.45</v>
      </c>
      <c r="AO14" s="4">
        <v>3.45</v>
      </c>
      <c r="AP14" s="4">
        <v>3.45</v>
      </c>
      <c r="AQ14" s="4">
        <v>3.45</v>
      </c>
      <c r="AR14" s="4">
        <v>3.45</v>
      </c>
      <c r="AS14" s="4">
        <v>3.45</v>
      </c>
      <c r="AT14" s="4">
        <v>3.45</v>
      </c>
      <c r="AU14" s="4">
        <v>3.45</v>
      </c>
      <c r="AV14" s="4">
        <v>3.45</v>
      </c>
      <c r="AW14" s="4">
        <v>3.45</v>
      </c>
      <c r="AX14" s="4">
        <v>3.45</v>
      </c>
      <c r="AY14" s="4">
        <v>3.45</v>
      </c>
      <c r="AZ14" s="4">
        <v>3.45</v>
      </c>
      <c r="BA14" s="4">
        <v>3.45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1" x14ac:dyDescent="0.35">
      <c r="A15" s="8" t="s">
        <v>28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3.45</v>
      </c>
      <c r="AC15" s="4">
        <v>3.45</v>
      </c>
      <c r="AD15" s="4">
        <v>3.45</v>
      </c>
      <c r="AE15" s="4">
        <v>3.45</v>
      </c>
      <c r="AF15" s="4">
        <v>3.45</v>
      </c>
      <c r="AG15" s="4">
        <v>3.45</v>
      </c>
      <c r="AH15" s="4">
        <v>3.45</v>
      </c>
      <c r="AI15" s="4">
        <v>3.45</v>
      </c>
      <c r="AJ15" s="4">
        <v>3.45</v>
      </c>
      <c r="AK15" s="4">
        <v>3.45</v>
      </c>
      <c r="AL15" s="4">
        <v>3.45</v>
      </c>
      <c r="AM15" s="4">
        <v>3.45</v>
      </c>
      <c r="AN15" s="4">
        <v>3.45</v>
      </c>
      <c r="AO15" s="4">
        <v>3.45</v>
      </c>
      <c r="AP15" s="4">
        <v>3.45</v>
      </c>
      <c r="AQ15" s="4">
        <v>3.45</v>
      </c>
      <c r="AR15" s="4">
        <v>3.45</v>
      </c>
      <c r="AS15" s="4">
        <v>3.45</v>
      </c>
      <c r="AT15" s="4">
        <v>3.45</v>
      </c>
      <c r="AU15" s="4">
        <v>3.45</v>
      </c>
      <c r="AV15" s="4">
        <v>3.45</v>
      </c>
      <c r="AW15" s="4">
        <v>3.45</v>
      </c>
      <c r="AX15" s="4">
        <v>3.45</v>
      </c>
      <c r="AY15" s="4">
        <v>3.45</v>
      </c>
      <c r="AZ15" s="4">
        <v>3.45</v>
      </c>
      <c r="BA15" s="4">
        <v>3.45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1" x14ac:dyDescent="0.35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8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3.45</v>
      </c>
      <c r="AC17" s="4">
        <v>3.45</v>
      </c>
      <c r="AD17" s="4">
        <v>3.45</v>
      </c>
      <c r="AE17" s="4">
        <v>3.45</v>
      </c>
      <c r="AF17" s="4">
        <v>3.45</v>
      </c>
      <c r="AG17" s="4">
        <v>3.45</v>
      </c>
      <c r="AH17" s="4">
        <v>3.45</v>
      </c>
      <c r="AI17" s="4">
        <v>3.45</v>
      </c>
      <c r="AJ17" s="4">
        <v>3.45</v>
      </c>
      <c r="AK17" s="4">
        <v>3.45</v>
      </c>
      <c r="AL17" s="4">
        <v>3.45</v>
      </c>
      <c r="AM17" s="4">
        <v>3.45</v>
      </c>
      <c r="AN17" s="4">
        <v>3.45</v>
      </c>
      <c r="AO17" s="4">
        <v>3.45</v>
      </c>
      <c r="AP17" s="4">
        <v>3.45</v>
      </c>
      <c r="AQ17" s="4">
        <v>3.45</v>
      </c>
      <c r="AR17" s="4">
        <v>3.45</v>
      </c>
      <c r="AS17" s="4">
        <v>3.45</v>
      </c>
      <c r="AT17" s="4">
        <v>3.45</v>
      </c>
      <c r="AU17" s="4">
        <v>3.45</v>
      </c>
      <c r="AV17" s="4">
        <v>3.45</v>
      </c>
      <c r="AW17" s="4">
        <v>3.45</v>
      </c>
      <c r="AX17" s="4">
        <v>3.45</v>
      </c>
      <c r="AY17" s="4">
        <v>3.45</v>
      </c>
      <c r="AZ17" s="4">
        <v>3.45</v>
      </c>
      <c r="BA17" s="4">
        <v>3.45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35">
      <c r="A18" s="8" t="s">
        <v>27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3.45</v>
      </c>
      <c r="AC18" s="4">
        <v>3.45</v>
      </c>
      <c r="AD18" s="4">
        <v>3.45</v>
      </c>
      <c r="AE18" s="4">
        <v>3.45</v>
      </c>
      <c r="AF18" s="4">
        <v>3.45</v>
      </c>
      <c r="AG18" s="4">
        <v>3.45</v>
      </c>
      <c r="AH18" s="4">
        <v>3.45</v>
      </c>
      <c r="AI18" s="4">
        <v>3.45</v>
      </c>
      <c r="AJ18" s="4">
        <v>3.45</v>
      </c>
      <c r="AK18" s="4">
        <v>3.45</v>
      </c>
      <c r="AL18" s="4">
        <v>3.45</v>
      </c>
      <c r="AM18" s="4">
        <v>3.45</v>
      </c>
      <c r="AN18" s="4">
        <v>3.45</v>
      </c>
      <c r="AO18" s="4">
        <v>3.45</v>
      </c>
      <c r="AP18" s="4">
        <v>3.45</v>
      </c>
      <c r="AQ18" s="4">
        <v>3.45</v>
      </c>
      <c r="AR18" s="4">
        <v>3.45</v>
      </c>
      <c r="AS18" s="4">
        <v>3.45</v>
      </c>
      <c r="AT18" s="4">
        <v>3.45</v>
      </c>
      <c r="AU18" s="4">
        <v>3.45</v>
      </c>
      <c r="AV18" s="4">
        <v>3.45</v>
      </c>
      <c r="AW18" s="4">
        <v>3.45</v>
      </c>
      <c r="AX18" s="4">
        <v>3.45</v>
      </c>
      <c r="AY18" s="4">
        <v>3.45</v>
      </c>
      <c r="AZ18" s="4">
        <v>3.45</v>
      </c>
      <c r="BA18" s="4">
        <v>3.45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35">
      <c r="A19" s="8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3.45</v>
      </c>
      <c r="AC19" s="4">
        <v>3.45</v>
      </c>
      <c r="AD19" s="4">
        <v>3.45</v>
      </c>
      <c r="AE19" s="4">
        <v>3.45</v>
      </c>
      <c r="AF19" s="4">
        <v>3.45</v>
      </c>
      <c r="AG19" s="4">
        <v>3.45</v>
      </c>
      <c r="AH19" s="4">
        <v>3.45</v>
      </c>
      <c r="AI19" s="4">
        <v>3.45</v>
      </c>
      <c r="AJ19" s="4">
        <v>3.45</v>
      </c>
      <c r="AK19" s="4">
        <v>3.45</v>
      </c>
      <c r="AL19" s="4">
        <v>3.45</v>
      </c>
      <c r="AM19" s="4">
        <v>3.45</v>
      </c>
      <c r="AN19" s="4">
        <v>3.45</v>
      </c>
      <c r="AO19" s="4">
        <v>3.45</v>
      </c>
      <c r="AP19" s="4">
        <v>3.45</v>
      </c>
      <c r="AQ19" s="4">
        <v>3.45</v>
      </c>
      <c r="AR19" s="4">
        <v>3.45</v>
      </c>
      <c r="AS19" s="4">
        <v>3.45</v>
      </c>
      <c r="AT19" s="4">
        <v>3.45</v>
      </c>
      <c r="AU19" s="4">
        <v>3.45</v>
      </c>
      <c r="AV19" s="4">
        <v>3.45</v>
      </c>
      <c r="AW19" s="4">
        <v>3.45</v>
      </c>
      <c r="AX19" s="4">
        <v>3.45</v>
      </c>
      <c r="AY19" s="4">
        <v>3.45</v>
      </c>
      <c r="AZ19" s="4">
        <v>3.45</v>
      </c>
      <c r="BA19" s="4">
        <v>3.45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35">
      <c r="A20" s="7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8" t="s">
        <v>26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3.45</v>
      </c>
      <c r="AC21" s="4">
        <v>3.45</v>
      </c>
      <c r="AD21" s="4">
        <v>3.45</v>
      </c>
      <c r="AE21" s="4">
        <v>3.45</v>
      </c>
      <c r="AF21" s="4">
        <v>3.45</v>
      </c>
      <c r="AG21" s="4">
        <v>3.45</v>
      </c>
      <c r="AH21" s="4">
        <v>3.45</v>
      </c>
      <c r="AI21" s="4">
        <v>3.45</v>
      </c>
      <c r="AJ21" s="4">
        <v>3.45</v>
      </c>
      <c r="AK21" s="4">
        <v>3.45</v>
      </c>
      <c r="AL21" s="4">
        <v>3.45</v>
      </c>
      <c r="AM21" s="4">
        <v>3.45</v>
      </c>
      <c r="AN21" s="4">
        <v>3.45</v>
      </c>
      <c r="AO21" s="4">
        <v>3.45</v>
      </c>
      <c r="AP21" s="4">
        <v>3.45</v>
      </c>
      <c r="AQ21" s="4">
        <v>3.45</v>
      </c>
      <c r="AR21" s="4">
        <v>3.45</v>
      </c>
      <c r="AS21" s="4">
        <v>3.45</v>
      </c>
      <c r="AT21" s="4">
        <v>3.45</v>
      </c>
      <c r="AU21" s="4">
        <v>3.45</v>
      </c>
      <c r="AV21" s="4">
        <v>3.45</v>
      </c>
      <c r="AW21" s="4">
        <v>3.45</v>
      </c>
      <c r="AX21" s="4">
        <v>3.45</v>
      </c>
      <c r="AY21" s="4">
        <v>3.45</v>
      </c>
      <c r="AZ21" s="4">
        <v>3.45</v>
      </c>
      <c r="BA21" s="4">
        <v>3.45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</row>
    <row r="22" spans="1:60" x14ac:dyDescent="0.35">
      <c r="A22" s="7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8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1.33</v>
      </c>
      <c r="Z23" s="4">
        <v>1.33</v>
      </c>
      <c r="AA23" s="4">
        <v>2.33</v>
      </c>
      <c r="AB23" s="4">
        <v>5.78</v>
      </c>
      <c r="AC23" s="4">
        <v>5.78</v>
      </c>
      <c r="AD23" s="4">
        <v>5.78</v>
      </c>
      <c r="AE23" s="4">
        <v>5.78</v>
      </c>
      <c r="AF23" s="4">
        <v>5.78</v>
      </c>
      <c r="AG23" s="4">
        <v>5.78</v>
      </c>
      <c r="AH23" s="4">
        <v>5.78</v>
      </c>
      <c r="AI23" s="4">
        <v>5.78</v>
      </c>
      <c r="AJ23" s="4">
        <v>5.78</v>
      </c>
      <c r="AK23" s="4">
        <v>5.78</v>
      </c>
      <c r="AL23" s="4">
        <v>5.78</v>
      </c>
      <c r="AM23" s="4">
        <v>5.78</v>
      </c>
      <c r="AN23" s="4">
        <v>5.78</v>
      </c>
      <c r="AO23" s="4">
        <v>5.78</v>
      </c>
      <c r="AP23" s="4">
        <v>5.78</v>
      </c>
      <c r="AQ23" s="4">
        <v>5.78</v>
      </c>
      <c r="AR23" s="4">
        <v>5.78</v>
      </c>
      <c r="AS23" s="4">
        <v>5.78</v>
      </c>
      <c r="AT23" s="4">
        <v>5.78</v>
      </c>
      <c r="AU23" s="4">
        <v>5.78</v>
      </c>
      <c r="AV23" s="4">
        <v>5.78</v>
      </c>
      <c r="AW23" s="4">
        <v>5.78</v>
      </c>
      <c r="AX23" s="4">
        <v>5.78</v>
      </c>
      <c r="AY23" s="4">
        <v>5.78</v>
      </c>
      <c r="AZ23" s="4">
        <v>5.78</v>
      </c>
      <c r="BA23" s="4">
        <v>5.78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</row>
    <row r="24" spans="1:60" x14ac:dyDescent="0.35">
      <c r="A24" s="8" t="s">
        <v>27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1.33</v>
      </c>
      <c r="Z24" s="4">
        <v>1.33</v>
      </c>
      <c r="AA24" s="4">
        <v>2.33</v>
      </c>
      <c r="AB24" s="4">
        <v>4.78</v>
      </c>
      <c r="AC24" s="4">
        <v>4.78</v>
      </c>
      <c r="AD24" s="4">
        <v>4.78</v>
      </c>
      <c r="AE24" s="4">
        <v>4.78</v>
      </c>
      <c r="AF24" s="4">
        <v>4.78</v>
      </c>
      <c r="AG24" s="4">
        <v>4.78</v>
      </c>
      <c r="AH24" s="4">
        <v>4.78</v>
      </c>
      <c r="AI24" s="4">
        <v>4.78</v>
      </c>
      <c r="AJ24" s="4">
        <v>4.78</v>
      </c>
      <c r="AK24" s="4">
        <v>4.78</v>
      </c>
      <c r="AL24" s="4">
        <v>4.78</v>
      </c>
      <c r="AM24" s="4">
        <v>4.78</v>
      </c>
      <c r="AN24" s="4">
        <v>4.78</v>
      </c>
      <c r="AO24" s="4">
        <v>4.78</v>
      </c>
      <c r="AP24" s="4">
        <v>4.78</v>
      </c>
      <c r="AQ24" s="4">
        <v>4.78</v>
      </c>
      <c r="AR24" s="4">
        <v>4.78</v>
      </c>
      <c r="AS24" s="4">
        <v>4.78</v>
      </c>
      <c r="AT24" s="4">
        <v>4.78</v>
      </c>
      <c r="AU24" s="4">
        <v>4.78</v>
      </c>
      <c r="AV24" s="4">
        <v>4.78</v>
      </c>
      <c r="AW24" s="4">
        <v>4.78</v>
      </c>
      <c r="AX24" s="4">
        <v>4.78</v>
      </c>
      <c r="AY24" s="4">
        <v>4.78</v>
      </c>
      <c r="AZ24" s="4">
        <v>4.78</v>
      </c>
      <c r="BA24" s="4">
        <v>4.78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35">
      <c r="A25" s="8" t="s">
        <v>28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1.33</v>
      </c>
      <c r="Z25" s="4">
        <v>1.33</v>
      </c>
      <c r="AA25" s="4">
        <v>2.33</v>
      </c>
      <c r="AB25" s="4">
        <v>4.78</v>
      </c>
      <c r="AC25" s="4">
        <v>4.78</v>
      </c>
      <c r="AD25" s="4">
        <v>4.78</v>
      </c>
      <c r="AE25" s="4">
        <v>4.78</v>
      </c>
      <c r="AF25" s="4">
        <v>4.78</v>
      </c>
      <c r="AG25" s="4">
        <v>4.78</v>
      </c>
      <c r="AH25" s="4">
        <v>4.78</v>
      </c>
      <c r="AI25" s="4">
        <v>4.78</v>
      </c>
      <c r="AJ25" s="4">
        <v>4.78</v>
      </c>
      <c r="AK25" s="4">
        <v>4.78</v>
      </c>
      <c r="AL25" s="4">
        <v>4.78</v>
      </c>
      <c r="AM25" s="4">
        <v>4.78</v>
      </c>
      <c r="AN25" s="4">
        <v>4.78</v>
      </c>
      <c r="AO25" s="4">
        <v>4.78</v>
      </c>
      <c r="AP25" s="4">
        <v>4.78</v>
      </c>
      <c r="AQ25" s="4">
        <v>4.78</v>
      </c>
      <c r="AR25" s="4">
        <v>4.78</v>
      </c>
      <c r="AS25" s="4">
        <v>4.78</v>
      </c>
      <c r="AT25" s="4">
        <v>4.78</v>
      </c>
      <c r="AU25" s="4">
        <v>4.78</v>
      </c>
      <c r="AV25" s="4">
        <v>4.78</v>
      </c>
      <c r="AW25" s="4">
        <v>4.78</v>
      </c>
      <c r="AX25" s="4">
        <v>4.78</v>
      </c>
      <c r="AY25" s="4">
        <v>4.78</v>
      </c>
      <c r="AZ25" s="4">
        <v>4.78</v>
      </c>
      <c r="BA25" s="4">
        <v>4.78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9" spans="1:60" x14ac:dyDescent="0.35">
      <c r="A29" s="7" t="s">
        <v>34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idden="1" x14ac:dyDescent="0.35">
      <c r="A30" s="7" t="s">
        <v>35</v>
      </c>
      <c r="B30" s="54">
        <v>1</v>
      </c>
      <c r="C30" s="54">
        <v>2</v>
      </c>
      <c r="D30" s="54">
        <v>3</v>
      </c>
      <c r="E30" s="54">
        <v>4</v>
      </c>
      <c r="F30" s="54">
        <v>5</v>
      </c>
      <c r="G30" s="54">
        <v>6</v>
      </c>
      <c r="H30" s="54">
        <v>7</v>
      </c>
      <c r="I30" s="54">
        <v>8</v>
      </c>
      <c r="J30" s="54">
        <v>9</v>
      </c>
      <c r="K30" s="54">
        <v>10</v>
      </c>
      <c r="L30" s="54">
        <v>11</v>
      </c>
      <c r="M30" s="54">
        <v>12</v>
      </c>
      <c r="N30" s="54">
        <v>13</v>
      </c>
      <c r="O30" s="54">
        <v>14</v>
      </c>
      <c r="P30" s="54">
        <v>15</v>
      </c>
      <c r="Q30" s="54">
        <v>16</v>
      </c>
      <c r="R30" s="54">
        <v>17</v>
      </c>
      <c r="S30" s="54">
        <v>18</v>
      </c>
      <c r="T30" s="54">
        <v>19</v>
      </c>
      <c r="U30" s="54">
        <v>20</v>
      </c>
      <c r="V30" s="54">
        <v>21</v>
      </c>
      <c r="W30" s="54">
        <v>22</v>
      </c>
      <c r="X30" s="54">
        <v>23</v>
      </c>
      <c r="Y30" s="54">
        <v>24</v>
      </c>
      <c r="Z30" s="54">
        <v>25</v>
      </c>
      <c r="AA30" s="54">
        <v>26</v>
      </c>
      <c r="AB30" s="54">
        <v>27</v>
      </c>
      <c r="AC30" s="54">
        <v>28</v>
      </c>
      <c r="AD30" s="54">
        <v>29</v>
      </c>
      <c r="AE30" s="54">
        <v>30</v>
      </c>
      <c r="AF30" s="54">
        <v>31</v>
      </c>
      <c r="AG30" s="54">
        <v>32</v>
      </c>
      <c r="AH30" s="54">
        <v>33</v>
      </c>
      <c r="AI30" s="54">
        <v>34</v>
      </c>
      <c r="AJ30" s="54">
        <v>35</v>
      </c>
      <c r="AK30" s="54">
        <v>36</v>
      </c>
      <c r="AL30" s="54">
        <v>37</v>
      </c>
      <c r="AM30" s="54">
        <v>38</v>
      </c>
      <c r="AN30" s="54">
        <v>39</v>
      </c>
      <c r="AO30" s="54">
        <v>40</v>
      </c>
      <c r="AP30" s="54">
        <v>41</v>
      </c>
      <c r="AQ30" s="54">
        <v>42</v>
      </c>
      <c r="AR30" s="54">
        <v>43</v>
      </c>
      <c r="AS30" s="54">
        <v>44</v>
      </c>
      <c r="AT30" s="54">
        <v>45</v>
      </c>
      <c r="AU30" s="54">
        <v>46</v>
      </c>
      <c r="AV30" s="54">
        <v>47</v>
      </c>
      <c r="AW30" s="54">
        <v>48</v>
      </c>
      <c r="AX30" s="54">
        <v>49</v>
      </c>
      <c r="AY30" s="54">
        <v>50</v>
      </c>
      <c r="AZ30" s="54">
        <v>51</v>
      </c>
      <c r="BA30" s="54">
        <v>52</v>
      </c>
      <c r="BB30" s="54"/>
      <c r="BC30" s="54"/>
      <c r="BD30" s="54"/>
      <c r="BE30" s="54"/>
      <c r="BF30" s="54"/>
      <c r="BG30" s="54"/>
      <c r="BH30" s="54"/>
    </row>
    <row r="31" spans="1:60" hidden="1" x14ac:dyDescent="0.35">
      <c r="A31" s="8" t="s">
        <v>26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98"/>
      <c r="BC31" s="98"/>
      <c r="BD31" s="98"/>
      <c r="BE31" s="98"/>
      <c r="BF31" s="98"/>
      <c r="BG31" s="98"/>
      <c r="BH31" s="111"/>
    </row>
    <row r="32" spans="1:60" hidden="1" x14ac:dyDescent="0.35">
      <c r="A32" s="8" t="s">
        <v>27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98"/>
      <c r="BC32" s="98"/>
      <c r="BD32" s="98"/>
      <c r="BE32" s="98"/>
      <c r="BF32" s="98"/>
      <c r="BG32" s="98"/>
      <c r="BH32" s="111"/>
    </row>
    <row r="33" spans="1:60" hidden="1" x14ac:dyDescent="0.35">
      <c r="A33" s="8" t="s">
        <v>28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98"/>
      <c r="BC33" s="98"/>
      <c r="BD33" s="98"/>
      <c r="BE33" s="98"/>
      <c r="BF33" s="98"/>
      <c r="BG33" s="98"/>
      <c r="BH33" s="111"/>
    </row>
    <row r="34" spans="1:60" x14ac:dyDescent="0.35">
      <c r="A34" s="7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x14ac:dyDescent="0.35">
      <c r="A35" s="8" t="s">
        <v>26</v>
      </c>
      <c r="B35" s="5">
        <f>1-(B5/B1)</f>
        <v>1</v>
      </c>
      <c r="C35" s="5">
        <f t="shared" ref="C35:BA35" si="25">1-(C5/C1)</f>
        <v>1</v>
      </c>
      <c r="D35" s="5">
        <f t="shared" si="25"/>
        <v>1</v>
      </c>
      <c r="E35" s="5">
        <f t="shared" si="25"/>
        <v>1</v>
      </c>
      <c r="F35" s="5">
        <f t="shared" si="25"/>
        <v>1</v>
      </c>
      <c r="G35" s="5">
        <f t="shared" si="25"/>
        <v>1</v>
      </c>
      <c r="H35" s="5">
        <f t="shared" si="25"/>
        <v>1</v>
      </c>
      <c r="I35" s="5">
        <f t="shared" si="25"/>
        <v>1</v>
      </c>
      <c r="J35" s="5">
        <f t="shared" si="25"/>
        <v>1</v>
      </c>
      <c r="K35" s="5">
        <f t="shared" si="25"/>
        <v>1</v>
      </c>
      <c r="L35" s="5">
        <f t="shared" si="25"/>
        <v>1</v>
      </c>
      <c r="M35" s="5">
        <f t="shared" si="25"/>
        <v>1</v>
      </c>
      <c r="N35" s="5">
        <f t="shared" si="25"/>
        <v>1</v>
      </c>
      <c r="O35" s="5">
        <f t="shared" si="25"/>
        <v>1</v>
      </c>
      <c r="P35" s="5">
        <f t="shared" si="25"/>
        <v>1</v>
      </c>
      <c r="Q35" s="5">
        <f t="shared" si="25"/>
        <v>1</v>
      </c>
      <c r="R35" s="5">
        <f t="shared" si="25"/>
        <v>1</v>
      </c>
      <c r="S35" s="5">
        <f t="shared" si="25"/>
        <v>1</v>
      </c>
      <c r="T35" s="5">
        <f t="shared" si="25"/>
        <v>1</v>
      </c>
      <c r="U35" s="5">
        <f t="shared" si="25"/>
        <v>1</v>
      </c>
      <c r="V35" s="5">
        <f t="shared" si="25"/>
        <v>1</v>
      </c>
      <c r="W35" s="5">
        <f t="shared" si="25"/>
        <v>1</v>
      </c>
      <c r="X35" s="5">
        <f t="shared" si="25"/>
        <v>1</v>
      </c>
      <c r="Y35" s="5">
        <f t="shared" si="25"/>
        <v>1</v>
      </c>
      <c r="Z35" s="5">
        <f t="shared" si="25"/>
        <v>1</v>
      </c>
      <c r="AA35" s="5">
        <f t="shared" si="25"/>
        <v>1</v>
      </c>
      <c r="AB35" s="5">
        <f t="shared" si="25"/>
        <v>0.99922297297297302</v>
      </c>
      <c r="AC35" s="5">
        <f t="shared" si="25"/>
        <v>0.99925130208333335</v>
      </c>
      <c r="AD35" s="5">
        <f t="shared" si="25"/>
        <v>0.99927763819095472</v>
      </c>
      <c r="AE35" s="5">
        <f t="shared" si="25"/>
        <v>0.99930218446601937</v>
      </c>
      <c r="AF35" s="5">
        <f t="shared" si="25"/>
        <v>0.99932511737089202</v>
      </c>
      <c r="AG35" s="5">
        <f t="shared" si="25"/>
        <v>0.99934659090909095</v>
      </c>
      <c r="AH35" s="5">
        <f t="shared" si="25"/>
        <v>0.99936674008810578</v>
      </c>
      <c r="AI35" s="5">
        <f t="shared" si="25"/>
        <v>0.99938568376068371</v>
      </c>
      <c r="AJ35" s="5">
        <f t="shared" si="25"/>
        <v>0.99940352697095436</v>
      </c>
      <c r="AK35" s="5">
        <f t="shared" si="25"/>
        <v>0.99942036290322578</v>
      </c>
      <c r="AL35" s="5">
        <f t="shared" si="25"/>
        <v>0.99943627450980388</v>
      </c>
      <c r="AM35" s="5">
        <f t="shared" si="25"/>
        <v>0.99945133587786261</v>
      </c>
      <c r="AN35" s="5">
        <f t="shared" si="25"/>
        <v>0.99946561338289963</v>
      </c>
      <c r="AO35" s="5">
        <f t="shared" si="25"/>
        <v>0.9994791666666667</v>
      </c>
      <c r="AP35" s="5">
        <f t="shared" si="25"/>
        <v>0.99949204946996462</v>
      </c>
      <c r="AQ35" s="5">
        <f t="shared" si="25"/>
        <v>0.99950431034482756</v>
      </c>
      <c r="AR35" s="5">
        <f t="shared" si="25"/>
        <v>0.99951599326599327</v>
      </c>
      <c r="AS35" s="5">
        <f t="shared" si="25"/>
        <v>0.99952713815789473</v>
      </c>
      <c r="AT35" s="5">
        <f t="shared" si="25"/>
        <v>0.99953778135048232</v>
      </c>
      <c r="AU35" s="5">
        <f t="shared" si="25"/>
        <v>0.99954795597484281</v>
      </c>
      <c r="AV35" s="5">
        <f t="shared" si="25"/>
        <v>0.99955769230769231</v>
      </c>
      <c r="AW35" s="5">
        <f t="shared" si="25"/>
        <v>0.9995670180722892</v>
      </c>
      <c r="AX35" s="5">
        <f t="shared" si="25"/>
        <v>0.99957595870206495</v>
      </c>
      <c r="AY35" s="5">
        <f t="shared" si="25"/>
        <v>0.99958453757225429</v>
      </c>
      <c r="AZ35" s="5">
        <f t="shared" si="25"/>
        <v>0.99959277620396603</v>
      </c>
      <c r="BA35" s="5">
        <f t="shared" si="25"/>
        <v>0.99960069444444444</v>
      </c>
      <c r="BB35" s="5">
        <f t="shared" ref="BB35:BG35" si="26">1-(BB5/BB1)</f>
        <v>1</v>
      </c>
      <c r="BC35" s="5">
        <f t="shared" si="26"/>
        <v>1</v>
      </c>
      <c r="BD35" s="5">
        <f t="shared" si="26"/>
        <v>1</v>
      </c>
      <c r="BE35" s="5">
        <f t="shared" si="26"/>
        <v>1</v>
      </c>
      <c r="BF35" s="5">
        <f t="shared" si="26"/>
        <v>1</v>
      </c>
      <c r="BG35" s="5">
        <f t="shared" si="26"/>
        <v>1</v>
      </c>
      <c r="BH35" s="5">
        <f>1-(BH5/BH1)</f>
        <v>1</v>
      </c>
    </row>
    <row r="36" spans="1:60" x14ac:dyDescent="0.35">
      <c r="A36" s="8" t="s">
        <v>27</v>
      </c>
      <c r="B36" s="5">
        <f>1-(B6/B1)</f>
        <v>1</v>
      </c>
      <c r="C36" s="5">
        <f t="shared" ref="C36:BA36" si="27">1-(C6/C1)</f>
        <v>1</v>
      </c>
      <c r="D36" s="5">
        <f t="shared" si="27"/>
        <v>1</v>
      </c>
      <c r="E36" s="5">
        <f t="shared" si="27"/>
        <v>1</v>
      </c>
      <c r="F36" s="5">
        <f t="shared" si="27"/>
        <v>1</v>
      </c>
      <c r="G36" s="5">
        <f t="shared" si="27"/>
        <v>1</v>
      </c>
      <c r="H36" s="5">
        <f t="shared" si="27"/>
        <v>1</v>
      </c>
      <c r="I36" s="5">
        <f t="shared" si="27"/>
        <v>1</v>
      </c>
      <c r="J36" s="5">
        <f t="shared" si="27"/>
        <v>1</v>
      </c>
      <c r="K36" s="5">
        <f t="shared" si="27"/>
        <v>1</v>
      </c>
      <c r="L36" s="5">
        <f t="shared" si="27"/>
        <v>1</v>
      </c>
      <c r="M36" s="5">
        <f t="shared" si="27"/>
        <v>1</v>
      </c>
      <c r="N36" s="5">
        <f t="shared" si="27"/>
        <v>1</v>
      </c>
      <c r="O36" s="5">
        <f t="shared" si="27"/>
        <v>1</v>
      </c>
      <c r="P36" s="5">
        <f t="shared" si="27"/>
        <v>1</v>
      </c>
      <c r="Q36" s="5">
        <f t="shared" si="27"/>
        <v>1</v>
      </c>
      <c r="R36" s="5">
        <f t="shared" si="27"/>
        <v>1</v>
      </c>
      <c r="S36" s="5">
        <f t="shared" si="27"/>
        <v>1</v>
      </c>
      <c r="T36" s="5">
        <f t="shared" si="27"/>
        <v>1</v>
      </c>
      <c r="U36" s="5">
        <f t="shared" si="27"/>
        <v>1</v>
      </c>
      <c r="V36" s="5">
        <f t="shared" si="27"/>
        <v>1</v>
      </c>
      <c r="W36" s="5">
        <f t="shared" si="27"/>
        <v>1</v>
      </c>
      <c r="X36" s="5">
        <f t="shared" si="27"/>
        <v>1</v>
      </c>
      <c r="Y36" s="5">
        <f t="shared" si="27"/>
        <v>1</v>
      </c>
      <c r="Z36" s="5">
        <f t="shared" si="27"/>
        <v>1</v>
      </c>
      <c r="AA36" s="5">
        <f t="shared" si="27"/>
        <v>1</v>
      </c>
      <c r="AB36" s="5">
        <f t="shared" si="27"/>
        <v>0.99922297297297302</v>
      </c>
      <c r="AC36" s="5">
        <f t="shared" si="27"/>
        <v>0.99925130208333335</v>
      </c>
      <c r="AD36" s="5">
        <f t="shared" si="27"/>
        <v>0.99927763819095472</v>
      </c>
      <c r="AE36" s="5">
        <f t="shared" si="27"/>
        <v>0.99930218446601937</v>
      </c>
      <c r="AF36" s="5">
        <f t="shared" si="27"/>
        <v>0.99932511737089202</v>
      </c>
      <c r="AG36" s="5">
        <f t="shared" si="27"/>
        <v>0.99934659090909095</v>
      </c>
      <c r="AH36" s="5">
        <f t="shared" si="27"/>
        <v>0.99936674008810578</v>
      </c>
      <c r="AI36" s="5">
        <f t="shared" si="27"/>
        <v>0.99938568376068371</v>
      </c>
      <c r="AJ36" s="5">
        <f t="shared" si="27"/>
        <v>0.99940352697095436</v>
      </c>
      <c r="AK36" s="5">
        <f t="shared" si="27"/>
        <v>0.99942036290322578</v>
      </c>
      <c r="AL36" s="5">
        <f t="shared" si="27"/>
        <v>0.99943627450980388</v>
      </c>
      <c r="AM36" s="5">
        <f t="shared" si="27"/>
        <v>0.99945133587786261</v>
      </c>
      <c r="AN36" s="5">
        <f t="shared" si="27"/>
        <v>0.99946561338289963</v>
      </c>
      <c r="AO36" s="5">
        <f t="shared" si="27"/>
        <v>0.9994791666666667</v>
      </c>
      <c r="AP36" s="5">
        <f t="shared" si="27"/>
        <v>0.99949204946996462</v>
      </c>
      <c r="AQ36" s="5">
        <f t="shared" si="27"/>
        <v>0.99950431034482756</v>
      </c>
      <c r="AR36" s="5">
        <f t="shared" si="27"/>
        <v>0.99951599326599327</v>
      </c>
      <c r="AS36" s="5">
        <f t="shared" si="27"/>
        <v>0.99952713815789473</v>
      </c>
      <c r="AT36" s="5">
        <f t="shared" si="27"/>
        <v>0.99953778135048232</v>
      </c>
      <c r="AU36" s="5">
        <f t="shared" si="27"/>
        <v>0.99954795597484281</v>
      </c>
      <c r="AV36" s="5">
        <f t="shared" si="27"/>
        <v>0.99955769230769231</v>
      </c>
      <c r="AW36" s="5">
        <f t="shared" si="27"/>
        <v>0.9995670180722892</v>
      </c>
      <c r="AX36" s="5">
        <f t="shared" si="27"/>
        <v>0.99957595870206495</v>
      </c>
      <c r="AY36" s="5">
        <f t="shared" si="27"/>
        <v>0.99958453757225429</v>
      </c>
      <c r="AZ36" s="5">
        <f t="shared" si="27"/>
        <v>0.99959277620396603</v>
      </c>
      <c r="BA36" s="5">
        <f t="shared" si="27"/>
        <v>0.99960069444444444</v>
      </c>
      <c r="BB36" s="5">
        <f t="shared" ref="BB36:BG36" si="28">1-(BB6/BB1)</f>
        <v>1</v>
      </c>
      <c r="BC36" s="5">
        <f t="shared" si="28"/>
        <v>1</v>
      </c>
      <c r="BD36" s="5">
        <f t="shared" si="28"/>
        <v>1</v>
      </c>
      <c r="BE36" s="5">
        <f t="shared" si="28"/>
        <v>1</v>
      </c>
      <c r="BF36" s="5">
        <f t="shared" si="28"/>
        <v>1</v>
      </c>
      <c r="BG36" s="5">
        <f t="shared" si="28"/>
        <v>1</v>
      </c>
      <c r="BH36" s="5">
        <f>1-(BH6/BH1)</f>
        <v>1</v>
      </c>
    </row>
    <row r="37" spans="1:60" x14ac:dyDescent="0.35">
      <c r="A37" s="8" t="s">
        <v>28</v>
      </c>
      <c r="B37" s="5">
        <f>1-(B7/B1)</f>
        <v>1</v>
      </c>
      <c r="C37" s="5">
        <f t="shared" ref="C37:BA37" si="29">1-(C7/C1)</f>
        <v>1</v>
      </c>
      <c r="D37" s="5">
        <f t="shared" si="29"/>
        <v>1</v>
      </c>
      <c r="E37" s="5">
        <f t="shared" si="29"/>
        <v>1</v>
      </c>
      <c r="F37" s="5">
        <f t="shared" si="29"/>
        <v>1</v>
      </c>
      <c r="G37" s="5">
        <f t="shared" si="29"/>
        <v>1</v>
      </c>
      <c r="H37" s="5">
        <f t="shared" si="29"/>
        <v>1</v>
      </c>
      <c r="I37" s="5">
        <f t="shared" si="29"/>
        <v>1</v>
      </c>
      <c r="J37" s="5">
        <f t="shared" si="29"/>
        <v>1</v>
      </c>
      <c r="K37" s="5">
        <f t="shared" si="29"/>
        <v>1</v>
      </c>
      <c r="L37" s="5">
        <f t="shared" si="29"/>
        <v>1</v>
      </c>
      <c r="M37" s="5">
        <f t="shared" si="29"/>
        <v>1</v>
      </c>
      <c r="N37" s="5">
        <f t="shared" si="29"/>
        <v>1</v>
      </c>
      <c r="O37" s="5">
        <f t="shared" si="29"/>
        <v>1</v>
      </c>
      <c r="P37" s="5">
        <f t="shared" si="29"/>
        <v>1</v>
      </c>
      <c r="Q37" s="5">
        <f t="shared" si="29"/>
        <v>1</v>
      </c>
      <c r="R37" s="5">
        <f t="shared" si="29"/>
        <v>1</v>
      </c>
      <c r="S37" s="5">
        <f t="shared" si="29"/>
        <v>1</v>
      </c>
      <c r="T37" s="5">
        <f t="shared" si="29"/>
        <v>1</v>
      </c>
      <c r="U37" s="5">
        <f t="shared" si="29"/>
        <v>1</v>
      </c>
      <c r="V37" s="5">
        <f t="shared" si="29"/>
        <v>1</v>
      </c>
      <c r="W37" s="5">
        <f t="shared" si="29"/>
        <v>1</v>
      </c>
      <c r="X37" s="5">
        <f t="shared" si="29"/>
        <v>1</v>
      </c>
      <c r="Y37" s="5">
        <f t="shared" si="29"/>
        <v>1</v>
      </c>
      <c r="Z37" s="5">
        <f t="shared" si="29"/>
        <v>1</v>
      </c>
      <c r="AA37" s="5">
        <f t="shared" si="29"/>
        <v>1</v>
      </c>
      <c r="AB37" s="5">
        <f t="shared" si="29"/>
        <v>0.99922297297297302</v>
      </c>
      <c r="AC37" s="5">
        <f t="shared" si="29"/>
        <v>0.99925130208333335</v>
      </c>
      <c r="AD37" s="5">
        <f t="shared" si="29"/>
        <v>0.99927763819095472</v>
      </c>
      <c r="AE37" s="5">
        <f t="shared" si="29"/>
        <v>0.99930218446601937</v>
      </c>
      <c r="AF37" s="5">
        <f t="shared" si="29"/>
        <v>0.99932511737089202</v>
      </c>
      <c r="AG37" s="5">
        <f t="shared" si="29"/>
        <v>0.99934659090909095</v>
      </c>
      <c r="AH37" s="5">
        <f t="shared" si="29"/>
        <v>0.99936674008810578</v>
      </c>
      <c r="AI37" s="5">
        <f t="shared" si="29"/>
        <v>0.99938568376068371</v>
      </c>
      <c r="AJ37" s="5">
        <f t="shared" si="29"/>
        <v>0.99940352697095436</v>
      </c>
      <c r="AK37" s="5">
        <f t="shared" si="29"/>
        <v>0.99942036290322578</v>
      </c>
      <c r="AL37" s="5">
        <f t="shared" si="29"/>
        <v>0.99943627450980388</v>
      </c>
      <c r="AM37" s="5">
        <f t="shared" si="29"/>
        <v>0.99945133587786261</v>
      </c>
      <c r="AN37" s="5">
        <f t="shared" si="29"/>
        <v>0.99946561338289963</v>
      </c>
      <c r="AO37" s="5">
        <f t="shared" si="29"/>
        <v>0.9994791666666667</v>
      </c>
      <c r="AP37" s="5">
        <f t="shared" si="29"/>
        <v>0.99949204946996462</v>
      </c>
      <c r="AQ37" s="5">
        <f t="shared" si="29"/>
        <v>0.99950431034482756</v>
      </c>
      <c r="AR37" s="5">
        <f t="shared" si="29"/>
        <v>0.99951599326599327</v>
      </c>
      <c r="AS37" s="5">
        <f t="shared" si="29"/>
        <v>0.99952713815789473</v>
      </c>
      <c r="AT37" s="5">
        <f t="shared" si="29"/>
        <v>0.99953778135048232</v>
      </c>
      <c r="AU37" s="5">
        <f t="shared" si="29"/>
        <v>0.99954795597484281</v>
      </c>
      <c r="AV37" s="5">
        <f t="shared" si="29"/>
        <v>0.99955769230769231</v>
      </c>
      <c r="AW37" s="5">
        <f t="shared" si="29"/>
        <v>0.9995670180722892</v>
      </c>
      <c r="AX37" s="5">
        <f t="shared" si="29"/>
        <v>0.99957595870206495</v>
      </c>
      <c r="AY37" s="5">
        <f t="shared" si="29"/>
        <v>0.99958453757225429</v>
      </c>
      <c r="AZ37" s="5">
        <f t="shared" si="29"/>
        <v>0.99959277620396603</v>
      </c>
      <c r="BA37" s="5">
        <f t="shared" si="29"/>
        <v>0.99960069444444444</v>
      </c>
      <c r="BB37" s="5">
        <f t="shared" ref="BB37:BG37" si="30">1-(BB7/BB1)</f>
        <v>1</v>
      </c>
      <c r="BC37" s="5">
        <f t="shared" si="30"/>
        <v>1</v>
      </c>
      <c r="BD37" s="5">
        <f t="shared" si="30"/>
        <v>1</v>
      </c>
      <c r="BE37" s="5">
        <f t="shared" si="30"/>
        <v>1</v>
      </c>
      <c r="BF37" s="5">
        <f t="shared" si="30"/>
        <v>1</v>
      </c>
      <c r="BG37" s="5">
        <f t="shared" si="30"/>
        <v>1</v>
      </c>
      <c r="BH37" s="5">
        <f>1-(BH7/BH1)</f>
        <v>1</v>
      </c>
    </row>
    <row r="38" spans="1:60" x14ac:dyDescent="0.35">
      <c r="A38" s="7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x14ac:dyDescent="0.35">
      <c r="A39" s="8" t="s">
        <v>26</v>
      </c>
      <c r="B39" s="5">
        <f>1-(B9/B1)</f>
        <v>1</v>
      </c>
      <c r="C39" s="5">
        <f t="shared" ref="C39:BA39" si="31">1-(C9/C1)</f>
        <v>1</v>
      </c>
      <c r="D39" s="5">
        <f t="shared" si="31"/>
        <v>1</v>
      </c>
      <c r="E39" s="5">
        <f t="shared" si="31"/>
        <v>1</v>
      </c>
      <c r="F39" s="5">
        <f t="shared" si="31"/>
        <v>1</v>
      </c>
      <c r="G39" s="5">
        <f t="shared" si="31"/>
        <v>1</v>
      </c>
      <c r="H39" s="5">
        <f t="shared" si="31"/>
        <v>1</v>
      </c>
      <c r="I39" s="5">
        <f t="shared" si="31"/>
        <v>1</v>
      </c>
      <c r="J39" s="5">
        <f t="shared" si="31"/>
        <v>1</v>
      </c>
      <c r="K39" s="5">
        <f t="shared" si="31"/>
        <v>1</v>
      </c>
      <c r="L39" s="5">
        <f t="shared" si="31"/>
        <v>1</v>
      </c>
      <c r="M39" s="5">
        <f t="shared" si="31"/>
        <v>1</v>
      </c>
      <c r="N39" s="5">
        <f t="shared" si="31"/>
        <v>1</v>
      </c>
      <c r="O39" s="5">
        <f t="shared" si="31"/>
        <v>1</v>
      </c>
      <c r="P39" s="5">
        <f t="shared" si="31"/>
        <v>1</v>
      </c>
      <c r="Q39" s="5">
        <f t="shared" si="31"/>
        <v>1</v>
      </c>
      <c r="R39" s="5">
        <f t="shared" si="31"/>
        <v>1</v>
      </c>
      <c r="S39" s="5">
        <f t="shared" si="31"/>
        <v>1</v>
      </c>
      <c r="T39" s="5">
        <f t="shared" si="31"/>
        <v>1</v>
      </c>
      <c r="U39" s="5">
        <f t="shared" si="31"/>
        <v>1</v>
      </c>
      <c r="V39" s="5">
        <f t="shared" si="31"/>
        <v>1</v>
      </c>
      <c r="W39" s="5">
        <f t="shared" si="31"/>
        <v>1</v>
      </c>
      <c r="X39" s="5">
        <f t="shared" si="31"/>
        <v>1</v>
      </c>
      <c r="Y39" s="5">
        <f t="shared" si="31"/>
        <v>0.99873475609756102</v>
      </c>
      <c r="Z39" s="5">
        <f t="shared" si="31"/>
        <v>0.99878654970760239</v>
      </c>
      <c r="AA39" s="5">
        <f t="shared" si="31"/>
        <v>0.99883426966292133</v>
      </c>
      <c r="AB39" s="5">
        <f t="shared" si="31"/>
        <v>0.99810135135135136</v>
      </c>
      <c r="AC39" s="5">
        <f t="shared" si="31"/>
        <v>0.99817057291666667</v>
      </c>
      <c r="AD39" s="5">
        <f t="shared" si="31"/>
        <v>0.99823492462311558</v>
      </c>
      <c r="AE39" s="5">
        <f t="shared" si="31"/>
        <v>0.99829490291262135</v>
      </c>
      <c r="AF39" s="5">
        <f t="shared" si="31"/>
        <v>0.99835093896713611</v>
      </c>
      <c r="AG39" s="5">
        <f t="shared" si="31"/>
        <v>0.99840340909090908</v>
      </c>
      <c r="AH39" s="5">
        <f t="shared" si="31"/>
        <v>0.99845264317180615</v>
      </c>
      <c r="AI39" s="5">
        <f t="shared" si="31"/>
        <v>0.99849893162393166</v>
      </c>
      <c r="AJ39" s="5">
        <f t="shared" si="31"/>
        <v>0.99854253112033198</v>
      </c>
      <c r="AK39" s="5">
        <f t="shared" si="31"/>
        <v>0.99858366935483867</v>
      </c>
      <c r="AL39" s="5">
        <f t="shared" si="31"/>
        <v>0.9986225490196079</v>
      </c>
      <c r="AM39" s="5">
        <f t="shared" si="31"/>
        <v>0.99865935114503812</v>
      </c>
      <c r="AN39" s="5">
        <f t="shared" si="31"/>
        <v>0.99869423791821565</v>
      </c>
      <c r="AO39" s="5">
        <f t="shared" si="31"/>
        <v>0.9987273550724638</v>
      </c>
      <c r="AP39" s="5">
        <f t="shared" si="31"/>
        <v>0.9987588339222615</v>
      </c>
      <c r="AQ39" s="5">
        <f t="shared" si="31"/>
        <v>0.99878879310344826</v>
      </c>
      <c r="AR39" s="5">
        <f t="shared" si="31"/>
        <v>0.99881734006734002</v>
      </c>
      <c r="AS39" s="5">
        <f t="shared" si="31"/>
        <v>0.99884457236842106</v>
      </c>
      <c r="AT39" s="5">
        <f t="shared" si="31"/>
        <v>0.99887057877813501</v>
      </c>
      <c r="AU39" s="5">
        <f t="shared" si="31"/>
        <v>0.99889544025157229</v>
      </c>
      <c r="AV39" s="5">
        <f t="shared" si="31"/>
        <v>0.99891923076923073</v>
      </c>
      <c r="AW39" s="5">
        <f t="shared" si="31"/>
        <v>0.99894201807228911</v>
      </c>
      <c r="AX39" s="5">
        <f t="shared" si="31"/>
        <v>0.99896386430678463</v>
      </c>
      <c r="AY39" s="5">
        <f t="shared" si="31"/>
        <v>0.99898482658959542</v>
      </c>
      <c r="AZ39" s="5">
        <f t="shared" si="31"/>
        <v>0.99900495750708218</v>
      </c>
      <c r="BA39" s="5">
        <f t="shared" si="31"/>
        <v>0.99902430555555555</v>
      </c>
      <c r="BB39" s="5">
        <f t="shared" ref="BB39:BG39" si="32">1-(BB9/BB1)</f>
        <v>1</v>
      </c>
      <c r="BC39" s="5">
        <f t="shared" si="32"/>
        <v>1</v>
      </c>
      <c r="BD39" s="5">
        <f t="shared" si="32"/>
        <v>1</v>
      </c>
      <c r="BE39" s="5">
        <f t="shared" si="32"/>
        <v>1</v>
      </c>
      <c r="BF39" s="5">
        <f t="shared" si="32"/>
        <v>1</v>
      </c>
      <c r="BG39" s="5">
        <f t="shared" si="32"/>
        <v>1</v>
      </c>
      <c r="BH39" s="5">
        <f>1-(BH9/BH1)</f>
        <v>1</v>
      </c>
    </row>
    <row r="40" spans="1:60" x14ac:dyDescent="0.35">
      <c r="A40" s="8" t="s">
        <v>27</v>
      </c>
      <c r="B40" s="5">
        <f>1-(B10/B1)</f>
        <v>1</v>
      </c>
      <c r="C40" s="5">
        <f t="shared" ref="C40:BA40" si="33">1-(C10/C1)</f>
        <v>1</v>
      </c>
      <c r="D40" s="5">
        <f t="shared" si="33"/>
        <v>1</v>
      </c>
      <c r="E40" s="5">
        <f t="shared" si="33"/>
        <v>1</v>
      </c>
      <c r="F40" s="5">
        <f t="shared" si="33"/>
        <v>1</v>
      </c>
      <c r="G40" s="5">
        <f t="shared" si="33"/>
        <v>1</v>
      </c>
      <c r="H40" s="5">
        <f t="shared" si="33"/>
        <v>1</v>
      </c>
      <c r="I40" s="5">
        <f t="shared" si="33"/>
        <v>1</v>
      </c>
      <c r="J40" s="5">
        <f t="shared" si="33"/>
        <v>1</v>
      </c>
      <c r="K40" s="5">
        <f t="shared" si="33"/>
        <v>1</v>
      </c>
      <c r="L40" s="5">
        <f t="shared" si="33"/>
        <v>1</v>
      </c>
      <c r="M40" s="5">
        <f t="shared" si="33"/>
        <v>1</v>
      </c>
      <c r="N40" s="5">
        <f t="shared" si="33"/>
        <v>1</v>
      </c>
      <c r="O40" s="5">
        <f t="shared" si="33"/>
        <v>1</v>
      </c>
      <c r="P40" s="5">
        <f t="shared" si="33"/>
        <v>1</v>
      </c>
      <c r="Q40" s="5">
        <f t="shared" si="33"/>
        <v>1</v>
      </c>
      <c r="R40" s="5">
        <f t="shared" si="33"/>
        <v>1</v>
      </c>
      <c r="S40" s="5">
        <f t="shared" si="33"/>
        <v>1</v>
      </c>
      <c r="T40" s="5">
        <f t="shared" si="33"/>
        <v>1</v>
      </c>
      <c r="U40" s="5">
        <f t="shared" si="33"/>
        <v>1</v>
      </c>
      <c r="V40" s="5">
        <f t="shared" si="33"/>
        <v>1</v>
      </c>
      <c r="W40" s="5">
        <f t="shared" si="33"/>
        <v>1</v>
      </c>
      <c r="X40" s="5">
        <f t="shared" si="33"/>
        <v>1</v>
      </c>
      <c r="Y40" s="5">
        <f t="shared" si="33"/>
        <v>0.99873475609756102</v>
      </c>
      <c r="Z40" s="5">
        <f t="shared" si="33"/>
        <v>0.99878654970760239</v>
      </c>
      <c r="AA40" s="5">
        <f t="shared" si="33"/>
        <v>0.99883426966292133</v>
      </c>
      <c r="AB40" s="5">
        <f t="shared" si="33"/>
        <v>0.99810135135135136</v>
      </c>
      <c r="AC40" s="5">
        <f t="shared" si="33"/>
        <v>0.99817057291666667</v>
      </c>
      <c r="AD40" s="5">
        <f t="shared" si="33"/>
        <v>0.99823492462311558</v>
      </c>
      <c r="AE40" s="5">
        <f t="shared" si="33"/>
        <v>0.99829490291262135</v>
      </c>
      <c r="AF40" s="5">
        <f t="shared" si="33"/>
        <v>0.99835093896713611</v>
      </c>
      <c r="AG40" s="5">
        <f t="shared" si="33"/>
        <v>0.99840340909090908</v>
      </c>
      <c r="AH40" s="5">
        <f t="shared" si="33"/>
        <v>0.99845264317180615</v>
      </c>
      <c r="AI40" s="5">
        <f t="shared" si="33"/>
        <v>0.99849893162393166</v>
      </c>
      <c r="AJ40" s="5">
        <f t="shared" si="33"/>
        <v>0.99854253112033198</v>
      </c>
      <c r="AK40" s="5">
        <f t="shared" si="33"/>
        <v>0.99858366935483867</v>
      </c>
      <c r="AL40" s="5">
        <f t="shared" si="33"/>
        <v>0.9986225490196079</v>
      </c>
      <c r="AM40" s="5">
        <f t="shared" si="33"/>
        <v>0.99865935114503812</v>
      </c>
      <c r="AN40" s="5">
        <f t="shared" si="33"/>
        <v>0.99869423791821565</v>
      </c>
      <c r="AO40" s="5">
        <f t="shared" si="33"/>
        <v>0.9987273550724638</v>
      </c>
      <c r="AP40" s="5">
        <f t="shared" si="33"/>
        <v>0.9987588339222615</v>
      </c>
      <c r="AQ40" s="5">
        <f t="shared" si="33"/>
        <v>0.99878879310344826</v>
      </c>
      <c r="AR40" s="5">
        <f t="shared" si="33"/>
        <v>0.99881734006734002</v>
      </c>
      <c r="AS40" s="5">
        <f t="shared" si="33"/>
        <v>0.99884457236842106</v>
      </c>
      <c r="AT40" s="5">
        <f t="shared" si="33"/>
        <v>0.99887057877813501</v>
      </c>
      <c r="AU40" s="5">
        <f t="shared" si="33"/>
        <v>0.99889544025157229</v>
      </c>
      <c r="AV40" s="5">
        <f t="shared" si="33"/>
        <v>0.99891923076923073</v>
      </c>
      <c r="AW40" s="5">
        <f t="shared" si="33"/>
        <v>0.99894201807228911</v>
      </c>
      <c r="AX40" s="5">
        <f t="shared" si="33"/>
        <v>0.99896386430678463</v>
      </c>
      <c r="AY40" s="5">
        <f t="shared" si="33"/>
        <v>0.99898482658959542</v>
      </c>
      <c r="AZ40" s="5">
        <f t="shared" si="33"/>
        <v>0.99900495750708218</v>
      </c>
      <c r="BA40" s="5">
        <f t="shared" si="33"/>
        <v>0.99902430555555555</v>
      </c>
      <c r="BB40" s="5">
        <f t="shared" ref="BB40:BG40" si="34">1-(BB10/BB1)</f>
        <v>1</v>
      </c>
      <c r="BC40" s="5">
        <f t="shared" si="34"/>
        <v>1</v>
      </c>
      <c r="BD40" s="5">
        <f t="shared" si="34"/>
        <v>1</v>
      </c>
      <c r="BE40" s="5">
        <f t="shared" si="34"/>
        <v>1</v>
      </c>
      <c r="BF40" s="5">
        <f t="shared" si="34"/>
        <v>1</v>
      </c>
      <c r="BG40" s="5">
        <f t="shared" si="34"/>
        <v>1</v>
      </c>
      <c r="BH40" s="5">
        <f>1-(BH10/BH1)</f>
        <v>1</v>
      </c>
    </row>
    <row r="41" spans="1:60" x14ac:dyDescent="0.35">
      <c r="A41" s="8" t="s">
        <v>28</v>
      </c>
      <c r="B41" s="5">
        <f>1-(B11/B1)</f>
        <v>1</v>
      </c>
      <c r="C41" s="5">
        <f t="shared" ref="C41:BA41" si="35">1-(C11/C1)</f>
        <v>1</v>
      </c>
      <c r="D41" s="5">
        <f t="shared" si="35"/>
        <v>1</v>
      </c>
      <c r="E41" s="5">
        <f t="shared" si="35"/>
        <v>1</v>
      </c>
      <c r="F41" s="5">
        <f t="shared" si="35"/>
        <v>1</v>
      </c>
      <c r="G41" s="5">
        <f t="shared" si="35"/>
        <v>1</v>
      </c>
      <c r="H41" s="5">
        <f t="shared" si="35"/>
        <v>1</v>
      </c>
      <c r="I41" s="5">
        <f t="shared" si="35"/>
        <v>1</v>
      </c>
      <c r="J41" s="5">
        <f t="shared" si="35"/>
        <v>1</v>
      </c>
      <c r="K41" s="5">
        <f t="shared" si="35"/>
        <v>1</v>
      </c>
      <c r="L41" s="5">
        <f t="shared" si="35"/>
        <v>1</v>
      </c>
      <c r="M41" s="5">
        <f t="shared" si="35"/>
        <v>1</v>
      </c>
      <c r="N41" s="5">
        <f t="shared" si="35"/>
        <v>1</v>
      </c>
      <c r="O41" s="5">
        <f t="shared" si="35"/>
        <v>1</v>
      </c>
      <c r="P41" s="5">
        <f t="shared" si="35"/>
        <v>1</v>
      </c>
      <c r="Q41" s="5">
        <f t="shared" si="35"/>
        <v>1</v>
      </c>
      <c r="R41" s="5">
        <f t="shared" si="35"/>
        <v>1</v>
      </c>
      <c r="S41" s="5">
        <f t="shared" si="35"/>
        <v>1</v>
      </c>
      <c r="T41" s="5">
        <f t="shared" si="35"/>
        <v>1</v>
      </c>
      <c r="U41" s="5">
        <f t="shared" si="35"/>
        <v>1</v>
      </c>
      <c r="V41" s="5">
        <f t="shared" si="35"/>
        <v>1</v>
      </c>
      <c r="W41" s="5">
        <f t="shared" si="35"/>
        <v>1</v>
      </c>
      <c r="X41" s="5">
        <f t="shared" si="35"/>
        <v>1</v>
      </c>
      <c r="Y41" s="5">
        <f t="shared" si="35"/>
        <v>0.99873475609756102</v>
      </c>
      <c r="Z41" s="5">
        <f t="shared" si="35"/>
        <v>0.99878654970760239</v>
      </c>
      <c r="AA41" s="5">
        <f t="shared" si="35"/>
        <v>0.99883426966292133</v>
      </c>
      <c r="AB41" s="5">
        <f t="shared" si="35"/>
        <v>0.99810135135135136</v>
      </c>
      <c r="AC41" s="5">
        <f t="shared" si="35"/>
        <v>0.99817057291666667</v>
      </c>
      <c r="AD41" s="5">
        <f t="shared" si="35"/>
        <v>0.99823492462311558</v>
      </c>
      <c r="AE41" s="5">
        <f t="shared" si="35"/>
        <v>0.99829490291262135</v>
      </c>
      <c r="AF41" s="5">
        <f t="shared" si="35"/>
        <v>0.99835093896713611</v>
      </c>
      <c r="AG41" s="5">
        <f t="shared" si="35"/>
        <v>0.99840340909090908</v>
      </c>
      <c r="AH41" s="5">
        <f t="shared" si="35"/>
        <v>0.99845264317180615</v>
      </c>
      <c r="AI41" s="5">
        <f t="shared" si="35"/>
        <v>0.99849893162393166</v>
      </c>
      <c r="AJ41" s="5">
        <f t="shared" si="35"/>
        <v>0.99854253112033198</v>
      </c>
      <c r="AK41" s="5">
        <f t="shared" si="35"/>
        <v>0.99858366935483867</v>
      </c>
      <c r="AL41" s="5">
        <f t="shared" si="35"/>
        <v>0.9986225490196079</v>
      </c>
      <c r="AM41" s="5">
        <f t="shared" si="35"/>
        <v>0.99865935114503812</v>
      </c>
      <c r="AN41" s="5">
        <f t="shared" si="35"/>
        <v>0.99869423791821565</v>
      </c>
      <c r="AO41" s="5">
        <f t="shared" si="35"/>
        <v>0.9987273550724638</v>
      </c>
      <c r="AP41" s="5">
        <f t="shared" si="35"/>
        <v>0.9987588339222615</v>
      </c>
      <c r="AQ41" s="5">
        <f t="shared" si="35"/>
        <v>0.99878879310344826</v>
      </c>
      <c r="AR41" s="5">
        <f t="shared" si="35"/>
        <v>0.99881734006734002</v>
      </c>
      <c r="AS41" s="5">
        <f t="shared" si="35"/>
        <v>0.99884457236842106</v>
      </c>
      <c r="AT41" s="5">
        <f t="shared" si="35"/>
        <v>0.99887057877813501</v>
      </c>
      <c r="AU41" s="5">
        <f t="shared" si="35"/>
        <v>0.99889544025157229</v>
      </c>
      <c r="AV41" s="5">
        <f t="shared" si="35"/>
        <v>0.99891923076923073</v>
      </c>
      <c r="AW41" s="5">
        <f t="shared" si="35"/>
        <v>0.99894201807228911</v>
      </c>
      <c r="AX41" s="5">
        <f t="shared" si="35"/>
        <v>0.99896386430678463</v>
      </c>
      <c r="AY41" s="5">
        <f t="shared" si="35"/>
        <v>0.99898482658959542</v>
      </c>
      <c r="AZ41" s="5">
        <f t="shared" si="35"/>
        <v>0.99900495750708218</v>
      </c>
      <c r="BA41" s="5">
        <f t="shared" si="35"/>
        <v>0.99902430555555555</v>
      </c>
      <c r="BB41" s="5">
        <f t="shared" ref="BB41:BG41" si="36">1-(BB11/BB1)</f>
        <v>1</v>
      </c>
      <c r="BC41" s="5">
        <f t="shared" si="36"/>
        <v>1</v>
      </c>
      <c r="BD41" s="5">
        <f t="shared" si="36"/>
        <v>1</v>
      </c>
      <c r="BE41" s="5">
        <f t="shared" si="36"/>
        <v>1</v>
      </c>
      <c r="BF41" s="5">
        <f t="shared" si="36"/>
        <v>1</v>
      </c>
      <c r="BG41" s="5">
        <f t="shared" si="36"/>
        <v>1</v>
      </c>
      <c r="BH41" s="5">
        <f>1-(BH11/BH1)</f>
        <v>1</v>
      </c>
    </row>
    <row r="42" spans="1:60" x14ac:dyDescent="0.35">
      <c r="A42" s="7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x14ac:dyDescent="0.35">
      <c r="A43" s="8" t="s">
        <v>26</v>
      </c>
      <c r="B43" s="5">
        <f>1-(B13/B1)</f>
        <v>1</v>
      </c>
      <c r="C43" s="5">
        <f t="shared" ref="C43:BA43" si="37">1-(C13/C1)</f>
        <v>1</v>
      </c>
      <c r="D43" s="5">
        <f t="shared" si="37"/>
        <v>1</v>
      </c>
      <c r="E43" s="5">
        <f t="shared" si="37"/>
        <v>1</v>
      </c>
      <c r="F43" s="5">
        <f t="shared" si="37"/>
        <v>1</v>
      </c>
      <c r="G43" s="5">
        <f t="shared" si="37"/>
        <v>1</v>
      </c>
      <c r="H43" s="5">
        <f t="shared" si="37"/>
        <v>1</v>
      </c>
      <c r="I43" s="5">
        <f t="shared" si="37"/>
        <v>1</v>
      </c>
      <c r="J43" s="5">
        <f t="shared" si="37"/>
        <v>1</v>
      </c>
      <c r="K43" s="5">
        <f t="shared" si="37"/>
        <v>1</v>
      </c>
      <c r="L43" s="5">
        <f t="shared" si="37"/>
        <v>1</v>
      </c>
      <c r="M43" s="5">
        <f t="shared" si="37"/>
        <v>1</v>
      </c>
      <c r="N43" s="5">
        <f t="shared" si="37"/>
        <v>1</v>
      </c>
      <c r="O43" s="5">
        <f t="shared" si="37"/>
        <v>1</v>
      </c>
      <c r="P43" s="5">
        <f t="shared" si="37"/>
        <v>1</v>
      </c>
      <c r="Q43" s="5">
        <f t="shared" si="37"/>
        <v>1</v>
      </c>
      <c r="R43" s="5">
        <f t="shared" si="37"/>
        <v>1</v>
      </c>
      <c r="S43" s="5">
        <f t="shared" si="37"/>
        <v>1</v>
      </c>
      <c r="T43" s="5">
        <f t="shared" si="37"/>
        <v>1</v>
      </c>
      <c r="U43" s="5">
        <f t="shared" si="37"/>
        <v>1</v>
      </c>
      <c r="V43" s="5">
        <f t="shared" si="37"/>
        <v>1</v>
      </c>
      <c r="W43" s="5">
        <f t="shared" si="37"/>
        <v>1</v>
      </c>
      <c r="X43" s="5">
        <f t="shared" si="37"/>
        <v>1</v>
      </c>
      <c r="Y43" s="5">
        <f t="shared" si="37"/>
        <v>1</v>
      </c>
      <c r="Z43" s="5">
        <f t="shared" si="37"/>
        <v>1</v>
      </c>
      <c r="AA43" s="5">
        <f t="shared" si="37"/>
        <v>1</v>
      </c>
      <c r="AB43" s="5">
        <f t="shared" si="37"/>
        <v>0.99922297297297302</v>
      </c>
      <c r="AC43" s="5">
        <f t="shared" si="37"/>
        <v>0.99925130208333335</v>
      </c>
      <c r="AD43" s="5">
        <f t="shared" si="37"/>
        <v>0.99927763819095472</v>
      </c>
      <c r="AE43" s="5">
        <f t="shared" si="37"/>
        <v>0.99930218446601937</v>
      </c>
      <c r="AF43" s="5">
        <f t="shared" si="37"/>
        <v>0.99932511737089202</v>
      </c>
      <c r="AG43" s="5">
        <f t="shared" si="37"/>
        <v>0.99934659090909095</v>
      </c>
      <c r="AH43" s="5">
        <f t="shared" si="37"/>
        <v>0.99936674008810578</v>
      </c>
      <c r="AI43" s="5">
        <f t="shared" si="37"/>
        <v>0.99938568376068371</v>
      </c>
      <c r="AJ43" s="5">
        <f t="shared" si="37"/>
        <v>0.99940352697095436</v>
      </c>
      <c r="AK43" s="5">
        <f t="shared" si="37"/>
        <v>0.99942036290322578</v>
      </c>
      <c r="AL43" s="5">
        <f t="shared" si="37"/>
        <v>0.99943627450980388</v>
      </c>
      <c r="AM43" s="5">
        <f t="shared" si="37"/>
        <v>0.99945133587786261</v>
      </c>
      <c r="AN43" s="5">
        <f t="shared" si="37"/>
        <v>0.99946561338289963</v>
      </c>
      <c r="AO43" s="5">
        <f t="shared" si="37"/>
        <v>0.9994791666666667</v>
      </c>
      <c r="AP43" s="5">
        <f t="shared" si="37"/>
        <v>0.99949204946996462</v>
      </c>
      <c r="AQ43" s="5">
        <f t="shared" si="37"/>
        <v>0.99950431034482756</v>
      </c>
      <c r="AR43" s="5">
        <f t="shared" si="37"/>
        <v>0.99951599326599327</v>
      </c>
      <c r="AS43" s="5">
        <f t="shared" si="37"/>
        <v>0.99952713815789473</v>
      </c>
      <c r="AT43" s="5">
        <f t="shared" si="37"/>
        <v>0.99953778135048232</v>
      </c>
      <c r="AU43" s="5">
        <f t="shared" si="37"/>
        <v>0.99954795597484281</v>
      </c>
      <c r="AV43" s="5">
        <f t="shared" si="37"/>
        <v>0.99955769230769231</v>
      </c>
      <c r="AW43" s="5">
        <f t="shared" si="37"/>
        <v>0.9995670180722892</v>
      </c>
      <c r="AX43" s="5">
        <f t="shared" si="37"/>
        <v>0.99957595870206495</v>
      </c>
      <c r="AY43" s="5">
        <f t="shared" si="37"/>
        <v>0.99958453757225429</v>
      </c>
      <c r="AZ43" s="5">
        <f t="shared" si="37"/>
        <v>0.99959277620396603</v>
      </c>
      <c r="BA43" s="5">
        <f t="shared" si="37"/>
        <v>0.99960069444444444</v>
      </c>
      <c r="BB43" s="5">
        <f t="shared" ref="BB43:BG43" si="38">1-(BB13/BB1)</f>
        <v>1</v>
      </c>
      <c r="BC43" s="5">
        <f t="shared" si="38"/>
        <v>1</v>
      </c>
      <c r="BD43" s="5">
        <f t="shared" si="38"/>
        <v>1</v>
      </c>
      <c r="BE43" s="5">
        <f t="shared" si="38"/>
        <v>1</v>
      </c>
      <c r="BF43" s="5">
        <f t="shared" si="38"/>
        <v>1</v>
      </c>
      <c r="BG43" s="5">
        <f t="shared" si="38"/>
        <v>1</v>
      </c>
      <c r="BH43" s="5">
        <f>1-(BH13/BH1)</f>
        <v>1</v>
      </c>
    </row>
    <row r="44" spans="1:60" x14ac:dyDescent="0.35">
      <c r="A44" s="8" t="s">
        <v>27</v>
      </c>
      <c r="B44" s="5">
        <f>1-(B14/B1)</f>
        <v>1</v>
      </c>
      <c r="C44" s="5">
        <f t="shared" ref="C44:BA44" si="39">1-(C14/C1)</f>
        <v>1</v>
      </c>
      <c r="D44" s="5">
        <f t="shared" si="39"/>
        <v>1</v>
      </c>
      <c r="E44" s="5">
        <f t="shared" si="39"/>
        <v>1</v>
      </c>
      <c r="F44" s="5">
        <f t="shared" si="39"/>
        <v>1</v>
      </c>
      <c r="G44" s="5">
        <f t="shared" si="39"/>
        <v>1</v>
      </c>
      <c r="H44" s="5">
        <f t="shared" si="39"/>
        <v>1</v>
      </c>
      <c r="I44" s="5">
        <f t="shared" si="39"/>
        <v>1</v>
      </c>
      <c r="J44" s="5">
        <f t="shared" si="39"/>
        <v>1</v>
      </c>
      <c r="K44" s="5">
        <f t="shared" si="39"/>
        <v>1</v>
      </c>
      <c r="L44" s="5">
        <f t="shared" si="39"/>
        <v>1</v>
      </c>
      <c r="M44" s="5">
        <f t="shared" si="39"/>
        <v>1</v>
      </c>
      <c r="N44" s="5">
        <f t="shared" si="39"/>
        <v>1</v>
      </c>
      <c r="O44" s="5">
        <f t="shared" si="39"/>
        <v>1</v>
      </c>
      <c r="P44" s="5">
        <f t="shared" si="39"/>
        <v>1</v>
      </c>
      <c r="Q44" s="5">
        <f t="shared" si="39"/>
        <v>1</v>
      </c>
      <c r="R44" s="5">
        <f t="shared" si="39"/>
        <v>1</v>
      </c>
      <c r="S44" s="5">
        <f t="shared" si="39"/>
        <v>1</v>
      </c>
      <c r="T44" s="5">
        <f t="shared" si="39"/>
        <v>1</v>
      </c>
      <c r="U44" s="5">
        <f t="shared" si="39"/>
        <v>1</v>
      </c>
      <c r="V44" s="5">
        <f t="shared" si="39"/>
        <v>1</v>
      </c>
      <c r="W44" s="5">
        <f t="shared" si="39"/>
        <v>1</v>
      </c>
      <c r="X44" s="5">
        <f t="shared" si="39"/>
        <v>1</v>
      </c>
      <c r="Y44" s="5">
        <f t="shared" si="39"/>
        <v>1</v>
      </c>
      <c r="Z44" s="5">
        <f t="shared" si="39"/>
        <v>1</v>
      </c>
      <c r="AA44" s="5">
        <f t="shared" si="39"/>
        <v>1</v>
      </c>
      <c r="AB44" s="5">
        <f t="shared" si="39"/>
        <v>0.99922297297297302</v>
      </c>
      <c r="AC44" s="5">
        <f t="shared" si="39"/>
        <v>0.99925130208333335</v>
      </c>
      <c r="AD44" s="5">
        <f t="shared" si="39"/>
        <v>0.99927763819095472</v>
      </c>
      <c r="AE44" s="5">
        <f t="shared" si="39"/>
        <v>0.99930218446601937</v>
      </c>
      <c r="AF44" s="5">
        <f t="shared" si="39"/>
        <v>0.99932511737089202</v>
      </c>
      <c r="AG44" s="5">
        <f t="shared" si="39"/>
        <v>0.99934659090909095</v>
      </c>
      <c r="AH44" s="5">
        <f t="shared" si="39"/>
        <v>0.99936674008810578</v>
      </c>
      <c r="AI44" s="5">
        <f t="shared" si="39"/>
        <v>0.99938568376068371</v>
      </c>
      <c r="AJ44" s="5">
        <f t="shared" si="39"/>
        <v>0.99940352697095436</v>
      </c>
      <c r="AK44" s="5">
        <f t="shared" si="39"/>
        <v>0.99942036290322578</v>
      </c>
      <c r="AL44" s="5">
        <f t="shared" si="39"/>
        <v>0.99943627450980388</v>
      </c>
      <c r="AM44" s="5">
        <f t="shared" si="39"/>
        <v>0.99945133587786261</v>
      </c>
      <c r="AN44" s="5">
        <f t="shared" si="39"/>
        <v>0.99946561338289963</v>
      </c>
      <c r="AO44" s="5">
        <f t="shared" si="39"/>
        <v>0.9994791666666667</v>
      </c>
      <c r="AP44" s="5">
        <f t="shared" si="39"/>
        <v>0.99949204946996462</v>
      </c>
      <c r="AQ44" s="5">
        <f t="shared" si="39"/>
        <v>0.99950431034482756</v>
      </c>
      <c r="AR44" s="5">
        <f t="shared" si="39"/>
        <v>0.99951599326599327</v>
      </c>
      <c r="AS44" s="5">
        <f t="shared" si="39"/>
        <v>0.99952713815789473</v>
      </c>
      <c r="AT44" s="5">
        <f t="shared" si="39"/>
        <v>0.99953778135048232</v>
      </c>
      <c r="AU44" s="5">
        <f t="shared" si="39"/>
        <v>0.99954795597484281</v>
      </c>
      <c r="AV44" s="5">
        <f t="shared" si="39"/>
        <v>0.99955769230769231</v>
      </c>
      <c r="AW44" s="5">
        <f t="shared" si="39"/>
        <v>0.9995670180722892</v>
      </c>
      <c r="AX44" s="5">
        <f t="shared" si="39"/>
        <v>0.99957595870206495</v>
      </c>
      <c r="AY44" s="5">
        <f t="shared" si="39"/>
        <v>0.99958453757225429</v>
      </c>
      <c r="AZ44" s="5">
        <f t="shared" si="39"/>
        <v>0.99959277620396603</v>
      </c>
      <c r="BA44" s="5">
        <f t="shared" si="39"/>
        <v>0.99960069444444444</v>
      </c>
      <c r="BB44" s="5">
        <f t="shared" ref="BB44:BG44" si="40">1-(BB14/BB1)</f>
        <v>1</v>
      </c>
      <c r="BC44" s="5">
        <f t="shared" si="40"/>
        <v>1</v>
      </c>
      <c r="BD44" s="5">
        <f t="shared" si="40"/>
        <v>1</v>
      </c>
      <c r="BE44" s="5">
        <f t="shared" si="40"/>
        <v>1</v>
      </c>
      <c r="BF44" s="5">
        <f t="shared" si="40"/>
        <v>1</v>
      </c>
      <c r="BG44" s="5">
        <f t="shared" si="40"/>
        <v>1</v>
      </c>
      <c r="BH44" s="5">
        <f>1-(BH14/BH1)</f>
        <v>1</v>
      </c>
    </row>
    <row r="45" spans="1:60" x14ac:dyDescent="0.35">
      <c r="A45" s="8" t="s">
        <v>28</v>
      </c>
      <c r="B45" s="5">
        <f>1-(B15/B1)</f>
        <v>1</v>
      </c>
      <c r="C45" s="5">
        <f t="shared" ref="C45:BA45" si="41">1-(C15/C1)</f>
        <v>1</v>
      </c>
      <c r="D45" s="5">
        <f t="shared" si="41"/>
        <v>1</v>
      </c>
      <c r="E45" s="5">
        <f t="shared" si="41"/>
        <v>1</v>
      </c>
      <c r="F45" s="5">
        <f t="shared" si="41"/>
        <v>1</v>
      </c>
      <c r="G45" s="5">
        <f t="shared" si="41"/>
        <v>1</v>
      </c>
      <c r="H45" s="5">
        <f t="shared" si="41"/>
        <v>1</v>
      </c>
      <c r="I45" s="5">
        <f t="shared" si="41"/>
        <v>1</v>
      </c>
      <c r="J45" s="5">
        <f t="shared" si="41"/>
        <v>1</v>
      </c>
      <c r="K45" s="5">
        <f t="shared" si="41"/>
        <v>1</v>
      </c>
      <c r="L45" s="5">
        <f t="shared" si="41"/>
        <v>1</v>
      </c>
      <c r="M45" s="5">
        <f t="shared" si="41"/>
        <v>1</v>
      </c>
      <c r="N45" s="5">
        <f t="shared" si="41"/>
        <v>1</v>
      </c>
      <c r="O45" s="5">
        <f t="shared" si="41"/>
        <v>1</v>
      </c>
      <c r="P45" s="5">
        <f t="shared" si="41"/>
        <v>1</v>
      </c>
      <c r="Q45" s="5">
        <f t="shared" si="41"/>
        <v>1</v>
      </c>
      <c r="R45" s="5">
        <f t="shared" si="41"/>
        <v>1</v>
      </c>
      <c r="S45" s="5">
        <f t="shared" si="41"/>
        <v>1</v>
      </c>
      <c r="T45" s="5">
        <f t="shared" si="41"/>
        <v>1</v>
      </c>
      <c r="U45" s="5">
        <f t="shared" si="41"/>
        <v>1</v>
      </c>
      <c r="V45" s="5">
        <f t="shared" si="41"/>
        <v>1</v>
      </c>
      <c r="W45" s="5">
        <f t="shared" si="41"/>
        <v>1</v>
      </c>
      <c r="X45" s="5">
        <f t="shared" si="41"/>
        <v>1</v>
      </c>
      <c r="Y45" s="5">
        <f t="shared" si="41"/>
        <v>1</v>
      </c>
      <c r="Z45" s="5">
        <f t="shared" si="41"/>
        <v>1</v>
      </c>
      <c r="AA45" s="5">
        <f t="shared" si="41"/>
        <v>1</v>
      </c>
      <c r="AB45" s="5">
        <f t="shared" si="41"/>
        <v>0.99922297297297302</v>
      </c>
      <c r="AC45" s="5">
        <f t="shared" si="41"/>
        <v>0.99925130208333335</v>
      </c>
      <c r="AD45" s="5">
        <f t="shared" si="41"/>
        <v>0.99927763819095472</v>
      </c>
      <c r="AE45" s="5">
        <f t="shared" si="41"/>
        <v>0.99930218446601937</v>
      </c>
      <c r="AF45" s="5">
        <f t="shared" si="41"/>
        <v>0.99932511737089202</v>
      </c>
      <c r="AG45" s="5">
        <f t="shared" si="41"/>
        <v>0.99934659090909095</v>
      </c>
      <c r="AH45" s="5">
        <f t="shared" si="41"/>
        <v>0.99936674008810578</v>
      </c>
      <c r="AI45" s="5">
        <f t="shared" si="41"/>
        <v>0.99938568376068371</v>
      </c>
      <c r="AJ45" s="5">
        <f t="shared" si="41"/>
        <v>0.99940352697095436</v>
      </c>
      <c r="AK45" s="5">
        <f t="shared" si="41"/>
        <v>0.99942036290322578</v>
      </c>
      <c r="AL45" s="5">
        <f t="shared" si="41"/>
        <v>0.99943627450980388</v>
      </c>
      <c r="AM45" s="5">
        <f t="shared" si="41"/>
        <v>0.99945133587786261</v>
      </c>
      <c r="AN45" s="5">
        <f t="shared" si="41"/>
        <v>0.99946561338289963</v>
      </c>
      <c r="AO45" s="5">
        <f t="shared" si="41"/>
        <v>0.9994791666666667</v>
      </c>
      <c r="AP45" s="5">
        <f t="shared" si="41"/>
        <v>0.99949204946996462</v>
      </c>
      <c r="AQ45" s="5">
        <f t="shared" si="41"/>
        <v>0.99950431034482756</v>
      </c>
      <c r="AR45" s="5">
        <f t="shared" si="41"/>
        <v>0.99951599326599327</v>
      </c>
      <c r="AS45" s="5">
        <f t="shared" si="41"/>
        <v>0.99952713815789473</v>
      </c>
      <c r="AT45" s="5">
        <f t="shared" si="41"/>
        <v>0.99953778135048232</v>
      </c>
      <c r="AU45" s="5">
        <f t="shared" si="41"/>
        <v>0.99954795597484281</v>
      </c>
      <c r="AV45" s="5">
        <f t="shared" si="41"/>
        <v>0.99955769230769231</v>
      </c>
      <c r="AW45" s="5">
        <f t="shared" si="41"/>
        <v>0.9995670180722892</v>
      </c>
      <c r="AX45" s="5">
        <f t="shared" si="41"/>
        <v>0.99957595870206495</v>
      </c>
      <c r="AY45" s="5">
        <f t="shared" si="41"/>
        <v>0.99958453757225429</v>
      </c>
      <c r="AZ45" s="5">
        <f t="shared" si="41"/>
        <v>0.99959277620396603</v>
      </c>
      <c r="BA45" s="5">
        <f t="shared" si="41"/>
        <v>0.99960069444444444</v>
      </c>
      <c r="BB45" s="5">
        <f t="shared" ref="BB45:BG45" si="42">1-(BB15/BB1)</f>
        <v>1</v>
      </c>
      <c r="BC45" s="5">
        <f t="shared" si="42"/>
        <v>1</v>
      </c>
      <c r="BD45" s="5">
        <f t="shared" si="42"/>
        <v>1</v>
      </c>
      <c r="BE45" s="5">
        <f t="shared" si="42"/>
        <v>1</v>
      </c>
      <c r="BF45" s="5">
        <f t="shared" si="42"/>
        <v>1</v>
      </c>
      <c r="BG45" s="5">
        <f t="shared" si="42"/>
        <v>1</v>
      </c>
      <c r="BH45" s="5">
        <f>1-(BH15/BH1)</f>
        <v>1</v>
      </c>
    </row>
    <row r="46" spans="1:60" x14ac:dyDescent="0.35">
      <c r="A46" s="7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x14ac:dyDescent="0.35">
      <c r="A47" s="8" t="s">
        <v>26</v>
      </c>
      <c r="B47" s="5">
        <f>1-(B17/B1)</f>
        <v>1</v>
      </c>
      <c r="C47" s="5">
        <f t="shared" ref="C47:BA47" si="43">1-(C17/C1)</f>
        <v>1</v>
      </c>
      <c r="D47" s="5">
        <f t="shared" si="43"/>
        <v>1</v>
      </c>
      <c r="E47" s="5">
        <f t="shared" si="43"/>
        <v>1</v>
      </c>
      <c r="F47" s="5">
        <f t="shared" si="43"/>
        <v>1</v>
      </c>
      <c r="G47" s="5">
        <f t="shared" si="43"/>
        <v>1</v>
      </c>
      <c r="H47" s="5">
        <f t="shared" si="43"/>
        <v>1</v>
      </c>
      <c r="I47" s="5">
        <f t="shared" si="43"/>
        <v>1</v>
      </c>
      <c r="J47" s="5">
        <f t="shared" si="43"/>
        <v>1</v>
      </c>
      <c r="K47" s="5">
        <f t="shared" si="43"/>
        <v>1</v>
      </c>
      <c r="L47" s="5">
        <f t="shared" si="43"/>
        <v>1</v>
      </c>
      <c r="M47" s="5">
        <f t="shared" si="43"/>
        <v>1</v>
      </c>
      <c r="N47" s="5">
        <f t="shared" si="43"/>
        <v>1</v>
      </c>
      <c r="O47" s="5">
        <f t="shared" si="43"/>
        <v>1</v>
      </c>
      <c r="P47" s="5">
        <f t="shared" si="43"/>
        <v>1</v>
      </c>
      <c r="Q47" s="5">
        <f t="shared" si="43"/>
        <v>1</v>
      </c>
      <c r="R47" s="5">
        <f t="shared" si="43"/>
        <v>1</v>
      </c>
      <c r="S47" s="5">
        <f t="shared" si="43"/>
        <v>1</v>
      </c>
      <c r="T47" s="5">
        <f t="shared" si="43"/>
        <v>1</v>
      </c>
      <c r="U47" s="5">
        <f t="shared" si="43"/>
        <v>1</v>
      </c>
      <c r="V47" s="5">
        <f t="shared" si="43"/>
        <v>1</v>
      </c>
      <c r="W47" s="5">
        <f t="shared" si="43"/>
        <v>1</v>
      </c>
      <c r="X47" s="5">
        <f t="shared" si="43"/>
        <v>1</v>
      </c>
      <c r="Y47" s="5">
        <f t="shared" si="43"/>
        <v>1</v>
      </c>
      <c r="Z47" s="5">
        <f t="shared" si="43"/>
        <v>1</v>
      </c>
      <c r="AA47" s="5">
        <f t="shared" si="43"/>
        <v>1</v>
      </c>
      <c r="AB47" s="5">
        <f t="shared" si="43"/>
        <v>0.99922297297297302</v>
      </c>
      <c r="AC47" s="5">
        <f t="shared" si="43"/>
        <v>0.99925130208333335</v>
      </c>
      <c r="AD47" s="5">
        <f t="shared" si="43"/>
        <v>0.99927763819095472</v>
      </c>
      <c r="AE47" s="5">
        <f t="shared" si="43"/>
        <v>0.99930218446601937</v>
      </c>
      <c r="AF47" s="5">
        <f t="shared" si="43"/>
        <v>0.99932511737089202</v>
      </c>
      <c r="AG47" s="5">
        <f t="shared" si="43"/>
        <v>0.99934659090909095</v>
      </c>
      <c r="AH47" s="5">
        <f t="shared" si="43"/>
        <v>0.99936674008810578</v>
      </c>
      <c r="AI47" s="5">
        <f t="shared" si="43"/>
        <v>0.99938568376068371</v>
      </c>
      <c r="AJ47" s="5">
        <f t="shared" si="43"/>
        <v>0.99940352697095436</v>
      </c>
      <c r="AK47" s="5">
        <f t="shared" si="43"/>
        <v>0.99942036290322578</v>
      </c>
      <c r="AL47" s="5">
        <f t="shared" si="43"/>
        <v>0.99943627450980388</v>
      </c>
      <c r="AM47" s="5">
        <f t="shared" si="43"/>
        <v>0.99945133587786261</v>
      </c>
      <c r="AN47" s="5">
        <f t="shared" si="43"/>
        <v>0.99946561338289963</v>
      </c>
      <c r="AO47" s="5">
        <f t="shared" si="43"/>
        <v>0.9994791666666667</v>
      </c>
      <c r="AP47" s="5">
        <f t="shared" si="43"/>
        <v>0.99949204946996462</v>
      </c>
      <c r="AQ47" s="5">
        <f t="shared" si="43"/>
        <v>0.99950431034482756</v>
      </c>
      <c r="AR47" s="5">
        <f t="shared" si="43"/>
        <v>0.99951599326599327</v>
      </c>
      <c r="AS47" s="5">
        <f t="shared" si="43"/>
        <v>0.99952713815789473</v>
      </c>
      <c r="AT47" s="5">
        <f t="shared" si="43"/>
        <v>0.99953778135048232</v>
      </c>
      <c r="AU47" s="5">
        <f t="shared" si="43"/>
        <v>0.99954795597484281</v>
      </c>
      <c r="AV47" s="5">
        <f t="shared" si="43"/>
        <v>0.99955769230769231</v>
      </c>
      <c r="AW47" s="5">
        <f t="shared" si="43"/>
        <v>0.9995670180722892</v>
      </c>
      <c r="AX47" s="5">
        <f t="shared" si="43"/>
        <v>0.99957595870206495</v>
      </c>
      <c r="AY47" s="5">
        <f t="shared" si="43"/>
        <v>0.99958453757225429</v>
      </c>
      <c r="AZ47" s="5">
        <f t="shared" si="43"/>
        <v>0.99959277620396603</v>
      </c>
      <c r="BA47" s="5">
        <f t="shared" si="43"/>
        <v>0.99960069444444444</v>
      </c>
      <c r="BB47" s="5">
        <f t="shared" ref="BB47:BG47" si="44">1-(BB17/BB1)</f>
        <v>1</v>
      </c>
      <c r="BC47" s="5">
        <f t="shared" si="44"/>
        <v>1</v>
      </c>
      <c r="BD47" s="5">
        <f t="shared" si="44"/>
        <v>1</v>
      </c>
      <c r="BE47" s="5">
        <f t="shared" si="44"/>
        <v>1</v>
      </c>
      <c r="BF47" s="5">
        <f t="shared" si="44"/>
        <v>1</v>
      </c>
      <c r="BG47" s="5">
        <f t="shared" si="44"/>
        <v>1</v>
      </c>
      <c r="BH47" s="5">
        <f>1-(BH17/BH1)</f>
        <v>1</v>
      </c>
    </row>
    <row r="48" spans="1:60" x14ac:dyDescent="0.35">
      <c r="A48" s="8" t="s">
        <v>27</v>
      </c>
      <c r="B48" s="5">
        <f>1-(B18/B1)</f>
        <v>1</v>
      </c>
      <c r="C48" s="5">
        <f t="shared" ref="C48:BA48" si="45">1-(C18/C1)</f>
        <v>1</v>
      </c>
      <c r="D48" s="5">
        <f t="shared" si="45"/>
        <v>1</v>
      </c>
      <c r="E48" s="5">
        <f t="shared" si="45"/>
        <v>1</v>
      </c>
      <c r="F48" s="5">
        <f t="shared" si="45"/>
        <v>1</v>
      </c>
      <c r="G48" s="5">
        <f t="shared" si="45"/>
        <v>1</v>
      </c>
      <c r="H48" s="5">
        <f t="shared" si="45"/>
        <v>1</v>
      </c>
      <c r="I48" s="5">
        <f t="shared" si="45"/>
        <v>1</v>
      </c>
      <c r="J48" s="5">
        <f t="shared" si="45"/>
        <v>1</v>
      </c>
      <c r="K48" s="5">
        <f t="shared" si="45"/>
        <v>1</v>
      </c>
      <c r="L48" s="5">
        <f t="shared" si="45"/>
        <v>1</v>
      </c>
      <c r="M48" s="5">
        <f t="shared" si="45"/>
        <v>1</v>
      </c>
      <c r="N48" s="5">
        <f t="shared" si="45"/>
        <v>1</v>
      </c>
      <c r="O48" s="5">
        <f t="shared" si="45"/>
        <v>1</v>
      </c>
      <c r="P48" s="5">
        <f t="shared" si="45"/>
        <v>1</v>
      </c>
      <c r="Q48" s="5">
        <f t="shared" si="45"/>
        <v>1</v>
      </c>
      <c r="R48" s="5">
        <f t="shared" si="45"/>
        <v>1</v>
      </c>
      <c r="S48" s="5">
        <f t="shared" si="45"/>
        <v>1</v>
      </c>
      <c r="T48" s="5">
        <f t="shared" si="45"/>
        <v>1</v>
      </c>
      <c r="U48" s="5">
        <f t="shared" si="45"/>
        <v>1</v>
      </c>
      <c r="V48" s="5">
        <f t="shared" si="45"/>
        <v>1</v>
      </c>
      <c r="W48" s="5">
        <f t="shared" si="45"/>
        <v>1</v>
      </c>
      <c r="X48" s="5">
        <f t="shared" si="45"/>
        <v>1</v>
      </c>
      <c r="Y48" s="5">
        <f t="shared" si="45"/>
        <v>1</v>
      </c>
      <c r="Z48" s="5">
        <f t="shared" si="45"/>
        <v>1</v>
      </c>
      <c r="AA48" s="5">
        <f t="shared" si="45"/>
        <v>1</v>
      </c>
      <c r="AB48" s="5">
        <f t="shared" si="45"/>
        <v>0.99922297297297302</v>
      </c>
      <c r="AC48" s="5">
        <f t="shared" si="45"/>
        <v>0.99925130208333335</v>
      </c>
      <c r="AD48" s="5">
        <f t="shared" si="45"/>
        <v>0.99927763819095472</v>
      </c>
      <c r="AE48" s="5">
        <f t="shared" si="45"/>
        <v>0.99930218446601937</v>
      </c>
      <c r="AF48" s="5">
        <f t="shared" si="45"/>
        <v>0.99932511737089202</v>
      </c>
      <c r="AG48" s="5">
        <f t="shared" si="45"/>
        <v>0.99934659090909095</v>
      </c>
      <c r="AH48" s="5">
        <f t="shared" si="45"/>
        <v>0.99936674008810578</v>
      </c>
      <c r="AI48" s="5">
        <f t="shared" si="45"/>
        <v>0.99938568376068371</v>
      </c>
      <c r="AJ48" s="5">
        <f t="shared" si="45"/>
        <v>0.99940352697095436</v>
      </c>
      <c r="AK48" s="5">
        <f t="shared" si="45"/>
        <v>0.99942036290322578</v>
      </c>
      <c r="AL48" s="5">
        <f t="shared" si="45"/>
        <v>0.99943627450980388</v>
      </c>
      <c r="AM48" s="5">
        <f t="shared" si="45"/>
        <v>0.99945133587786261</v>
      </c>
      <c r="AN48" s="5">
        <f t="shared" si="45"/>
        <v>0.99946561338289963</v>
      </c>
      <c r="AO48" s="5">
        <f t="shared" si="45"/>
        <v>0.9994791666666667</v>
      </c>
      <c r="AP48" s="5">
        <f t="shared" si="45"/>
        <v>0.99949204946996462</v>
      </c>
      <c r="AQ48" s="5">
        <f t="shared" si="45"/>
        <v>0.99950431034482756</v>
      </c>
      <c r="AR48" s="5">
        <f t="shared" si="45"/>
        <v>0.99951599326599327</v>
      </c>
      <c r="AS48" s="5">
        <f t="shared" si="45"/>
        <v>0.99952713815789473</v>
      </c>
      <c r="AT48" s="5">
        <f t="shared" si="45"/>
        <v>0.99953778135048232</v>
      </c>
      <c r="AU48" s="5">
        <f t="shared" si="45"/>
        <v>0.99954795597484281</v>
      </c>
      <c r="AV48" s="5">
        <f t="shared" si="45"/>
        <v>0.99955769230769231</v>
      </c>
      <c r="AW48" s="5">
        <f t="shared" si="45"/>
        <v>0.9995670180722892</v>
      </c>
      <c r="AX48" s="5">
        <f t="shared" si="45"/>
        <v>0.99957595870206495</v>
      </c>
      <c r="AY48" s="5">
        <f t="shared" si="45"/>
        <v>0.99958453757225429</v>
      </c>
      <c r="AZ48" s="5">
        <f t="shared" si="45"/>
        <v>0.99959277620396603</v>
      </c>
      <c r="BA48" s="5">
        <f t="shared" si="45"/>
        <v>0.99960069444444444</v>
      </c>
      <c r="BB48" s="5">
        <f t="shared" ref="BB48:BG48" si="46">1-(BB18/BB1)</f>
        <v>1</v>
      </c>
      <c r="BC48" s="5">
        <f t="shared" si="46"/>
        <v>1</v>
      </c>
      <c r="BD48" s="5">
        <f t="shared" si="46"/>
        <v>1</v>
      </c>
      <c r="BE48" s="5">
        <f t="shared" si="46"/>
        <v>1</v>
      </c>
      <c r="BF48" s="5">
        <f t="shared" si="46"/>
        <v>1</v>
      </c>
      <c r="BG48" s="5">
        <f t="shared" si="46"/>
        <v>1</v>
      </c>
      <c r="BH48" s="5">
        <f>1-(BH18/BH1)</f>
        <v>1</v>
      </c>
    </row>
    <row r="49" spans="1:60" x14ac:dyDescent="0.35">
      <c r="A49" s="8" t="s">
        <v>28</v>
      </c>
      <c r="B49" s="5">
        <f>1-(B19/B1)</f>
        <v>1</v>
      </c>
      <c r="C49" s="5">
        <f t="shared" ref="C49:BA49" si="47">1-(C19/C1)</f>
        <v>1</v>
      </c>
      <c r="D49" s="5">
        <f t="shared" si="47"/>
        <v>1</v>
      </c>
      <c r="E49" s="5">
        <f t="shared" si="47"/>
        <v>1</v>
      </c>
      <c r="F49" s="5">
        <f t="shared" si="47"/>
        <v>1</v>
      </c>
      <c r="G49" s="5">
        <f t="shared" si="47"/>
        <v>1</v>
      </c>
      <c r="H49" s="5">
        <f t="shared" si="47"/>
        <v>1</v>
      </c>
      <c r="I49" s="5">
        <f t="shared" si="47"/>
        <v>1</v>
      </c>
      <c r="J49" s="5">
        <f t="shared" si="47"/>
        <v>1</v>
      </c>
      <c r="K49" s="5">
        <f t="shared" si="47"/>
        <v>1</v>
      </c>
      <c r="L49" s="5">
        <f t="shared" si="47"/>
        <v>1</v>
      </c>
      <c r="M49" s="5">
        <f t="shared" si="47"/>
        <v>1</v>
      </c>
      <c r="N49" s="5">
        <f t="shared" si="47"/>
        <v>1</v>
      </c>
      <c r="O49" s="5">
        <f t="shared" si="47"/>
        <v>1</v>
      </c>
      <c r="P49" s="5">
        <f t="shared" si="47"/>
        <v>1</v>
      </c>
      <c r="Q49" s="5">
        <f t="shared" si="47"/>
        <v>1</v>
      </c>
      <c r="R49" s="5">
        <f t="shared" si="47"/>
        <v>1</v>
      </c>
      <c r="S49" s="5">
        <f t="shared" si="47"/>
        <v>1</v>
      </c>
      <c r="T49" s="5">
        <f t="shared" si="47"/>
        <v>1</v>
      </c>
      <c r="U49" s="5">
        <f t="shared" si="47"/>
        <v>1</v>
      </c>
      <c r="V49" s="5">
        <f t="shared" si="47"/>
        <v>1</v>
      </c>
      <c r="W49" s="5">
        <f t="shared" si="47"/>
        <v>1</v>
      </c>
      <c r="X49" s="5">
        <f t="shared" si="47"/>
        <v>1</v>
      </c>
      <c r="Y49" s="5">
        <f t="shared" si="47"/>
        <v>1</v>
      </c>
      <c r="Z49" s="5">
        <f t="shared" si="47"/>
        <v>1</v>
      </c>
      <c r="AA49" s="5">
        <f t="shared" si="47"/>
        <v>1</v>
      </c>
      <c r="AB49" s="5">
        <f t="shared" si="47"/>
        <v>0.99922297297297302</v>
      </c>
      <c r="AC49" s="5">
        <f t="shared" si="47"/>
        <v>0.99925130208333335</v>
      </c>
      <c r="AD49" s="5">
        <f t="shared" si="47"/>
        <v>0.99927763819095472</v>
      </c>
      <c r="AE49" s="5">
        <f t="shared" si="47"/>
        <v>0.99930218446601937</v>
      </c>
      <c r="AF49" s="5">
        <f t="shared" si="47"/>
        <v>0.99932511737089202</v>
      </c>
      <c r="AG49" s="5">
        <f t="shared" si="47"/>
        <v>0.99934659090909095</v>
      </c>
      <c r="AH49" s="5">
        <f t="shared" si="47"/>
        <v>0.99936674008810578</v>
      </c>
      <c r="AI49" s="5">
        <f t="shared" si="47"/>
        <v>0.99938568376068371</v>
      </c>
      <c r="AJ49" s="5">
        <f t="shared" si="47"/>
        <v>0.99940352697095436</v>
      </c>
      <c r="AK49" s="5">
        <f t="shared" si="47"/>
        <v>0.99942036290322578</v>
      </c>
      <c r="AL49" s="5">
        <f t="shared" si="47"/>
        <v>0.99943627450980388</v>
      </c>
      <c r="AM49" s="5">
        <f t="shared" si="47"/>
        <v>0.99945133587786261</v>
      </c>
      <c r="AN49" s="5">
        <f t="shared" si="47"/>
        <v>0.99946561338289963</v>
      </c>
      <c r="AO49" s="5">
        <f t="shared" si="47"/>
        <v>0.9994791666666667</v>
      </c>
      <c r="AP49" s="5">
        <f t="shared" si="47"/>
        <v>0.99949204946996462</v>
      </c>
      <c r="AQ49" s="5">
        <f t="shared" si="47"/>
        <v>0.99950431034482756</v>
      </c>
      <c r="AR49" s="5">
        <f t="shared" si="47"/>
        <v>0.99951599326599327</v>
      </c>
      <c r="AS49" s="5">
        <f t="shared" si="47"/>
        <v>0.99952713815789473</v>
      </c>
      <c r="AT49" s="5">
        <f t="shared" si="47"/>
        <v>0.99953778135048232</v>
      </c>
      <c r="AU49" s="5">
        <f t="shared" si="47"/>
        <v>0.99954795597484281</v>
      </c>
      <c r="AV49" s="5">
        <f t="shared" si="47"/>
        <v>0.99955769230769231</v>
      </c>
      <c r="AW49" s="5">
        <f t="shared" si="47"/>
        <v>0.9995670180722892</v>
      </c>
      <c r="AX49" s="5">
        <f t="shared" si="47"/>
        <v>0.99957595870206495</v>
      </c>
      <c r="AY49" s="5">
        <f t="shared" si="47"/>
        <v>0.99958453757225429</v>
      </c>
      <c r="AZ49" s="5">
        <f t="shared" si="47"/>
        <v>0.99959277620396603</v>
      </c>
      <c r="BA49" s="5">
        <f t="shared" si="47"/>
        <v>0.99960069444444444</v>
      </c>
      <c r="BB49" s="5">
        <f t="shared" ref="BB49:BG49" si="48">1-(BB19/BB1)</f>
        <v>1</v>
      </c>
      <c r="BC49" s="5">
        <f t="shared" si="48"/>
        <v>1</v>
      </c>
      <c r="BD49" s="5">
        <f t="shared" si="48"/>
        <v>1</v>
      </c>
      <c r="BE49" s="5">
        <f t="shared" si="48"/>
        <v>1</v>
      </c>
      <c r="BF49" s="5">
        <f t="shared" si="48"/>
        <v>1</v>
      </c>
      <c r="BG49" s="5">
        <f t="shared" si="48"/>
        <v>1</v>
      </c>
      <c r="BH49" s="5">
        <f>1-(BH19/BH1)</f>
        <v>1</v>
      </c>
    </row>
    <row r="50" spans="1:60" x14ac:dyDescent="0.35">
      <c r="A50" s="7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x14ac:dyDescent="0.35">
      <c r="A51" s="8" t="s">
        <v>26</v>
      </c>
      <c r="B51" s="5">
        <f>1-(B21/B1)</f>
        <v>1</v>
      </c>
      <c r="C51" s="5">
        <f t="shared" ref="C51:BA51" si="49">1-(C21/C1)</f>
        <v>1</v>
      </c>
      <c r="D51" s="5">
        <f t="shared" si="49"/>
        <v>1</v>
      </c>
      <c r="E51" s="5">
        <f t="shared" si="49"/>
        <v>1</v>
      </c>
      <c r="F51" s="5">
        <f t="shared" si="49"/>
        <v>1</v>
      </c>
      <c r="G51" s="5">
        <f t="shared" si="49"/>
        <v>1</v>
      </c>
      <c r="H51" s="5">
        <f t="shared" si="49"/>
        <v>1</v>
      </c>
      <c r="I51" s="5">
        <f t="shared" si="49"/>
        <v>1</v>
      </c>
      <c r="J51" s="5">
        <f t="shared" si="49"/>
        <v>1</v>
      </c>
      <c r="K51" s="5">
        <f t="shared" si="49"/>
        <v>1</v>
      </c>
      <c r="L51" s="5">
        <f t="shared" si="49"/>
        <v>1</v>
      </c>
      <c r="M51" s="5">
        <f t="shared" si="49"/>
        <v>1</v>
      </c>
      <c r="N51" s="5">
        <f t="shared" si="49"/>
        <v>1</v>
      </c>
      <c r="O51" s="5">
        <f t="shared" si="49"/>
        <v>1</v>
      </c>
      <c r="P51" s="5">
        <f t="shared" si="49"/>
        <v>1</v>
      </c>
      <c r="Q51" s="5">
        <f t="shared" si="49"/>
        <v>1</v>
      </c>
      <c r="R51" s="5">
        <f t="shared" si="49"/>
        <v>1</v>
      </c>
      <c r="S51" s="5">
        <f t="shared" si="49"/>
        <v>1</v>
      </c>
      <c r="T51" s="5">
        <f t="shared" si="49"/>
        <v>1</v>
      </c>
      <c r="U51" s="5">
        <f t="shared" si="49"/>
        <v>1</v>
      </c>
      <c r="V51" s="5">
        <f t="shared" si="49"/>
        <v>1</v>
      </c>
      <c r="W51" s="5">
        <f t="shared" si="49"/>
        <v>1</v>
      </c>
      <c r="X51" s="5">
        <f t="shared" si="49"/>
        <v>1</v>
      </c>
      <c r="Y51" s="5">
        <f t="shared" si="49"/>
        <v>1</v>
      </c>
      <c r="Z51" s="5">
        <f t="shared" si="49"/>
        <v>1</v>
      </c>
      <c r="AA51" s="5">
        <f t="shared" si="49"/>
        <v>1</v>
      </c>
      <c r="AB51" s="5">
        <f t="shared" si="49"/>
        <v>0.99922297297297302</v>
      </c>
      <c r="AC51" s="5">
        <f t="shared" si="49"/>
        <v>0.99925130208333335</v>
      </c>
      <c r="AD51" s="5">
        <f t="shared" si="49"/>
        <v>0.99927763819095472</v>
      </c>
      <c r="AE51" s="5">
        <f t="shared" si="49"/>
        <v>0.99930218446601937</v>
      </c>
      <c r="AF51" s="5">
        <f t="shared" si="49"/>
        <v>0.99932511737089202</v>
      </c>
      <c r="AG51" s="5">
        <f t="shared" si="49"/>
        <v>0.99934659090909095</v>
      </c>
      <c r="AH51" s="5">
        <f t="shared" si="49"/>
        <v>0.99936674008810578</v>
      </c>
      <c r="AI51" s="5">
        <f t="shared" si="49"/>
        <v>0.99938568376068371</v>
      </c>
      <c r="AJ51" s="5">
        <f t="shared" si="49"/>
        <v>0.99940352697095436</v>
      </c>
      <c r="AK51" s="5">
        <f t="shared" si="49"/>
        <v>0.99942036290322578</v>
      </c>
      <c r="AL51" s="5">
        <f t="shared" si="49"/>
        <v>0.99943627450980388</v>
      </c>
      <c r="AM51" s="5">
        <f t="shared" si="49"/>
        <v>0.99945133587786261</v>
      </c>
      <c r="AN51" s="5">
        <f t="shared" si="49"/>
        <v>0.99946561338289963</v>
      </c>
      <c r="AO51" s="5">
        <f t="shared" si="49"/>
        <v>0.9994791666666667</v>
      </c>
      <c r="AP51" s="5">
        <f t="shared" si="49"/>
        <v>0.99949204946996462</v>
      </c>
      <c r="AQ51" s="5">
        <f t="shared" si="49"/>
        <v>0.99950431034482756</v>
      </c>
      <c r="AR51" s="5">
        <f t="shared" si="49"/>
        <v>0.99951599326599327</v>
      </c>
      <c r="AS51" s="5">
        <f t="shared" si="49"/>
        <v>0.99952713815789473</v>
      </c>
      <c r="AT51" s="5">
        <f t="shared" si="49"/>
        <v>0.99953778135048232</v>
      </c>
      <c r="AU51" s="5">
        <f t="shared" si="49"/>
        <v>0.99954795597484281</v>
      </c>
      <c r="AV51" s="5">
        <f t="shared" si="49"/>
        <v>0.99955769230769231</v>
      </c>
      <c r="AW51" s="5">
        <f t="shared" si="49"/>
        <v>0.9995670180722892</v>
      </c>
      <c r="AX51" s="5">
        <f t="shared" si="49"/>
        <v>0.99957595870206495</v>
      </c>
      <c r="AY51" s="5">
        <f t="shared" si="49"/>
        <v>0.99958453757225429</v>
      </c>
      <c r="AZ51" s="5">
        <f t="shared" si="49"/>
        <v>0.99959277620396603</v>
      </c>
      <c r="BA51" s="5">
        <f t="shared" si="49"/>
        <v>0.99960069444444444</v>
      </c>
      <c r="BB51" s="5">
        <f t="shared" ref="BB51:BG51" si="50">1-(BB21/BB1)</f>
        <v>1</v>
      </c>
      <c r="BC51" s="5">
        <f t="shared" si="50"/>
        <v>1</v>
      </c>
      <c r="BD51" s="5">
        <f t="shared" si="50"/>
        <v>1</v>
      </c>
      <c r="BE51" s="5">
        <f t="shared" si="50"/>
        <v>1</v>
      </c>
      <c r="BF51" s="5">
        <f t="shared" si="50"/>
        <v>1</v>
      </c>
      <c r="BG51" s="5">
        <f t="shared" si="50"/>
        <v>1</v>
      </c>
      <c r="BH51" s="5">
        <f>1-(BH21/BH1)</f>
        <v>1</v>
      </c>
    </row>
    <row r="52" spans="1:60" x14ac:dyDescent="0.35">
      <c r="A52" s="7" t="s">
        <v>33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x14ac:dyDescent="0.35">
      <c r="A53" s="8" t="s">
        <v>26</v>
      </c>
      <c r="B53" s="5">
        <f>1-(B23/B1)</f>
        <v>1</v>
      </c>
      <c r="C53" s="5">
        <f t="shared" ref="C53:BA53" si="51">1-(C23/C1)</f>
        <v>1</v>
      </c>
      <c r="D53" s="5">
        <f t="shared" si="51"/>
        <v>1</v>
      </c>
      <c r="E53" s="5">
        <f t="shared" si="51"/>
        <v>1</v>
      </c>
      <c r="F53" s="5">
        <f t="shared" si="51"/>
        <v>1</v>
      </c>
      <c r="G53" s="5">
        <f t="shared" si="51"/>
        <v>1</v>
      </c>
      <c r="H53" s="5">
        <f t="shared" si="51"/>
        <v>1</v>
      </c>
      <c r="I53" s="5">
        <f t="shared" si="51"/>
        <v>1</v>
      </c>
      <c r="J53" s="5">
        <f t="shared" si="51"/>
        <v>1</v>
      </c>
      <c r="K53" s="5">
        <f t="shared" si="51"/>
        <v>1</v>
      </c>
      <c r="L53" s="5">
        <f t="shared" si="51"/>
        <v>1</v>
      </c>
      <c r="M53" s="5">
        <f t="shared" si="51"/>
        <v>1</v>
      </c>
      <c r="N53" s="5">
        <f t="shared" si="51"/>
        <v>1</v>
      </c>
      <c r="O53" s="5">
        <f t="shared" si="51"/>
        <v>1</v>
      </c>
      <c r="P53" s="5">
        <f t="shared" si="51"/>
        <v>1</v>
      </c>
      <c r="Q53" s="5">
        <f t="shared" si="51"/>
        <v>1</v>
      </c>
      <c r="R53" s="5">
        <f t="shared" si="51"/>
        <v>1</v>
      </c>
      <c r="S53" s="5">
        <f t="shared" si="51"/>
        <v>1</v>
      </c>
      <c r="T53" s="5">
        <f t="shared" si="51"/>
        <v>1</v>
      </c>
      <c r="U53" s="5">
        <f t="shared" si="51"/>
        <v>1</v>
      </c>
      <c r="V53" s="5">
        <f t="shared" si="51"/>
        <v>1</v>
      </c>
      <c r="W53" s="5">
        <f t="shared" si="51"/>
        <v>1</v>
      </c>
      <c r="X53" s="5">
        <f t="shared" si="51"/>
        <v>1</v>
      </c>
      <c r="Y53" s="5">
        <f t="shared" si="51"/>
        <v>0.99966209349593493</v>
      </c>
      <c r="Z53" s="5">
        <f t="shared" si="51"/>
        <v>0.99967592592592591</v>
      </c>
      <c r="AA53" s="5">
        <f t="shared" si="51"/>
        <v>0.99945458801498133</v>
      </c>
      <c r="AB53" s="5">
        <f t="shared" si="51"/>
        <v>0.99869819819819816</v>
      </c>
      <c r="AC53" s="5">
        <f t="shared" si="51"/>
        <v>0.99874565972222218</v>
      </c>
      <c r="AD53" s="5">
        <f t="shared" si="51"/>
        <v>0.99878978224455617</v>
      </c>
      <c r="AE53" s="5">
        <f t="shared" si="51"/>
        <v>0.99883090614886727</v>
      </c>
      <c r="AF53" s="5">
        <f t="shared" si="51"/>
        <v>0.99886932707355247</v>
      </c>
      <c r="AG53" s="5">
        <f t="shared" si="51"/>
        <v>0.998905303030303</v>
      </c>
      <c r="AH53" s="5">
        <f t="shared" si="51"/>
        <v>0.99893906020557999</v>
      </c>
      <c r="AI53" s="5">
        <f t="shared" si="51"/>
        <v>0.99897079772079778</v>
      </c>
      <c r="AJ53" s="5">
        <f t="shared" si="51"/>
        <v>0.99900069156293225</v>
      </c>
      <c r="AK53" s="5">
        <f t="shared" si="51"/>
        <v>0.99902889784946236</v>
      </c>
      <c r="AL53" s="5">
        <f t="shared" si="51"/>
        <v>0.99905555555555559</v>
      </c>
      <c r="AM53" s="5">
        <f t="shared" si="51"/>
        <v>0.99908078880407125</v>
      </c>
      <c r="AN53" s="5">
        <f t="shared" si="51"/>
        <v>0.99910470879801738</v>
      </c>
      <c r="AO53" s="5">
        <f t="shared" si="51"/>
        <v>0.99912741545893724</v>
      </c>
      <c r="AP53" s="5">
        <f t="shared" si="51"/>
        <v>0.9991489988221437</v>
      </c>
      <c r="AQ53" s="5">
        <f t="shared" si="51"/>
        <v>0.99916954022988502</v>
      </c>
      <c r="AR53" s="5">
        <f t="shared" si="51"/>
        <v>0.99918911335577998</v>
      </c>
      <c r="AS53" s="5">
        <f t="shared" si="51"/>
        <v>0.99920778508771935</v>
      </c>
      <c r="AT53" s="5">
        <f t="shared" si="51"/>
        <v>0.99922561629153273</v>
      </c>
      <c r="AU53" s="5">
        <f t="shared" si="51"/>
        <v>0.99924266247379456</v>
      </c>
      <c r="AV53" s="5">
        <f t="shared" si="51"/>
        <v>0.99925897435897437</v>
      </c>
      <c r="AW53" s="5">
        <f t="shared" si="51"/>
        <v>0.99927459839357424</v>
      </c>
      <c r="AX53" s="5">
        <f t="shared" si="51"/>
        <v>0.99928957718780731</v>
      </c>
      <c r="AY53" s="5">
        <f t="shared" si="51"/>
        <v>0.99930394990366089</v>
      </c>
      <c r="AZ53" s="5">
        <f t="shared" si="51"/>
        <v>0.99931775259678945</v>
      </c>
      <c r="BA53" s="5">
        <f t="shared" si="51"/>
        <v>0.99933101851851847</v>
      </c>
      <c r="BB53" s="5">
        <f t="shared" ref="BB53:BG53" si="52">1-(BB23/BB1)</f>
        <v>1</v>
      </c>
      <c r="BC53" s="5">
        <f t="shared" si="52"/>
        <v>1</v>
      </c>
      <c r="BD53" s="5">
        <f t="shared" si="52"/>
        <v>1</v>
      </c>
      <c r="BE53" s="5">
        <f t="shared" si="52"/>
        <v>1</v>
      </c>
      <c r="BF53" s="5">
        <f t="shared" si="52"/>
        <v>1</v>
      </c>
      <c r="BG53" s="5">
        <f t="shared" si="52"/>
        <v>1</v>
      </c>
      <c r="BH53" s="5">
        <f>1-(BH23/BH1)</f>
        <v>1</v>
      </c>
    </row>
    <row r="54" spans="1:60" x14ac:dyDescent="0.35">
      <c r="A54" s="8" t="s">
        <v>27</v>
      </c>
      <c r="B54" s="5">
        <f>1-(B24/B1)</f>
        <v>1</v>
      </c>
      <c r="C54" s="5">
        <f t="shared" ref="C54:BA54" si="53">1-(C24/C1)</f>
        <v>1</v>
      </c>
      <c r="D54" s="5">
        <f t="shared" si="53"/>
        <v>1</v>
      </c>
      <c r="E54" s="5">
        <f t="shared" si="53"/>
        <v>1</v>
      </c>
      <c r="F54" s="5">
        <f t="shared" si="53"/>
        <v>1</v>
      </c>
      <c r="G54" s="5">
        <f t="shared" si="53"/>
        <v>1</v>
      </c>
      <c r="H54" s="5">
        <f t="shared" si="53"/>
        <v>1</v>
      </c>
      <c r="I54" s="5">
        <f t="shared" si="53"/>
        <v>1</v>
      </c>
      <c r="J54" s="5">
        <f t="shared" si="53"/>
        <v>1</v>
      </c>
      <c r="K54" s="5">
        <f t="shared" si="53"/>
        <v>1</v>
      </c>
      <c r="L54" s="5">
        <f t="shared" si="53"/>
        <v>1</v>
      </c>
      <c r="M54" s="5">
        <f t="shared" si="53"/>
        <v>1</v>
      </c>
      <c r="N54" s="5">
        <f t="shared" si="53"/>
        <v>1</v>
      </c>
      <c r="O54" s="5">
        <f t="shared" si="53"/>
        <v>1</v>
      </c>
      <c r="P54" s="5">
        <f t="shared" si="53"/>
        <v>1</v>
      </c>
      <c r="Q54" s="5">
        <f t="shared" si="53"/>
        <v>1</v>
      </c>
      <c r="R54" s="5">
        <f t="shared" si="53"/>
        <v>1</v>
      </c>
      <c r="S54" s="5">
        <f t="shared" si="53"/>
        <v>1</v>
      </c>
      <c r="T54" s="5">
        <f t="shared" si="53"/>
        <v>1</v>
      </c>
      <c r="U54" s="5">
        <f t="shared" si="53"/>
        <v>1</v>
      </c>
      <c r="V54" s="5">
        <f t="shared" si="53"/>
        <v>1</v>
      </c>
      <c r="W54" s="5">
        <f t="shared" si="53"/>
        <v>1</v>
      </c>
      <c r="X54" s="5">
        <f t="shared" si="53"/>
        <v>1</v>
      </c>
      <c r="Y54" s="5">
        <f t="shared" si="53"/>
        <v>0.99966209349593493</v>
      </c>
      <c r="Z54" s="5">
        <f t="shared" si="53"/>
        <v>0.99967592592592591</v>
      </c>
      <c r="AA54" s="5">
        <f t="shared" si="53"/>
        <v>0.99945458801498133</v>
      </c>
      <c r="AB54" s="5">
        <f t="shared" si="53"/>
        <v>0.99892342342342344</v>
      </c>
      <c r="AC54" s="5">
        <f t="shared" si="53"/>
        <v>0.99896267361111113</v>
      </c>
      <c r="AD54" s="5">
        <f t="shared" si="53"/>
        <v>0.99899916247906195</v>
      </c>
      <c r="AE54" s="5">
        <f t="shared" si="53"/>
        <v>0.99903317152103555</v>
      </c>
      <c r="AF54" s="5">
        <f t="shared" si="53"/>
        <v>0.99906494522691702</v>
      </c>
      <c r="AG54" s="5">
        <f t="shared" si="53"/>
        <v>0.99909469696969699</v>
      </c>
      <c r="AH54" s="5">
        <f t="shared" si="53"/>
        <v>0.99912261380323053</v>
      </c>
      <c r="AI54" s="5">
        <f t="shared" si="53"/>
        <v>0.99914886039886042</v>
      </c>
      <c r="AJ54" s="5">
        <f t="shared" si="53"/>
        <v>0.99917358229598896</v>
      </c>
      <c r="AK54" s="5">
        <f t="shared" si="53"/>
        <v>0.99919690860215049</v>
      </c>
      <c r="AL54" s="5">
        <f t="shared" si="53"/>
        <v>0.99921895424836604</v>
      </c>
      <c r="AM54" s="5">
        <f t="shared" si="53"/>
        <v>0.99923982188295168</v>
      </c>
      <c r="AN54" s="5">
        <f t="shared" si="53"/>
        <v>0.9992596034696406</v>
      </c>
      <c r="AO54" s="5">
        <f t="shared" si="53"/>
        <v>0.99927838164251204</v>
      </c>
      <c r="AP54" s="5">
        <f t="shared" si="53"/>
        <v>0.9992962308598351</v>
      </c>
      <c r="AQ54" s="5">
        <f t="shared" si="53"/>
        <v>0.99931321839080456</v>
      </c>
      <c r="AR54" s="5">
        <f t="shared" si="53"/>
        <v>0.99932940516273849</v>
      </c>
      <c r="AS54" s="5">
        <f t="shared" si="53"/>
        <v>0.99934484649122812</v>
      </c>
      <c r="AT54" s="5">
        <f t="shared" si="53"/>
        <v>0.99935959271168273</v>
      </c>
      <c r="AU54" s="5">
        <f t="shared" si="53"/>
        <v>0.99937368972746332</v>
      </c>
      <c r="AV54" s="5">
        <f t="shared" si="53"/>
        <v>0.99938717948717948</v>
      </c>
      <c r="AW54" s="5">
        <f t="shared" si="53"/>
        <v>0.99940010040160643</v>
      </c>
      <c r="AX54" s="5">
        <f t="shared" si="53"/>
        <v>0.99941248770894786</v>
      </c>
      <c r="AY54" s="5">
        <f t="shared" si="53"/>
        <v>0.9994243737957611</v>
      </c>
      <c r="AZ54" s="5">
        <f t="shared" si="53"/>
        <v>0.99943578847969783</v>
      </c>
      <c r="BA54" s="5">
        <f t="shared" si="53"/>
        <v>0.9994467592592593</v>
      </c>
      <c r="BB54" s="5">
        <f t="shared" ref="BB54:BG54" si="54">1-(BB24/BB1)</f>
        <v>1</v>
      </c>
      <c r="BC54" s="5">
        <f t="shared" si="54"/>
        <v>1</v>
      </c>
      <c r="BD54" s="5">
        <f t="shared" si="54"/>
        <v>1</v>
      </c>
      <c r="BE54" s="5">
        <f t="shared" si="54"/>
        <v>1</v>
      </c>
      <c r="BF54" s="5">
        <f t="shared" si="54"/>
        <v>1</v>
      </c>
      <c r="BG54" s="5">
        <f t="shared" si="54"/>
        <v>1</v>
      </c>
      <c r="BH54" s="5">
        <f>1-(BH24/BH1)</f>
        <v>1</v>
      </c>
    </row>
    <row r="55" spans="1:60" x14ac:dyDescent="0.35">
      <c r="A55" s="8" t="s">
        <v>28</v>
      </c>
      <c r="B55" s="5">
        <f>1-(B25/B1)</f>
        <v>1</v>
      </c>
      <c r="C55" s="5">
        <f t="shared" ref="C55:BA55" si="55">1-(C25/C1)</f>
        <v>1</v>
      </c>
      <c r="D55" s="5">
        <f t="shared" si="55"/>
        <v>1</v>
      </c>
      <c r="E55" s="5">
        <f t="shared" si="55"/>
        <v>1</v>
      </c>
      <c r="F55" s="5">
        <f t="shared" si="55"/>
        <v>1</v>
      </c>
      <c r="G55" s="5">
        <f t="shared" si="55"/>
        <v>1</v>
      </c>
      <c r="H55" s="5">
        <f t="shared" si="55"/>
        <v>1</v>
      </c>
      <c r="I55" s="5">
        <f t="shared" si="55"/>
        <v>1</v>
      </c>
      <c r="J55" s="5">
        <f t="shared" si="55"/>
        <v>1</v>
      </c>
      <c r="K55" s="5">
        <f t="shared" si="55"/>
        <v>1</v>
      </c>
      <c r="L55" s="5">
        <f t="shared" si="55"/>
        <v>1</v>
      </c>
      <c r="M55" s="5">
        <f t="shared" si="55"/>
        <v>1</v>
      </c>
      <c r="N55" s="5">
        <f t="shared" si="55"/>
        <v>1</v>
      </c>
      <c r="O55" s="5">
        <f t="shared" si="55"/>
        <v>1</v>
      </c>
      <c r="P55" s="5">
        <f t="shared" si="55"/>
        <v>1</v>
      </c>
      <c r="Q55" s="5">
        <f t="shared" si="55"/>
        <v>1</v>
      </c>
      <c r="R55" s="5">
        <f t="shared" si="55"/>
        <v>1</v>
      </c>
      <c r="S55" s="5">
        <f t="shared" si="55"/>
        <v>1</v>
      </c>
      <c r="T55" s="5">
        <f t="shared" si="55"/>
        <v>1</v>
      </c>
      <c r="U55" s="5">
        <f t="shared" si="55"/>
        <v>1</v>
      </c>
      <c r="V55" s="5">
        <f t="shared" si="55"/>
        <v>1</v>
      </c>
      <c r="W55" s="5">
        <f t="shared" si="55"/>
        <v>1</v>
      </c>
      <c r="X55" s="5">
        <f t="shared" si="55"/>
        <v>1</v>
      </c>
      <c r="Y55" s="5">
        <f t="shared" si="55"/>
        <v>0.99966209349593493</v>
      </c>
      <c r="Z55" s="5">
        <f t="shared" si="55"/>
        <v>0.99967592592592591</v>
      </c>
      <c r="AA55" s="5">
        <f t="shared" si="55"/>
        <v>0.99945458801498133</v>
      </c>
      <c r="AB55" s="5">
        <f t="shared" si="55"/>
        <v>0.99892342342342344</v>
      </c>
      <c r="AC55" s="5">
        <f t="shared" si="55"/>
        <v>0.99896267361111113</v>
      </c>
      <c r="AD55" s="5">
        <f t="shared" si="55"/>
        <v>0.99899916247906195</v>
      </c>
      <c r="AE55" s="5">
        <f t="shared" si="55"/>
        <v>0.99903317152103555</v>
      </c>
      <c r="AF55" s="5">
        <f t="shared" si="55"/>
        <v>0.99906494522691702</v>
      </c>
      <c r="AG55" s="5">
        <f t="shared" si="55"/>
        <v>0.99909469696969699</v>
      </c>
      <c r="AH55" s="5">
        <f t="shared" si="55"/>
        <v>0.99912261380323053</v>
      </c>
      <c r="AI55" s="5">
        <f t="shared" si="55"/>
        <v>0.99914886039886042</v>
      </c>
      <c r="AJ55" s="5">
        <f t="shared" si="55"/>
        <v>0.99917358229598896</v>
      </c>
      <c r="AK55" s="5">
        <f t="shared" si="55"/>
        <v>0.99919690860215049</v>
      </c>
      <c r="AL55" s="5">
        <f t="shared" si="55"/>
        <v>0.99921895424836604</v>
      </c>
      <c r="AM55" s="5">
        <f t="shared" si="55"/>
        <v>0.99923982188295168</v>
      </c>
      <c r="AN55" s="5">
        <f t="shared" si="55"/>
        <v>0.9992596034696406</v>
      </c>
      <c r="AO55" s="5">
        <f t="shared" si="55"/>
        <v>0.99927838164251204</v>
      </c>
      <c r="AP55" s="5">
        <f t="shared" si="55"/>
        <v>0.9992962308598351</v>
      </c>
      <c r="AQ55" s="5">
        <f t="shared" si="55"/>
        <v>0.99931321839080456</v>
      </c>
      <c r="AR55" s="5">
        <f t="shared" si="55"/>
        <v>0.99932940516273849</v>
      </c>
      <c r="AS55" s="5">
        <f t="shared" si="55"/>
        <v>0.99934484649122812</v>
      </c>
      <c r="AT55" s="5">
        <f t="shared" si="55"/>
        <v>0.99935959271168273</v>
      </c>
      <c r="AU55" s="5">
        <f t="shared" si="55"/>
        <v>0.99937368972746332</v>
      </c>
      <c r="AV55" s="5">
        <f t="shared" si="55"/>
        <v>0.99938717948717948</v>
      </c>
      <c r="AW55" s="5">
        <f t="shared" si="55"/>
        <v>0.99940010040160643</v>
      </c>
      <c r="AX55" s="5">
        <f t="shared" si="55"/>
        <v>0.99941248770894786</v>
      </c>
      <c r="AY55" s="5">
        <f t="shared" si="55"/>
        <v>0.9994243737957611</v>
      </c>
      <c r="AZ55" s="5">
        <f t="shared" si="55"/>
        <v>0.99943578847969783</v>
      </c>
      <c r="BA55" s="5">
        <f t="shared" si="55"/>
        <v>0.9994467592592593</v>
      </c>
      <c r="BB55" s="5">
        <f t="shared" ref="BB55:BG55" si="56">1-(BB25/BB1)</f>
        <v>1</v>
      </c>
      <c r="BC55" s="5">
        <f t="shared" si="56"/>
        <v>1</v>
      </c>
      <c r="BD55" s="5">
        <f t="shared" si="56"/>
        <v>1</v>
      </c>
      <c r="BE55" s="5">
        <f t="shared" si="56"/>
        <v>1</v>
      </c>
      <c r="BF55" s="5">
        <f t="shared" si="56"/>
        <v>1</v>
      </c>
      <c r="BG55" s="5">
        <f t="shared" si="56"/>
        <v>1</v>
      </c>
      <c r="BH55" s="5">
        <f>1-(BH25/BH1)</f>
        <v>1</v>
      </c>
    </row>
    <row r="56" spans="1:60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</sheetData>
  <conditionalFormatting sqref="B39:AW41">
    <cfRule type="cellIs" dxfId="161" priority="129" operator="greaterThan">
      <formula>0.9999</formula>
    </cfRule>
    <cfRule type="cellIs" dxfId="160" priority="126" stopIfTrue="1" operator="lessThan">
      <formula>0.999</formula>
    </cfRule>
    <cfRule type="cellIs" dxfId="159" priority="127" stopIfTrue="1" operator="between">
      <formula>0.9989</formula>
      <formula>0.9993</formula>
    </cfRule>
    <cfRule type="cellIs" dxfId="158" priority="128" operator="greaterThanOrEqual">
      <formula>0.9994</formula>
    </cfRule>
  </conditionalFormatting>
  <conditionalFormatting sqref="B5:BH7">
    <cfRule type="containsBlanks" dxfId="157" priority="13">
      <formula>LEN(TRIM(B5))=0</formula>
    </cfRule>
    <cfRule type="cellIs" dxfId="156" priority="34" operator="greaterThan">
      <formula>0</formula>
    </cfRule>
  </conditionalFormatting>
  <conditionalFormatting sqref="B9:BH11">
    <cfRule type="containsBlanks" dxfId="155" priority="7">
      <formula>LEN(TRIM(B9))=0</formula>
    </cfRule>
    <cfRule type="cellIs" dxfId="154" priority="8" operator="greaterThan">
      <formula>0</formula>
    </cfRule>
  </conditionalFormatting>
  <conditionalFormatting sqref="B13:BH15">
    <cfRule type="cellIs" dxfId="153" priority="6" operator="greaterThan">
      <formula>0</formula>
    </cfRule>
    <cfRule type="containsBlanks" dxfId="152" priority="5">
      <formula>LEN(TRIM(B13))=0</formula>
    </cfRule>
  </conditionalFormatting>
  <conditionalFormatting sqref="B17:BH19">
    <cfRule type="containsBlanks" dxfId="151" priority="3">
      <formula>LEN(TRIM(B17))=0</formula>
    </cfRule>
    <cfRule type="cellIs" dxfId="150" priority="4" operator="greaterThan">
      <formula>0</formula>
    </cfRule>
  </conditionalFormatting>
  <conditionalFormatting sqref="B21:BH21">
    <cfRule type="containsBlanks" dxfId="149" priority="55">
      <formula>LEN(TRIM(B21))=0</formula>
    </cfRule>
    <cfRule type="cellIs" dxfId="148" priority="56" operator="greaterThan">
      <formula>0</formula>
    </cfRule>
  </conditionalFormatting>
  <conditionalFormatting sqref="B23:BH25">
    <cfRule type="cellIs" dxfId="147" priority="2" operator="greaterThan">
      <formula>0</formula>
    </cfRule>
    <cfRule type="containsBlanks" dxfId="146" priority="1">
      <formula>LEN(TRIM(B23))=0</formula>
    </cfRule>
  </conditionalFormatting>
  <conditionalFormatting sqref="B31:BH33">
    <cfRule type="cellIs" dxfId="145" priority="9" stopIfTrue="1" operator="lessThan">
      <formula>0.999</formula>
    </cfRule>
    <cfRule type="cellIs" dxfId="144" priority="10" stopIfTrue="1" operator="between">
      <formula>0.9989</formula>
      <formula>0.9993</formula>
    </cfRule>
    <cfRule type="cellIs" dxfId="143" priority="11" operator="greaterThanOrEqual">
      <formula>0.9994</formula>
    </cfRule>
    <cfRule type="cellIs" dxfId="142" priority="12" operator="greaterThan">
      <formula>0.9999</formula>
    </cfRule>
  </conditionalFormatting>
  <conditionalFormatting sqref="B35:BH37">
    <cfRule type="cellIs" dxfId="141" priority="32" operator="greaterThanOrEqual">
      <formula>0.9994</formula>
    </cfRule>
    <cfRule type="cellIs" dxfId="140" priority="31" stopIfTrue="1" operator="between">
      <formula>0.9989</formula>
      <formula>0.9993</formula>
    </cfRule>
    <cfRule type="cellIs" dxfId="139" priority="30" stopIfTrue="1" operator="lessThan">
      <formula>0.999</formula>
    </cfRule>
    <cfRule type="cellIs" dxfId="138" priority="33" operator="greaterThan">
      <formula>0.9999</formula>
    </cfRule>
  </conditionalFormatting>
  <conditionalFormatting sqref="B43:BH45">
    <cfRule type="cellIs" dxfId="137" priority="25" operator="greaterThan">
      <formula>0.9999</formula>
    </cfRule>
    <cfRule type="cellIs" dxfId="136" priority="23" stopIfTrue="1" operator="between">
      <formula>0.9989</formula>
      <formula>0.9993</formula>
    </cfRule>
    <cfRule type="cellIs" dxfId="135" priority="24" operator="greaterThanOrEqual">
      <formula>0.9994</formula>
    </cfRule>
    <cfRule type="cellIs" dxfId="134" priority="22" stopIfTrue="1" operator="lessThan">
      <formula>0.999</formula>
    </cfRule>
  </conditionalFormatting>
  <conditionalFormatting sqref="B47:BH49">
    <cfRule type="cellIs" dxfId="133" priority="18" stopIfTrue="1" operator="lessThan">
      <formula>0.999</formula>
    </cfRule>
    <cfRule type="cellIs" dxfId="132" priority="20" operator="greaterThanOrEqual">
      <formula>0.9994</formula>
    </cfRule>
    <cfRule type="cellIs" dxfId="131" priority="21" operator="greaterThan">
      <formula>0.9999</formula>
    </cfRule>
    <cfRule type="cellIs" dxfId="130" priority="19" stopIfTrue="1" operator="between">
      <formula>0.9989</formula>
      <formula>0.9993</formula>
    </cfRule>
  </conditionalFormatting>
  <conditionalFormatting sqref="B51:BH51">
    <cfRule type="cellIs" dxfId="129" priority="114" stopIfTrue="1" operator="lessThan">
      <formula>0.999</formula>
    </cfRule>
    <cfRule type="cellIs" dxfId="128" priority="115" stopIfTrue="1" operator="between">
      <formula>0.9989</formula>
      <formula>0.9993</formula>
    </cfRule>
    <cfRule type="cellIs" dxfId="127" priority="116" operator="greaterThanOrEqual">
      <formula>0.9994</formula>
    </cfRule>
    <cfRule type="cellIs" dxfId="126" priority="117" operator="greaterThan">
      <formula>0.9999</formula>
    </cfRule>
  </conditionalFormatting>
  <conditionalFormatting sqref="B53:BH55">
    <cfRule type="cellIs" dxfId="125" priority="17" operator="greaterThan">
      <formula>0.9999</formula>
    </cfRule>
    <cfRule type="cellIs" dxfId="124" priority="16" operator="greaterThanOrEqual">
      <formula>0.9994</formula>
    </cfRule>
    <cfRule type="cellIs" dxfId="123" priority="15" stopIfTrue="1" operator="between">
      <formula>0.9989</formula>
      <formula>0.9993</formula>
    </cfRule>
    <cfRule type="cellIs" dxfId="122" priority="14" stopIfTrue="1" operator="lessThan">
      <formula>0.999</formula>
    </cfRule>
  </conditionalFormatting>
  <conditionalFormatting sqref="AX39:AX41">
    <cfRule type="cellIs" dxfId="121" priority="45" operator="between">
      <formula>0.9989</formula>
      <formula>0.9993</formula>
    </cfRule>
    <cfRule type="cellIs" dxfId="120" priority="46" operator="lessThan">
      <formula>0.999</formula>
    </cfRule>
  </conditionalFormatting>
  <conditionalFormatting sqref="AX39:BH41">
    <cfRule type="cellIs" dxfId="119" priority="28" operator="greaterThanOrEqual">
      <formula>0.9994</formula>
    </cfRule>
    <cfRule type="cellIs" dxfId="118" priority="29" operator="greaterThan">
      <formula>0.9999</formula>
    </cfRule>
  </conditionalFormatting>
  <conditionalFormatting sqref="AY39:BH41">
    <cfRule type="cellIs" dxfId="117" priority="26" stopIfTrue="1" operator="lessThan">
      <formula>0.999</formula>
    </cfRule>
    <cfRule type="cellIs" dxfId="116" priority="27" stopIfTrue="1" operator="between">
      <formula>0.9989</formula>
      <formula>0.9993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B0CD-7EB5-458E-8F0F-E016CF44C0A3}">
  <sheetPr codeName="Sheet9">
    <tabColor theme="8" tint="0.59999389629810485"/>
  </sheetPr>
  <dimension ref="A1:BI74"/>
  <sheetViews>
    <sheetView topLeftCell="AT1" workbookViewId="0">
      <selection activeCell="BH1" sqref="BH1:BI1"/>
    </sheetView>
  </sheetViews>
  <sheetFormatPr defaultColWidth="8.81640625" defaultRowHeight="14.5" x14ac:dyDescent="0.35"/>
  <cols>
    <col min="1" max="1" width="22.7265625" style="2" customWidth="1"/>
    <col min="2" max="20" width="8.81640625" style="2" hidden="1" customWidth="1"/>
    <col min="21" max="22" width="10.1796875" style="2" hidden="1" customWidth="1"/>
    <col min="23" max="24" width="8.81640625" style="2" hidden="1" customWidth="1"/>
    <col min="25" max="25" width="9.7265625" style="2" hidden="1" customWidth="1"/>
    <col min="26" max="26" width="10" style="2" hidden="1" customWidth="1"/>
    <col min="27" max="27" width="10.54296875" style="2" hidden="1" customWidth="1"/>
    <col min="28" max="28" width="8.81640625" style="2" hidden="1" customWidth="1"/>
    <col min="29" max="29" width="9.81640625" style="2" hidden="1" customWidth="1"/>
    <col min="30" max="30" width="10.26953125" style="2" hidden="1" customWidth="1"/>
    <col min="31" max="31" width="11.1796875" style="2" hidden="1" customWidth="1"/>
    <col min="32" max="33" width="0" style="2" hidden="1" customWidth="1"/>
    <col min="34" max="34" width="9.54296875" style="2" hidden="1" customWidth="1"/>
    <col min="35" max="35" width="10.81640625" style="2" hidden="1" customWidth="1"/>
    <col min="36" max="36" width="9.7265625" style="2" hidden="1" customWidth="1"/>
    <col min="37" max="37" width="0" style="2" hidden="1" customWidth="1"/>
    <col min="38" max="38" width="11.26953125" style="2" hidden="1" customWidth="1"/>
    <col min="39" max="39" width="10.1796875" style="2" hidden="1" customWidth="1"/>
    <col min="40" max="40" width="9.7265625" style="2" hidden="1" customWidth="1"/>
    <col min="41" max="41" width="11.1796875" style="2" customWidth="1"/>
    <col min="42" max="42" width="10.453125" style="2" customWidth="1"/>
    <col min="43" max="43" width="13.26953125" style="2" customWidth="1"/>
    <col min="44" max="44" width="10.453125" style="2" customWidth="1"/>
    <col min="45" max="45" width="10.54296875" style="2" customWidth="1"/>
    <col min="46" max="46" width="11.81640625" style="2" customWidth="1"/>
    <col min="47" max="47" width="10.1796875" style="2" customWidth="1"/>
    <col min="48" max="48" width="13.453125" style="2" customWidth="1"/>
    <col min="49" max="49" width="12.26953125" style="2" customWidth="1"/>
    <col min="50" max="50" width="11.26953125" style="2" customWidth="1"/>
    <col min="51" max="51" width="10.453125" style="2" customWidth="1"/>
    <col min="52" max="52" width="11.26953125" style="2" customWidth="1"/>
    <col min="53" max="59" width="10.54296875" style="2" customWidth="1"/>
    <col min="60" max="60" width="9.08984375" style="2" bestFit="1" customWidth="1"/>
    <col min="61" max="16384" width="8.81640625" style="2"/>
  </cols>
  <sheetData>
    <row r="1" spans="1:61" x14ac:dyDescent="0.35">
      <c r="A1" s="9" t="s">
        <v>22</v>
      </c>
      <c r="B1" s="1">
        <v>8784</v>
      </c>
      <c r="C1" s="1">
        <v>8784</v>
      </c>
      <c r="D1" s="1">
        <v>8784</v>
      </c>
      <c r="E1" s="1">
        <v>8784</v>
      </c>
      <c r="F1" s="1">
        <v>8784</v>
      </c>
      <c r="G1" s="1">
        <v>8784</v>
      </c>
      <c r="H1" s="1">
        <v>8784</v>
      </c>
      <c r="I1" s="1">
        <v>8784</v>
      </c>
      <c r="J1" s="1">
        <v>8784</v>
      </c>
      <c r="K1" s="1">
        <v>8760</v>
      </c>
      <c r="L1" s="1">
        <v>8760</v>
      </c>
      <c r="M1" s="1">
        <v>8760</v>
      </c>
      <c r="N1" s="1">
        <v>8760</v>
      </c>
      <c r="O1" s="1">
        <v>8760</v>
      </c>
      <c r="P1" s="1">
        <v>8760</v>
      </c>
      <c r="Q1" s="1">
        <v>8760</v>
      </c>
      <c r="R1" s="1">
        <v>8760</v>
      </c>
      <c r="S1" s="1">
        <v>8760</v>
      </c>
      <c r="T1" s="1">
        <v>8760</v>
      </c>
      <c r="U1" s="1">
        <v>8760</v>
      </c>
      <c r="V1" s="1">
        <v>8760</v>
      </c>
      <c r="W1" s="1">
        <v>8760</v>
      </c>
      <c r="X1" s="1">
        <v>8760</v>
      </c>
      <c r="Y1" s="1">
        <v>8760</v>
      </c>
      <c r="Z1" s="1">
        <v>8760</v>
      </c>
      <c r="AA1" s="1">
        <v>8760</v>
      </c>
      <c r="AB1" s="1">
        <v>8760</v>
      </c>
      <c r="AC1" s="1">
        <v>8760</v>
      </c>
      <c r="AD1" s="1">
        <v>8760</v>
      </c>
      <c r="AE1" s="1">
        <v>8760</v>
      </c>
      <c r="AF1" s="1">
        <v>8760</v>
      </c>
      <c r="AG1" s="1">
        <v>8760</v>
      </c>
      <c r="AH1" s="1">
        <v>8760</v>
      </c>
      <c r="AI1" s="1">
        <v>8760</v>
      </c>
      <c r="AJ1" s="1">
        <v>8760</v>
      </c>
      <c r="AK1" s="1">
        <v>8760</v>
      </c>
      <c r="AL1" s="1">
        <v>8760</v>
      </c>
      <c r="AM1" s="1">
        <v>8760</v>
      </c>
      <c r="AN1" s="1">
        <v>8760</v>
      </c>
      <c r="AO1" s="1">
        <v>8760</v>
      </c>
      <c r="AP1" s="1">
        <v>8760</v>
      </c>
      <c r="AQ1" s="1">
        <v>8760</v>
      </c>
      <c r="AR1" s="1">
        <v>8760</v>
      </c>
      <c r="AS1" s="1">
        <v>8760</v>
      </c>
      <c r="AT1" s="1">
        <v>8760</v>
      </c>
      <c r="AU1" s="1">
        <v>8760</v>
      </c>
      <c r="AV1" s="1">
        <v>8760</v>
      </c>
      <c r="AW1" s="1">
        <v>8760</v>
      </c>
      <c r="AX1" s="1">
        <v>8760</v>
      </c>
      <c r="AY1" s="1">
        <v>8760</v>
      </c>
      <c r="AZ1" s="1">
        <v>8760</v>
      </c>
      <c r="BA1" s="1">
        <v>8760</v>
      </c>
      <c r="BB1" s="1">
        <v>8760</v>
      </c>
      <c r="BC1" s="1">
        <v>8760</v>
      </c>
      <c r="BD1" s="1">
        <v>8760</v>
      </c>
      <c r="BE1" s="1">
        <v>8760</v>
      </c>
      <c r="BF1" s="1">
        <v>8760</v>
      </c>
      <c r="BG1" s="1">
        <v>8760</v>
      </c>
      <c r="BH1" s="1">
        <v>8760</v>
      </c>
      <c r="BI1" s="1">
        <v>8760</v>
      </c>
    </row>
    <row r="2" spans="1:61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</row>
    <row r="3" spans="1:61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</row>
    <row r="4" spans="1:61" x14ac:dyDescent="0.35">
      <c r="A4" s="7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1" x14ac:dyDescent="0.35">
      <c r="A5" s="8" t="s">
        <v>26</v>
      </c>
      <c r="B5" s="4">
        <v>0.25</v>
      </c>
      <c r="C5" s="4">
        <v>0.25</v>
      </c>
      <c r="D5" s="4">
        <v>0.25</v>
      </c>
      <c r="E5" s="4">
        <v>0.25</v>
      </c>
      <c r="F5" s="4">
        <v>0.25</v>
      </c>
      <c r="G5" s="4">
        <v>0.25</v>
      </c>
      <c r="H5" s="4">
        <v>0.25</v>
      </c>
      <c r="I5" s="4">
        <v>0.25</v>
      </c>
      <c r="J5" s="4">
        <v>0.25</v>
      </c>
      <c r="K5" s="4">
        <v>0.25</v>
      </c>
      <c r="L5" s="4">
        <v>0.25</v>
      </c>
      <c r="M5" s="4">
        <v>0.25</v>
      </c>
      <c r="N5" s="4">
        <v>0.25</v>
      </c>
      <c r="O5" s="4">
        <v>0.25</v>
      </c>
      <c r="P5" s="4">
        <v>0.25</v>
      </c>
      <c r="Q5" s="4">
        <v>0.25</v>
      </c>
      <c r="R5" s="4">
        <v>0.25</v>
      </c>
      <c r="S5" s="4">
        <v>0.25</v>
      </c>
      <c r="T5" s="4">
        <v>0.25</v>
      </c>
      <c r="U5" s="4">
        <v>0.25</v>
      </c>
      <c r="V5" s="4">
        <v>0.25</v>
      </c>
      <c r="W5" s="4">
        <v>0.25</v>
      </c>
      <c r="X5" s="4">
        <v>0.25</v>
      </c>
      <c r="Y5" s="4">
        <v>0.25</v>
      </c>
      <c r="Z5" s="4">
        <v>0.25</v>
      </c>
      <c r="AA5" s="4">
        <v>0.25</v>
      </c>
      <c r="AB5" s="4">
        <v>3.45</v>
      </c>
      <c r="AC5" s="4">
        <v>3.7</v>
      </c>
      <c r="AD5" s="4">
        <v>3.7</v>
      </c>
      <c r="AE5" s="4">
        <v>3.7</v>
      </c>
      <c r="AF5" s="4">
        <v>3.7</v>
      </c>
      <c r="AG5" s="4">
        <v>3.7</v>
      </c>
      <c r="AH5" s="4">
        <v>3.7</v>
      </c>
      <c r="AI5" s="4">
        <v>3.7</v>
      </c>
      <c r="AJ5" s="4">
        <v>3.7</v>
      </c>
      <c r="AK5" s="4">
        <v>3.7</v>
      </c>
      <c r="AL5" s="4">
        <v>3.7</v>
      </c>
      <c r="AM5" s="4">
        <v>3.7</v>
      </c>
      <c r="AN5" s="4">
        <v>3.7</v>
      </c>
      <c r="AO5" s="4">
        <v>3.7</v>
      </c>
      <c r="AP5" s="4">
        <v>3.7</v>
      </c>
      <c r="AQ5" s="4">
        <v>3.7</v>
      </c>
      <c r="AR5" s="4">
        <v>3.7</v>
      </c>
      <c r="AS5" s="4">
        <v>3.7</v>
      </c>
      <c r="AT5" s="4">
        <v>3.7</v>
      </c>
      <c r="AU5" s="4">
        <v>3.7</v>
      </c>
      <c r="AV5" s="4">
        <v>3.7</v>
      </c>
      <c r="AW5" s="4">
        <v>3.7</v>
      </c>
      <c r="AX5" s="4">
        <v>3.7</v>
      </c>
      <c r="AY5" s="4">
        <v>3.7</v>
      </c>
      <c r="AZ5" s="4">
        <v>3.7</v>
      </c>
      <c r="BA5" s="4">
        <v>3.7</v>
      </c>
      <c r="BB5" s="4">
        <v>3.7</v>
      </c>
      <c r="BC5" s="4">
        <v>3.7</v>
      </c>
      <c r="BD5" s="4">
        <v>3.7</v>
      </c>
      <c r="BE5" s="4">
        <v>3.7</v>
      </c>
      <c r="BF5" s="4">
        <v>3.7</v>
      </c>
      <c r="BG5" s="4">
        <v>3.7</v>
      </c>
      <c r="BH5" s="4">
        <v>3.7</v>
      </c>
    </row>
    <row r="6" spans="1:61" x14ac:dyDescent="0.35">
      <c r="A6" s="8" t="s">
        <v>27</v>
      </c>
      <c r="B6" s="4">
        <v>3.7</v>
      </c>
      <c r="C6" s="4">
        <v>3.7</v>
      </c>
      <c r="D6" s="4">
        <v>3.7</v>
      </c>
      <c r="E6" s="4">
        <v>3.7</v>
      </c>
      <c r="F6" s="4">
        <v>3.7</v>
      </c>
      <c r="G6" s="4">
        <v>3.7</v>
      </c>
      <c r="H6" s="4">
        <v>3.7</v>
      </c>
      <c r="I6" s="4">
        <v>3.7</v>
      </c>
      <c r="J6" s="4">
        <v>3.7</v>
      </c>
      <c r="K6" s="4">
        <v>3.7</v>
      </c>
      <c r="L6" s="4">
        <v>3.7</v>
      </c>
      <c r="M6" s="4">
        <v>3.7</v>
      </c>
      <c r="N6" s="4">
        <v>3.7</v>
      </c>
      <c r="O6" s="4">
        <v>3.7</v>
      </c>
      <c r="P6" s="4">
        <v>3.7</v>
      </c>
      <c r="Q6" s="4">
        <v>3.7</v>
      </c>
      <c r="R6" s="4">
        <v>3.7</v>
      </c>
      <c r="S6" s="4">
        <v>3.7</v>
      </c>
      <c r="T6" s="4">
        <v>3.7</v>
      </c>
      <c r="U6" s="4">
        <v>3.7</v>
      </c>
      <c r="V6" s="4">
        <v>3.7</v>
      </c>
      <c r="W6" s="4">
        <v>3.7</v>
      </c>
      <c r="X6" s="4">
        <v>3.7</v>
      </c>
      <c r="Y6" s="4">
        <v>3.7</v>
      </c>
      <c r="Z6" s="4">
        <v>3.7</v>
      </c>
      <c r="AA6" s="4">
        <v>3.7</v>
      </c>
      <c r="AB6" s="4">
        <v>7.4</v>
      </c>
      <c r="AC6" s="4">
        <v>7.4</v>
      </c>
      <c r="AD6" s="4">
        <v>7.4</v>
      </c>
      <c r="AE6" s="4">
        <v>7.4</v>
      </c>
      <c r="AF6" s="4">
        <v>7.4</v>
      </c>
      <c r="AG6" s="4">
        <v>7.4</v>
      </c>
      <c r="AH6" s="4">
        <v>7.4</v>
      </c>
      <c r="AI6" s="4">
        <v>7.4</v>
      </c>
      <c r="AJ6" s="4">
        <v>7.4</v>
      </c>
      <c r="AK6" s="4">
        <v>7.4</v>
      </c>
      <c r="AL6" s="4">
        <v>7.4</v>
      </c>
      <c r="AM6" s="4">
        <v>7.4</v>
      </c>
      <c r="AN6" s="4">
        <v>7.4</v>
      </c>
      <c r="AO6" s="4">
        <v>7.4</v>
      </c>
      <c r="AP6" s="4">
        <v>7.4</v>
      </c>
      <c r="AQ6" s="4">
        <v>7.4</v>
      </c>
      <c r="AR6" s="4">
        <v>7.4</v>
      </c>
      <c r="AS6" s="4">
        <v>7.4</v>
      </c>
      <c r="AT6" s="4">
        <v>3.7</v>
      </c>
      <c r="AU6" s="4">
        <v>3.7</v>
      </c>
      <c r="AV6" s="4">
        <v>3.7</v>
      </c>
      <c r="AW6" s="4">
        <v>3.7</v>
      </c>
      <c r="AX6" s="4">
        <v>3.7</v>
      </c>
      <c r="AY6" s="4">
        <v>3.7</v>
      </c>
      <c r="AZ6" s="4">
        <v>3.7</v>
      </c>
      <c r="BA6" s="4">
        <v>3.7</v>
      </c>
      <c r="BB6" s="4">
        <v>3.7</v>
      </c>
      <c r="BC6" s="4">
        <v>3.7</v>
      </c>
      <c r="BD6" s="4">
        <v>3.7</v>
      </c>
      <c r="BE6" s="4">
        <v>3.7</v>
      </c>
      <c r="BF6" s="4">
        <v>3.7</v>
      </c>
      <c r="BG6" s="4">
        <v>3.7</v>
      </c>
      <c r="BH6" s="4">
        <v>3.7</v>
      </c>
    </row>
    <row r="7" spans="1:61" x14ac:dyDescent="0.35">
      <c r="A7" s="8" t="s">
        <v>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3.45</v>
      </c>
      <c r="AC7" s="4">
        <v>3.45</v>
      </c>
      <c r="AD7" s="4">
        <v>3.45</v>
      </c>
      <c r="AE7" s="4">
        <v>3.45</v>
      </c>
      <c r="AF7" s="4">
        <v>3.45</v>
      </c>
      <c r="AG7" s="4">
        <v>3.45</v>
      </c>
      <c r="AH7" s="4">
        <v>3.45</v>
      </c>
      <c r="AI7" s="4">
        <v>3.45</v>
      </c>
      <c r="AJ7" s="4">
        <v>3.45</v>
      </c>
      <c r="AK7" s="4">
        <v>3.45</v>
      </c>
      <c r="AL7" s="4">
        <v>3.45</v>
      </c>
      <c r="AM7" s="4">
        <v>3.45</v>
      </c>
      <c r="AN7" s="4">
        <v>3.45</v>
      </c>
      <c r="AO7" s="4">
        <v>3.45</v>
      </c>
      <c r="AP7" s="4">
        <v>3.45</v>
      </c>
      <c r="AQ7" s="4">
        <v>3.45</v>
      </c>
      <c r="AR7" s="4">
        <v>3.45</v>
      </c>
      <c r="AS7" s="4">
        <v>3.45</v>
      </c>
      <c r="AT7" s="4">
        <v>3.45</v>
      </c>
      <c r="AU7" s="4">
        <v>3.45</v>
      </c>
      <c r="AV7" s="4">
        <v>3.45</v>
      </c>
      <c r="AW7" s="4">
        <v>3.45</v>
      </c>
      <c r="AX7" s="4">
        <v>3.45</v>
      </c>
      <c r="AY7" s="4">
        <v>3.45</v>
      </c>
      <c r="AZ7" s="4">
        <v>3.45</v>
      </c>
      <c r="BA7" s="4">
        <v>3.45</v>
      </c>
      <c r="BB7" s="4">
        <v>3.45</v>
      </c>
      <c r="BC7" s="4">
        <v>3.45</v>
      </c>
      <c r="BD7" s="4">
        <v>3.45</v>
      </c>
      <c r="BE7" s="4">
        <v>3.45</v>
      </c>
      <c r="BF7" s="4">
        <v>3.45</v>
      </c>
      <c r="BG7" s="4">
        <v>3.45</v>
      </c>
      <c r="BH7" s="4">
        <v>3.45</v>
      </c>
    </row>
    <row r="8" spans="1:61" x14ac:dyDescent="0.35">
      <c r="A8" s="7" t="s">
        <v>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1" x14ac:dyDescent="0.35">
      <c r="A9" s="8" t="s">
        <v>26</v>
      </c>
      <c r="B9" s="4">
        <v>3.42</v>
      </c>
      <c r="C9" s="4">
        <v>3.42</v>
      </c>
      <c r="D9" s="4">
        <v>3.42</v>
      </c>
      <c r="E9" s="4">
        <v>3.42</v>
      </c>
      <c r="F9" s="4">
        <v>3.42</v>
      </c>
      <c r="G9" s="4">
        <v>3.42</v>
      </c>
      <c r="H9" s="4">
        <v>3.42</v>
      </c>
      <c r="I9" s="4">
        <v>3.42</v>
      </c>
      <c r="J9" s="4">
        <v>3.42</v>
      </c>
      <c r="K9" s="4">
        <v>3.42</v>
      </c>
      <c r="L9" s="4">
        <v>3.42</v>
      </c>
      <c r="M9" s="4">
        <v>3.42</v>
      </c>
      <c r="N9" s="4">
        <v>3.42</v>
      </c>
      <c r="O9" s="4">
        <v>3.42</v>
      </c>
      <c r="P9" s="4">
        <v>3.42</v>
      </c>
      <c r="Q9" s="4">
        <v>3.42</v>
      </c>
      <c r="R9" s="4">
        <v>3.42</v>
      </c>
      <c r="S9" s="4">
        <v>3.42</v>
      </c>
      <c r="T9" s="4">
        <v>3.42</v>
      </c>
      <c r="U9" s="4">
        <v>3.42</v>
      </c>
      <c r="V9" s="4">
        <v>3.42</v>
      </c>
      <c r="W9" s="4">
        <v>3.42</v>
      </c>
      <c r="X9" s="4">
        <v>3.42</v>
      </c>
      <c r="Y9" s="4">
        <v>8.4</v>
      </c>
      <c r="Z9" s="4">
        <v>8.4</v>
      </c>
      <c r="AA9" s="4">
        <v>8.4</v>
      </c>
      <c r="AB9" s="4">
        <v>11.85</v>
      </c>
      <c r="AC9" s="4">
        <v>11.85</v>
      </c>
      <c r="AD9" s="4">
        <v>11.85</v>
      </c>
      <c r="AE9" s="4">
        <v>11.85</v>
      </c>
      <c r="AF9" s="4">
        <v>11.85</v>
      </c>
      <c r="AG9" s="4">
        <v>11.85</v>
      </c>
      <c r="AH9" s="4">
        <v>11.85</v>
      </c>
      <c r="AI9" s="4">
        <v>11.85</v>
      </c>
      <c r="AJ9" s="4">
        <v>11.85</v>
      </c>
      <c r="AK9" s="4">
        <v>11.85</v>
      </c>
      <c r="AL9" s="4">
        <v>11.85</v>
      </c>
      <c r="AM9" s="4">
        <v>11.85</v>
      </c>
      <c r="AN9" s="4">
        <v>11.85</v>
      </c>
      <c r="AO9" s="4">
        <v>11.85</v>
      </c>
      <c r="AP9" s="4">
        <v>11.85</v>
      </c>
      <c r="AQ9" s="4">
        <v>11.85</v>
      </c>
      <c r="AR9" s="4">
        <v>11.85</v>
      </c>
      <c r="AS9" s="4">
        <v>11.85</v>
      </c>
      <c r="AT9" s="4">
        <v>11.85</v>
      </c>
      <c r="AU9" s="4">
        <v>11.85</v>
      </c>
      <c r="AV9" s="4">
        <v>11.85</v>
      </c>
      <c r="AW9" s="4">
        <v>11.85</v>
      </c>
      <c r="AX9" s="4">
        <v>11.85</v>
      </c>
      <c r="AY9" s="4">
        <v>8.68</v>
      </c>
      <c r="AZ9" s="4">
        <v>8.68</v>
      </c>
      <c r="BA9" s="4">
        <v>8.68</v>
      </c>
      <c r="BB9" s="4">
        <v>8.68</v>
      </c>
      <c r="BC9" s="4">
        <v>8.68</v>
      </c>
      <c r="BD9" s="4">
        <v>8.68</v>
      </c>
      <c r="BE9" s="4">
        <v>8.68</v>
      </c>
      <c r="BF9" s="4">
        <v>8.68</v>
      </c>
      <c r="BG9" s="4">
        <v>9.52</v>
      </c>
      <c r="BH9" s="4">
        <v>9.52</v>
      </c>
    </row>
    <row r="10" spans="1:61" x14ac:dyDescent="0.35">
      <c r="A10" s="8" t="s">
        <v>27</v>
      </c>
      <c r="B10" s="4">
        <v>3.7</v>
      </c>
      <c r="C10" s="4">
        <v>3.7</v>
      </c>
      <c r="D10" s="4">
        <v>3.7</v>
      </c>
      <c r="E10" s="4">
        <v>3.7</v>
      </c>
      <c r="F10" s="4">
        <v>3.7</v>
      </c>
      <c r="G10" s="4">
        <v>3.7</v>
      </c>
      <c r="H10" s="4">
        <v>3.7</v>
      </c>
      <c r="I10" s="4">
        <v>3.7</v>
      </c>
      <c r="J10" s="4">
        <v>3.7</v>
      </c>
      <c r="K10" s="4">
        <v>3.7</v>
      </c>
      <c r="L10" s="4">
        <v>3.7</v>
      </c>
      <c r="M10" s="4">
        <v>3.7</v>
      </c>
      <c r="N10" s="4">
        <v>3.7</v>
      </c>
      <c r="O10" s="4">
        <v>3.7</v>
      </c>
      <c r="P10" s="4">
        <v>3.7</v>
      </c>
      <c r="Q10" s="4">
        <v>3.7</v>
      </c>
      <c r="R10" s="4">
        <v>3.7</v>
      </c>
      <c r="S10" s="4">
        <v>3.7</v>
      </c>
      <c r="T10" s="4">
        <v>3.7</v>
      </c>
      <c r="U10" s="4">
        <v>3.7</v>
      </c>
      <c r="V10" s="4">
        <v>3.7</v>
      </c>
      <c r="W10" s="4">
        <v>3.7</v>
      </c>
      <c r="X10" s="4">
        <v>3.7</v>
      </c>
      <c r="Y10" s="4">
        <v>8.68</v>
      </c>
      <c r="Z10" s="4">
        <v>8.68</v>
      </c>
      <c r="AA10" s="4">
        <v>8.68</v>
      </c>
      <c r="AB10" s="4">
        <v>12.13</v>
      </c>
      <c r="AC10" s="4">
        <v>12.13</v>
      </c>
      <c r="AD10" s="4">
        <v>12.13</v>
      </c>
      <c r="AE10" s="4">
        <v>12.13</v>
      </c>
      <c r="AF10" s="4">
        <v>12.13</v>
      </c>
      <c r="AG10" s="4">
        <v>12.13</v>
      </c>
      <c r="AH10" s="4">
        <v>12.13</v>
      </c>
      <c r="AI10" s="4">
        <v>12.13</v>
      </c>
      <c r="AJ10" s="4">
        <v>12.13</v>
      </c>
      <c r="AK10" s="4">
        <v>12.13</v>
      </c>
      <c r="AL10" s="4">
        <v>12.13</v>
      </c>
      <c r="AM10" s="4">
        <v>12.13</v>
      </c>
      <c r="AN10" s="4">
        <v>12.13</v>
      </c>
      <c r="AO10" s="4">
        <v>12.13</v>
      </c>
      <c r="AP10" s="4">
        <v>12.13</v>
      </c>
      <c r="AQ10" s="4">
        <v>12.13</v>
      </c>
      <c r="AR10" s="4">
        <v>12.13</v>
      </c>
      <c r="AS10" s="4">
        <v>12.13</v>
      </c>
      <c r="AT10" s="4">
        <v>8.43</v>
      </c>
      <c r="AU10" s="4">
        <v>8.43</v>
      </c>
      <c r="AV10" s="4">
        <v>8.43</v>
      </c>
      <c r="AW10" s="4">
        <v>8.43</v>
      </c>
      <c r="AX10" s="4">
        <v>8.43</v>
      </c>
      <c r="AY10" s="4">
        <v>5.26</v>
      </c>
      <c r="AZ10" s="4">
        <v>5.26</v>
      </c>
      <c r="BA10" s="4">
        <v>5.26</v>
      </c>
      <c r="BB10" s="4">
        <v>5.26</v>
      </c>
      <c r="BC10" s="4">
        <v>5.26</v>
      </c>
      <c r="BD10" s="4">
        <v>5.26</v>
      </c>
      <c r="BE10" s="4">
        <v>5.26</v>
      </c>
      <c r="BF10" s="4">
        <v>5.26</v>
      </c>
      <c r="BG10" s="4">
        <v>5.26</v>
      </c>
      <c r="BH10" s="4">
        <v>5.26</v>
      </c>
    </row>
    <row r="11" spans="1:61" x14ac:dyDescent="0.35">
      <c r="A11" s="8" t="s">
        <v>28</v>
      </c>
      <c r="B11" s="4">
        <v>3.17</v>
      </c>
      <c r="C11" s="4">
        <v>3.17</v>
      </c>
      <c r="D11" s="4">
        <v>3.17</v>
      </c>
      <c r="E11" s="4">
        <v>3.17</v>
      </c>
      <c r="F11" s="4">
        <v>3.17</v>
      </c>
      <c r="G11" s="4">
        <v>3.17</v>
      </c>
      <c r="H11" s="4">
        <v>3.17</v>
      </c>
      <c r="I11" s="4">
        <v>3.17</v>
      </c>
      <c r="J11" s="4">
        <v>3.17</v>
      </c>
      <c r="K11" s="4">
        <v>3.17</v>
      </c>
      <c r="L11" s="4">
        <v>3.17</v>
      </c>
      <c r="M11" s="4">
        <v>3.17</v>
      </c>
      <c r="N11" s="4">
        <v>3.17</v>
      </c>
      <c r="O11" s="4">
        <v>3.17</v>
      </c>
      <c r="P11" s="4">
        <v>3.17</v>
      </c>
      <c r="Q11" s="4">
        <v>3.17</v>
      </c>
      <c r="R11" s="4">
        <v>3.17</v>
      </c>
      <c r="S11" s="4">
        <v>3.17</v>
      </c>
      <c r="T11" s="4">
        <v>3.17</v>
      </c>
      <c r="U11" s="4">
        <v>3.17</v>
      </c>
      <c r="V11" s="4">
        <v>3.17</v>
      </c>
      <c r="W11" s="4">
        <v>3.17</v>
      </c>
      <c r="X11" s="4">
        <v>3.17</v>
      </c>
      <c r="Y11" s="4">
        <v>8.15</v>
      </c>
      <c r="Z11" s="4">
        <v>8.15</v>
      </c>
      <c r="AA11" s="4">
        <v>8.15</v>
      </c>
      <c r="AB11" s="4">
        <v>11.6</v>
      </c>
      <c r="AC11" s="4">
        <v>11.6</v>
      </c>
      <c r="AD11" s="4">
        <v>11.6</v>
      </c>
      <c r="AE11" s="4">
        <v>11.6</v>
      </c>
      <c r="AF11" s="4">
        <v>11.6</v>
      </c>
      <c r="AG11" s="4">
        <v>11.6</v>
      </c>
      <c r="AH11" s="4">
        <v>11.6</v>
      </c>
      <c r="AI11" s="4">
        <v>11.6</v>
      </c>
      <c r="AJ11" s="4">
        <v>11.6</v>
      </c>
      <c r="AK11" s="4">
        <v>11.6</v>
      </c>
      <c r="AL11" s="4">
        <v>11.6</v>
      </c>
      <c r="AM11" s="4">
        <v>11.6</v>
      </c>
      <c r="AN11" s="4">
        <v>11.6</v>
      </c>
      <c r="AO11" s="4">
        <v>11.6</v>
      </c>
      <c r="AP11" s="4">
        <v>11.6</v>
      </c>
      <c r="AQ11" s="4">
        <v>11.6</v>
      </c>
      <c r="AR11" s="4">
        <v>11.6</v>
      </c>
      <c r="AS11" s="4">
        <v>11.6</v>
      </c>
      <c r="AT11" s="4">
        <v>11.6</v>
      </c>
      <c r="AU11" s="4">
        <v>11.6</v>
      </c>
      <c r="AV11" s="4">
        <v>11.6</v>
      </c>
      <c r="AW11" s="4">
        <v>11.6</v>
      </c>
      <c r="AX11" s="4">
        <v>11.6</v>
      </c>
      <c r="AY11" s="4">
        <v>8.43</v>
      </c>
      <c r="AZ11" s="4">
        <v>8.43</v>
      </c>
      <c r="BA11" s="4">
        <v>8.43</v>
      </c>
      <c r="BB11" s="4">
        <v>8.43</v>
      </c>
      <c r="BC11" s="4">
        <v>8.43</v>
      </c>
      <c r="BD11" s="4">
        <v>8.43</v>
      </c>
      <c r="BE11" s="4">
        <v>8.43</v>
      </c>
      <c r="BF11" s="4">
        <v>8.43</v>
      </c>
      <c r="BG11" s="4">
        <v>8.43</v>
      </c>
      <c r="BH11" s="4">
        <v>8.43</v>
      </c>
    </row>
    <row r="12" spans="1:61" x14ac:dyDescent="0.35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1" x14ac:dyDescent="0.35">
      <c r="A13" s="8" t="s">
        <v>26</v>
      </c>
      <c r="B13" s="4">
        <v>0.25</v>
      </c>
      <c r="C13" s="4">
        <v>0.25</v>
      </c>
      <c r="D13" s="4">
        <v>0.25</v>
      </c>
      <c r="E13" s="4">
        <v>0.25</v>
      </c>
      <c r="F13" s="4">
        <v>0.25</v>
      </c>
      <c r="G13" s="4">
        <v>0.25</v>
      </c>
      <c r="H13" s="4">
        <v>0.25</v>
      </c>
      <c r="I13" s="4">
        <v>0.25</v>
      </c>
      <c r="J13" s="4">
        <v>0.25</v>
      </c>
      <c r="K13" s="4">
        <v>0.25</v>
      </c>
      <c r="L13" s="4">
        <v>0.25</v>
      </c>
      <c r="M13" s="4">
        <v>0.25</v>
      </c>
      <c r="N13" s="4">
        <v>0.25</v>
      </c>
      <c r="O13" s="4">
        <v>0.25</v>
      </c>
      <c r="P13" s="4">
        <v>0.25</v>
      </c>
      <c r="Q13" s="4">
        <v>0.25</v>
      </c>
      <c r="R13" s="4">
        <v>0.25</v>
      </c>
      <c r="S13" s="4">
        <v>0.25</v>
      </c>
      <c r="T13" s="4">
        <v>0.25</v>
      </c>
      <c r="U13" s="4">
        <v>0.25</v>
      </c>
      <c r="V13" s="4">
        <v>0.25</v>
      </c>
      <c r="W13" s="4">
        <v>0.25</v>
      </c>
      <c r="X13" s="4">
        <v>0.25</v>
      </c>
      <c r="Y13" s="4">
        <v>0.25</v>
      </c>
      <c r="Z13" s="4">
        <v>0.25</v>
      </c>
      <c r="AA13" s="4">
        <v>0.25</v>
      </c>
      <c r="AB13" s="4">
        <v>3.7</v>
      </c>
      <c r="AC13" s="4">
        <v>3.7</v>
      </c>
      <c r="AD13" s="4">
        <v>3.7</v>
      </c>
      <c r="AE13" s="4">
        <v>3.7</v>
      </c>
      <c r="AF13" s="4">
        <v>3.7</v>
      </c>
      <c r="AG13" s="4">
        <v>3.7</v>
      </c>
      <c r="AH13" s="4">
        <v>3.7</v>
      </c>
      <c r="AI13" s="4">
        <v>3.7</v>
      </c>
      <c r="AJ13" s="4">
        <v>3.7</v>
      </c>
      <c r="AK13" s="4">
        <v>3.7</v>
      </c>
      <c r="AL13" s="4">
        <v>3.7</v>
      </c>
      <c r="AM13" s="4">
        <v>3.7</v>
      </c>
      <c r="AN13" s="4">
        <v>3.7</v>
      </c>
      <c r="AO13" s="4">
        <v>3.7</v>
      </c>
      <c r="AP13" s="4">
        <v>3.7</v>
      </c>
      <c r="AQ13" s="4">
        <v>3.7</v>
      </c>
      <c r="AR13" s="4">
        <v>3.7</v>
      </c>
      <c r="AS13" s="4">
        <v>3.7</v>
      </c>
      <c r="AT13" s="4">
        <v>3.7</v>
      </c>
      <c r="AU13" s="4">
        <v>3.7</v>
      </c>
      <c r="AV13" s="4">
        <v>3.7</v>
      </c>
      <c r="AW13" s="4">
        <v>3.7</v>
      </c>
      <c r="AX13" s="4">
        <v>3.7</v>
      </c>
      <c r="AY13" s="4">
        <v>3.7</v>
      </c>
      <c r="AZ13" s="4">
        <v>3.7</v>
      </c>
      <c r="BA13" s="4">
        <v>3.7</v>
      </c>
      <c r="BB13" s="4">
        <v>3.7</v>
      </c>
      <c r="BC13" s="4">
        <v>3.7</v>
      </c>
      <c r="BD13" s="4">
        <v>3.7</v>
      </c>
      <c r="BE13" s="4">
        <v>3.7</v>
      </c>
      <c r="BF13" s="4">
        <v>3.7</v>
      </c>
      <c r="BG13" s="4">
        <v>3.7</v>
      </c>
      <c r="BH13" s="4">
        <v>3.7</v>
      </c>
    </row>
    <row r="14" spans="1:61" x14ac:dyDescent="0.35">
      <c r="A14" s="8" t="s">
        <v>27</v>
      </c>
      <c r="B14" s="4">
        <v>3.7</v>
      </c>
      <c r="C14" s="4">
        <v>3.7</v>
      </c>
      <c r="D14" s="4">
        <v>3.7</v>
      </c>
      <c r="E14" s="4">
        <v>3.7</v>
      </c>
      <c r="F14" s="4">
        <v>3.7</v>
      </c>
      <c r="G14" s="4">
        <v>3.7</v>
      </c>
      <c r="H14" s="4">
        <v>3.7</v>
      </c>
      <c r="I14" s="4">
        <v>3.7</v>
      </c>
      <c r="J14" s="4">
        <v>3.7</v>
      </c>
      <c r="K14" s="4">
        <v>3.7</v>
      </c>
      <c r="L14" s="4">
        <v>3.7</v>
      </c>
      <c r="M14" s="4">
        <v>3.7</v>
      </c>
      <c r="N14" s="4">
        <v>3.7</v>
      </c>
      <c r="O14" s="4">
        <v>3.7</v>
      </c>
      <c r="P14" s="4">
        <v>3.7</v>
      </c>
      <c r="Q14" s="4">
        <v>3.7</v>
      </c>
      <c r="R14" s="4">
        <v>3.7</v>
      </c>
      <c r="S14" s="4">
        <v>3.7</v>
      </c>
      <c r="T14" s="4">
        <v>3.7</v>
      </c>
      <c r="U14" s="4">
        <v>3.7</v>
      </c>
      <c r="V14" s="4">
        <v>3.7</v>
      </c>
      <c r="W14" s="4">
        <v>3.7</v>
      </c>
      <c r="X14" s="4">
        <v>3.7</v>
      </c>
      <c r="Y14" s="4">
        <v>3.7</v>
      </c>
      <c r="Z14" s="4">
        <v>3.7</v>
      </c>
      <c r="AA14" s="4">
        <v>3.7</v>
      </c>
      <c r="AB14" s="4">
        <v>7.4</v>
      </c>
      <c r="AC14" s="4">
        <v>7.4</v>
      </c>
      <c r="AD14" s="4">
        <v>7.4</v>
      </c>
      <c r="AE14" s="4">
        <v>7.4</v>
      </c>
      <c r="AF14" s="4">
        <v>7.4</v>
      </c>
      <c r="AG14" s="4">
        <v>7.4</v>
      </c>
      <c r="AH14" s="4">
        <v>7.4</v>
      </c>
      <c r="AI14" s="4">
        <v>7.4</v>
      </c>
      <c r="AJ14" s="4">
        <v>7.4</v>
      </c>
      <c r="AK14" s="4">
        <v>7.4</v>
      </c>
      <c r="AL14" s="4">
        <v>7.4</v>
      </c>
      <c r="AM14" s="4">
        <v>7.4</v>
      </c>
      <c r="AN14" s="4">
        <v>7.4</v>
      </c>
      <c r="AO14" s="4">
        <v>7.4</v>
      </c>
      <c r="AP14" s="4">
        <v>7.4</v>
      </c>
      <c r="AQ14" s="4">
        <v>7.4</v>
      </c>
      <c r="AR14" s="4">
        <v>7.4</v>
      </c>
      <c r="AS14" s="4">
        <v>7.4</v>
      </c>
      <c r="AT14" s="4">
        <v>3.7</v>
      </c>
      <c r="AU14" s="4">
        <v>3.7</v>
      </c>
      <c r="AV14" s="4">
        <v>3.7</v>
      </c>
      <c r="AW14" s="4">
        <v>3.7</v>
      </c>
      <c r="AX14" s="4">
        <v>3.7</v>
      </c>
      <c r="AY14" s="4">
        <v>3.7</v>
      </c>
      <c r="AZ14" s="4">
        <v>3.7</v>
      </c>
      <c r="BA14" s="4">
        <v>3.7</v>
      </c>
      <c r="BB14" s="4">
        <v>3.7</v>
      </c>
      <c r="BC14" s="4">
        <v>3.7</v>
      </c>
      <c r="BD14" s="4">
        <v>3.7</v>
      </c>
      <c r="BE14" s="4">
        <v>3.7</v>
      </c>
      <c r="BF14" s="4">
        <v>3.7</v>
      </c>
      <c r="BG14" s="4">
        <v>3.7</v>
      </c>
      <c r="BH14" s="4">
        <v>3.7</v>
      </c>
    </row>
    <row r="15" spans="1:61" x14ac:dyDescent="0.35">
      <c r="A15" s="8" t="s">
        <v>28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3.45</v>
      </c>
      <c r="AC15" s="4">
        <v>3.45</v>
      </c>
      <c r="AD15" s="4">
        <v>3.45</v>
      </c>
      <c r="AE15" s="4">
        <v>3.45</v>
      </c>
      <c r="AF15" s="4">
        <v>3.45</v>
      </c>
      <c r="AG15" s="4">
        <v>3.45</v>
      </c>
      <c r="AH15" s="4">
        <v>3.45</v>
      </c>
      <c r="AI15" s="4">
        <v>3.45</v>
      </c>
      <c r="AJ15" s="4">
        <v>3.45</v>
      </c>
      <c r="AK15" s="4">
        <v>3.45</v>
      </c>
      <c r="AL15" s="4">
        <v>3.45</v>
      </c>
      <c r="AM15" s="4">
        <v>3.45</v>
      </c>
      <c r="AN15" s="4">
        <v>3.45</v>
      </c>
      <c r="AO15" s="4">
        <v>3.45</v>
      </c>
      <c r="AP15" s="4">
        <v>3.45</v>
      </c>
      <c r="AQ15" s="4">
        <v>3.45</v>
      </c>
      <c r="AR15" s="4">
        <v>3.45</v>
      </c>
      <c r="AS15" s="4">
        <v>3.45</v>
      </c>
      <c r="AT15" s="4">
        <v>3.45</v>
      </c>
      <c r="AU15" s="4">
        <v>3.45</v>
      </c>
      <c r="AV15" s="4">
        <v>3.45</v>
      </c>
      <c r="AW15" s="4">
        <v>3.45</v>
      </c>
      <c r="AX15" s="4">
        <v>3.45</v>
      </c>
      <c r="AY15" s="4">
        <v>3.45</v>
      </c>
      <c r="AZ15" s="4">
        <v>3.45</v>
      </c>
      <c r="BA15" s="4">
        <v>3.45</v>
      </c>
      <c r="BB15" s="4">
        <v>3.45</v>
      </c>
      <c r="BC15" s="4">
        <v>3.45</v>
      </c>
      <c r="BD15" s="4">
        <v>3.45</v>
      </c>
      <c r="BE15" s="4">
        <v>3.45</v>
      </c>
      <c r="BF15" s="4">
        <v>3.45</v>
      </c>
      <c r="BG15" s="4">
        <v>3.45</v>
      </c>
      <c r="BH15" s="4">
        <v>3.45</v>
      </c>
    </row>
    <row r="16" spans="1:61" x14ac:dyDescent="0.35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8" t="s">
        <v>26</v>
      </c>
      <c r="B17" s="4">
        <v>0.25</v>
      </c>
      <c r="C17" s="4">
        <v>0.25</v>
      </c>
      <c r="D17" s="4">
        <v>0.25</v>
      </c>
      <c r="E17" s="4">
        <v>0.25</v>
      </c>
      <c r="F17" s="4">
        <v>0.25</v>
      </c>
      <c r="G17" s="4">
        <v>0.25</v>
      </c>
      <c r="H17" s="4">
        <v>0.25</v>
      </c>
      <c r="I17" s="4">
        <v>0.25</v>
      </c>
      <c r="J17" s="4">
        <v>0.25</v>
      </c>
      <c r="K17" s="4">
        <v>0.25</v>
      </c>
      <c r="L17" s="4">
        <v>0.25</v>
      </c>
      <c r="M17" s="4">
        <v>0.25</v>
      </c>
      <c r="N17" s="4">
        <v>0.25</v>
      </c>
      <c r="O17" s="4">
        <v>0.25</v>
      </c>
      <c r="P17" s="4">
        <v>0.25</v>
      </c>
      <c r="Q17" s="4">
        <v>0.25</v>
      </c>
      <c r="R17" s="4">
        <v>0.25</v>
      </c>
      <c r="S17" s="4">
        <v>0.25</v>
      </c>
      <c r="T17" s="4">
        <v>0.25</v>
      </c>
      <c r="U17" s="4">
        <v>0.25</v>
      </c>
      <c r="V17" s="4">
        <v>0.25</v>
      </c>
      <c r="W17" s="4">
        <v>0.25</v>
      </c>
      <c r="X17" s="4">
        <v>0.25</v>
      </c>
      <c r="Y17" s="4">
        <v>0.25</v>
      </c>
      <c r="Z17" s="4">
        <v>0.25</v>
      </c>
      <c r="AA17" s="4">
        <v>0.25</v>
      </c>
      <c r="AB17" s="4">
        <v>3.7</v>
      </c>
      <c r="AC17" s="4">
        <v>3.7</v>
      </c>
      <c r="AD17" s="4">
        <v>3.7</v>
      </c>
      <c r="AE17" s="4">
        <v>3.7</v>
      </c>
      <c r="AF17" s="4">
        <v>3.7</v>
      </c>
      <c r="AG17" s="4">
        <v>3.7</v>
      </c>
      <c r="AH17" s="4">
        <v>3.7</v>
      </c>
      <c r="AI17" s="4">
        <v>3.7</v>
      </c>
      <c r="AJ17" s="4">
        <v>3.7</v>
      </c>
      <c r="AK17" s="4">
        <v>3.7</v>
      </c>
      <c r="AL17" s="4">
        <v>3.7</v>
      </c>
      <c r="AM17" s="4">
        <v>3.7</v>
      </c>
      <c r="AN17" s="4">
        <v>3.7</v>
      </c>
      <c r="AO17" s="4">
        <v>3.7</v>
      </c>
      <c r="AP17" s="4">
        <v>3.7</v>
      </c>
      <c r="AQ17" s="4">
        <v>3.7</v>
      </c>
      <c r="AR17" s="4">
        <v>3.7</v>
      </c>
      <c r="AS17" s="4">
        <v>3.7</v>
      </c>
      <c r="AT17" s="4">
        <v>3.7</v>
      </c>
      <c r="AU17" s="4">
        <v>3.7</v>
      </c>
      <c r="AV17" s="4">
        <v>3.7</v>
      </c>
      <c r="AW17" s="4">
        <v>3.7</v>
      </c>
      <c r="AX17" s="4">
        <v>3.7</v>
      </c>
      <c r="AY17" s="4">
        <v>3.7</v>
      </c>
      <c r="AZ17" s="4">
        <v>3.7</v>
      </c>
      <c r="BA17" s="4">
        <v>3.7</v>
      </c>
      <c r="BB17" s="4">
        <v>3.7</v>
      </c>
      <c r="BC17" s="4">
        <v>3.7</v>
      </c>
      <c r="BD17" s="4">
        <v>3.7</v>
      </c>
      <c r="BE17" s="4">
        <v>3.7</v>
      </c>
      <c r="BF17" s="4">
        <v>3.7</v>
      </c>
      <c r="BG17" s="4">
        <v>3.7</v>
      </c>
      <c r="BH17" s="4">
        <v>3.7</v>
      </c>
    </row>
    <row r="18" spans="1:60" x14ac:dyDescent="0.35">
      <c r="A18" s="8" t="s">
        <v>27</v>
      </c>
      <c r="B18" s="4">
        <v>3.7</v>
      </c>
      <c r="C18" s="4">
        <v>3.7</v>
      </c>
      <c r="D18" s="4">
        <v>3.7</v>
      </c>
      <c r="E18" s="4">
        <v>3.7</v>
      </c>
      <c r="F18" s="4">
        <v>3.7</v>
      </c>
      <c r="G18" s="4">
        <v>3.7</v>
      </c>
      <c r="H18" s="4">
        <v>3.7</v>
      </c>
      <c r="I18" s="4">
        <v>3.7</v>
      </c>
      <c r="J18" s="4">
        <v>3.7</v>
      </c>
      <c r="K18" s="4">
        <v>3.7</v>
      </c>
      <c r="L18" s="4">
        <v>3.7</v>
      </c>
      <c r="M18" s="4">
        <v>3.7</v>
      </c>
      <c r="N18" s="4">
        <v>3.7</v>
      </c>
      <c r="O18" s="4">
        <v>3.7</v>
      </c>
      <c r="P18" s="4">
        <v>3.7</v>
      </c>
      <c r="Q18" s="4">
        <v>3.7</v>
      </c>
      <c r="R18" s="4">
        <v>3.7</v>
      </c>
      <c r="S18" s="4">
        <v>3.7</v>
      </c>
      <c r="T18" s="4">
        <v>3.7</v>
      </c>
      <c r="U18" s="4">
        <v>3.7</v>
      </c>
      <c r="V18" s="4">
        <v>3.7</v>
      </c>
      <c r="W18" s="4">
        <v>3.7</v>
      </c>
      <c r="X18" s="4">
        <v>3.7</v>
      </c>
      <c r="Y18" s="4">
        <v>3.7</v>
      </c>
      <c r="Z18" s="4">
        <v>3.7</v>
      </c>
      <c r="AA18" s="4">
        <v>3.7</v>
      </c>
      <c r="AB18" s="4">
        <v>7.4</v>
      </c>
      <c r="AC18" s="4">
        <v>7.4</v>
      </c>
      <c r="AD18" s="4">
        <v>7.4</v>
      </c>
      <c r="AE18" s="4">
        <v>7.4</v>
      </c>
      <c r="AF18" s="4">
        <v>7.4</v>
      </c>
      <c r="AG18" s="4">
        <v>7.4</v>
      </c>
      <c r="AH18" s="4">
        <v>7.4</v>
      </c>
      <c r="AI18" s="4">
        <v>7.4</v>
      </c>
      <c r="AJ18" s="4">
        <v>7.4</v>
      </c>
      <c r="AK18" s="4">
        <v>7.4</v>
      </c>
      <c r="AL18" s="4">
        <v>7.4</v>
      </c>
      <c r="AM18" s="4">
        <v>7.4</v>
      </c>
      <c r="AN18" s="4">
        <v>7.4</v>
      </c>
      <c r="AO18" s="4">
        <v>7.4</v>
      </c>
      <c r="AP18" s="4">
        <v>7.4</v>
      </c>
      <c r="AQ18" s="4">
        <v>7.4</v>
      </c>
      <c r="AR18" s="4">
        <v>7.4</v>
      </c>
      <c r="AS18" s="4">
        <v>7.4</v>
      </c>
      <c r="AT18" s="4">
        <v>3.7</v>
      </c>
      <c r="AU18" s="4">
        <v>3.7</v>
      </c>
      <c r="AV18" s="4">
        <v>3.7</v>
      </c>
      <c r="AW18" s="4">
        <v>3.7</v>
      </c>
      <c r="AX18" s="4">
        <v>3.7</v>
      </c>
      <c r="AY18" s="4">
        <v>3.7</v>
      </c>
      <c r="AZ18" s="4">
        <v>3.7</v>
      </c>
      <c r="BA18" s="4">
        <v>3.7</v>
      </c>
      <c r="BB18" s="4">
        <v>3.7</v>
      </c>
      <c r="BC18" s="4">
        <v>3.7</v>
      </c>
      <c r="BD18" s="4">
        <v>3.7</v>
      </c>
      <c r="BE18" s="4">
        <v>3.7</v>
      </c>
      <c r="BF18" s="4">
        <v>3.7</v>
      </c>
      <c r="BG18" s="4">
        <v>3.7</v>
      </c>
      <c r="BH18" s="4">
        <v>3.7</v>
      </c>
    </row>
    <row r="19" spans="1:60" x14ac:dyDescent="0.35">
      <c r="A19" s="8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3.45</v>
      </c>
      <c r="AC19" s="4">
        <v>3.45</v>
      </c>
      <c r="AD19" s="4">
        <v>3.45</v>
      </c>
      <c r="AE19" s="4">
        <v>3.45</v>
      </c>
      <c r="AF19" s="4">
        <v>3.45</v>
      </c>
      <c r="AG19" s="4">
        <v>3.45</v>
      </c>
      <c r="AH19" s="4">
        <v>3.45</v>
      </c>
      <c r="AI19" s="4">
        <v>3.45</v>
      </c>
      <c r="AJ19" s="4">
        <v>3.45</v>
      </c>
      <c r="AK19" s="4">
        <v>3.45</v>
      </c>
      <c r="AL19" s="4">
        <v>3.45</v>
      </c>
      <c r="AM19" s="4">
        <v>3.45</v>
      </c>
      <c r="AN19" s="4">
        <v>3.45</v>
      </c>
      <c r="AO19" s="4">
        <v>3.45</v>
      </c>
      <c r="AP19" s="4">
        <v>3.45</v>
      </c>
      <c r="AQ19" s="4">
        <v>3.45</v>
      </c>
      <c r="AR19" s="4">
        <v>3.45</v>
      </c>
      <c r="AS19" s="4">
        <v>3.45</v>
      </c>
      <c r="AT19" s="4">
        <v>3.45</v>
      </c>
      <c r="AU19" s="4">
        <v>3.45</v>
      </c>
      <c r="AV19" s="4">
        <v>3.45</v>
      </c>
      <c r="AW19" s="4">
        <v>3.45</v>
      </c>
      <c r="AX19" s="4">
        <v>3.45</v>
      </c>
      <c r="AY19" s="4">
        <v>3.45</v>
      </c>
      <c r="AZ19" s="4">
        <v>3.45</v>
      </c>
      <c r="BA19" s="4">
        <v>3.45</v>
      </c>
      <c r="BB19" s="4">
        <v>3.45</v>
      </c>
      <c r="BC19" s="4">
        <v>3.45</v>
      </c>
      <c r="BD19" s="4">
        <v>3.45</v>
      </c>
      <c r="BE19" s="4">
        <v>3.45</v>
      </c>
      <c r="BF19" s="4">
        <v>3.45</v>
      </c>
      <c r="BG19" s="4">
        <v>3.45</v>
      </c>
      <c r="BH19" s="4">
        <v>3.45</v>
      </c>
    </row>
    <row r="20" spans="1:60" x14ac:dyDescent="0.35">
      <c r="A20" s="7" t="s">
        <v>32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8" t="s">
        <v>26</v>
      </c>
      <c r="B21" s="4">
        <v>0.25</v>
      </c>
      <c r="C21" s="4">
        <v>0.25</v>
      </c>
      <c r="D21" s="4">
        <v>0.25</v>
      </c>
      <c r="E21" s="4">
        <v>0.25</v>
      </c>
      <c r="F21" s="4">
        <v>0.25</v>
      </c>
      <c r="G21" s="4">
        <v>0.25</v>
      </c>
      <c r="H21" s="4">
        <v>0.25</v>
      </c>
      <c r="I21" s="4">
        <v>0.25</v>
      </c>
      <c r="J21" s="4">
        <v>0.25</v>
      </c>
      <c r="K21" s="4">
        <v>0.25</v>
      </c>
      <c r="L21" s="4">
        <v>0.25</v>
      </c>
      <c r="M21" s="4">
        <v>0.25</v>
      </c>
      <c r="N21" s="4">
        <v>0.25</v>
      </c>
      <c r="O21" s="4">
        <v>0.25</v>
      </c>
      <c r="P21" s="4">
        <v>0.25</v>
      </c>
      <c r="Q21" s="4">
        <v>0.25</v>
      </c>
      <c r="R21" s="4">
        <v>0.25</v>
      </c>
      <c r="S21" s="4">
        <v>0.25</v>
      </c>
      <c r="T21" s="4">
        <v>0.25</v>
      </c>
      <c r="U21" s="4">
        <v>0.25</v>
      </c>
      <c r="V21" s="4">
        <v>0.25</v>
      </c>
      <c r="W21" s="4">
        <v>0.25</v>
      </c>
      <c r="X21" s="4">
        <v>0.25</v>
      </c>
      <c r="Y21" s="4">
        <v>0.25</v>
      </c>
      <c r="Z21" s="4">
        <v>0.25</v>
      </c>
      <c r="AA21" s="4">
        <v>0.25</v>
      </c>
      <c r="AB21" s="4">
        <v>3.7</v>
      </c>
      <c r="AC21" s="4">
        <v>3.7</v>
      </c>
      <c r="AD21" s="4">
        <v>3.7</v>
      </c>
      <c r="AE21" s="4">
        <v>3.7</v>
      </c>
      <c r="AF21" s="4">
        <v>3.7</v>
      </c>
      <c r="AG21" s="4">
        <v>3.7</v>
      </c>
      <c r="AH21" s="4">
        <v>3.7</v>
      </c>
      <c r="AI21" s="4">
        <v>3.7</v>
      </c>
      <c r="AJ21" s="4">
        <v>3.7</v>
      </c>
      <c r="AK21" s="4">
        <v>3.7</v>
      </c>
      <c r="AL21" s="4">
        <v>3.7</v>
      </c>
      <c r="AM21" s="4">
        <v>3.7</v>
      </c>
      <c r="AN21" s="4">
        <v>3.7</v>
      </c>
      <c r="AO21" s="4">
        <v>3.7</v>
      </c>
      <c r="AP21" s="4">
        <v>3.7</v>
      </c>
      <c r="AQ21" s="4">
        <v>3.7</v>
      </c>
      <c r="AR21" s="4">
        <v>3.7</v>
      </c>
      <c r="AS21" s="4">
        <v>3.7</v>
      </c>
      <c r="AT21" s="4">
        <v>3.7</v>
      </c>
      <c r="AU21" s="4">
        <v>3.7</v>
      </c>
      <c r="AV21" s="4">
        <v>3.7</v>
      </c>
      <c r="AW21" s="4">
        <v>3.7</v>
      </c>
      <c r="AX21" s="4">
        <v>3.7</v>
      </c>
      <c r="AY21" s="4">
        <v>3.7</v>
      </c>
      <c r="AZ21" s="4">
        <v>3.7</v>
      </c>
      <c r="BA21" s="4">
        <v>3.7</v>
      </c>
      <c r="BB21" s="4">
        <v>3.7</v>
      </c>
      <c r="BC21" s="4">
        <v>3.7</v>
      </c>
      <c r="BD21" s="4">
        <v>3.7</v>
      </c>
      <c r="BE21" s="4">
        <v>3.7</v>
      </c>
      <c r="BF21" s="4">
        <v>3.7</v>
      </c>
      <c r="BG21" s="4">
        <v>3.7</v>
      </c>
      <c r="BH21" s="4">
        <v>3.7</v>
      </c>
    </row>
    <row r="22" spans="1:60" x14ac:dyDescent="0.35">
      <c r="A22" s="7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8" t="s">
        <v>26</v>
      </c>
      <c r="B23" s="4">
        <v>14.08</v>
      </c>
      <c r="C23" s="4">
        <v>14.08</v>
      </c>
      <c r="D23" s="4">
        <v>14.08</v>
      </c>
      <c r="E23" s="4">
        <v>14.08</v>
      </c>
      <c r="F23" s="4">
        <v>14.08</v>
      </c>
      <c r="G23" s="4">
        <v>14.08</v>
      </c>
      <c r="H23" s="4">
        <v>14.08</v>
      </c>
      <c r="I23" s="4">
        <v>14.08</v>
      </c>
      <c r="J23" s="4">
        <v>14.08</v>
      </c>
      <c r="K23" s="4">
        <v>14.08</v>
      </c>
      <c r="L23" s="4">
        <v>14.08</v>
      </c>
      <c r="M23" s="4">
        <v>14.08</v>
      </c>
      <c r="N23" s="4">
        <v>14.08</v>
      </c>
      <c r="O23" s="4">
        <v>14.08</v>
      </c>
      <c r="P23" s="4">
        <v>14.08</v>
      </c>
      <c r="Q23" s="4">
        <v>14.08</v>
      </c>
      <c r="R23" s="4">
        <v>14.08</v>
      </c>
      <c r="S23" s="4">
        <v>14.08</v>
      </c>
      <c r="T23" s="4">
        <v>14.08</v>
      </c>
      <c r="U23" s="4">
        <v>14.08</v>
      </c>
      <c r="V23" s="4">
        <v>14.08</v>
      </c>
      <c r="W23" s="4">
        <v>14.08</v>
      </c>
      <c r="X23" s="4">
        <v>14.08</v>
      </c>
      <c r="Y23" s="4">
        <v>15.38</v>
      </c>
      <c r="Z23" s="4">
        <v>15.38</v>
      </c>
      <c r="AA23" s="4">
        <v>16.38</v>
      </c>
      <c r="AB23" s="4">
        <v>19.829999999999998</v>
      </c>
      <c r="AC23" s="4">
        <v>19.829999999999998</v>
      </c>
      <c r="AD23" s="4">
        <v>19.829999999999998</v>
      </c>
      <c r="AE23" s="4">
        <v>19.829999999999998</v>
      </c>
      <c r="AF23" s="4">
        <v>19.829999999999998</v>
      </c>
      <c r="AG23" s="4">
        <v>19.829999999999998</v>
      </c>
      <c r="AH23" s="4">
        <v>6</v>
      </c>
      <c r="AI23" s="4">
        <v>6</v>
      </c>
      <c r="AJ23" s="4">
        <v>6</v>
      </c>
      <c r="AK23" s="4">
        <v>6</v>
      </c>
      <c r="AL23" s="4">
        <v>6</v>
      </c>
      <c r="AM23" s="4">
        <v>6</v>
      </c>
      <c r="AN23" s="4">
        <v>6</v>
      </c>
      <c r="AO23" s="4">
        <v>6</v>
      </c>
      <c r="AP23" s="4">
        <v>6</v>
      </c>
      <c r="AQ23" s="4">
        <v>6</v>
      </c>
      <c r="AR23" s="4">
        <v>6</v>
      </c>
      <c r="AS23" s="4">
        <v>6</v>
      </c>
      <c r="AT23" s="4">
        <v>6</v>
      </c>
      <c r="AU23" s="4">
        <v>6</v>
      </c>
      <c r="AV23" s="4">
        <v>6</v>
      </c>
      <c r="AW23" s="4">
        <v>6</v>
      </c>
      <c r="AX23" s="4">
        <v>6</v>
      </c>
      <c r="AY23" s="4">
        <v>6</v>
      </c>
      <c r="AZ23" s="4">
        <v>6</v>
      </c>
      <c r="BA23" s="4">
        <v>6</v>
      </c>
      <c r="BB23" s="4">
        <v>6</v>
      </c>
      <c r="BC23" s="4">
        <v>6</v>
      </c>
      <c r="BD23" s="4">
        <v>6</v>
      </c>
      <c r="BE23" s="4">
        <v>6</v>
      </c>
      <c r="BF23" s="4">
        <v>6</v>
      </c>
      <c r="BG23" s="4">
        <v>6</v>
      </c>
      <c r="BH23" s="4">
        <v>6</v>
      </c>
    </row>
    <row r="24" spans="1:60" x14ac:dyDescent="0.35">
      <c r="A24" s="8" t="s">
        <v>27</v>
      </c>
      <c r="B24" s="4">
        <v>17.53</v>
      </c>
      <c r="C24" s="4">
        <v>17.53</v>
      </c>
      <c r="D24" s="4">
        <v>17.53</v>
      </c>
      <c r="E24" s="4">
        <v>17.53</v>
      </c>
      <c r="F24" s="4">
        <v>17.53</v>
      </c>
      <c r="G24" s="4">
        <v>17.53</v>
      </c>
      <c r="H24" s="4">
        <v>17.53</v>
      </c>
      <c r="I24" s="4">
        <v>17.53</v>
      </c>
      <c r="J24" s="4">
        <v>17.53</v>
      </c>
      <c r="K24" s="4">
        <v>17.53</v>
      </c>
      <c r="L24" s="4">
        <v>17.53</v>
      </c>
      <c r="M24" s="4">
        <v>17.53</v>
      </c>
      <c r="N24" s="4">
        <v>17.53</v>
      </c>
      <c r="O24" s="4">
        <v>17.53</v>
      </c>
      <c r="P24" s="4">
        <v>17.53</v>
      </c>
      <c r="Q24" s="4">
        <v>17.53</v>
      </c>
      <c r="R24" s="4">
        <v>17.53</v>
      </c>
      <c r="S24" s="4">
        <v>17.53</v>
      </c>
      <c r="T24" s="4">
        <v>17.53</v>
      </c>
      <c r="U24" s="4">
        <v>17.53</v>
      </c>
      <c r="V24" s="4">
        <v>17.53</v>
      </c>
      <c r="W24" s="4">
        <v>17.53</v>
      </c>
      <c r="X24" s="4">
        <v>17.53</v>
      </c>
      <c r="Y24" s="4">
        <v>18.829999999999998</v>
      </c>
      <c r="Z24" s="4">
        <v>18.829999999999998</v>
      </c>
      <c r="AA24" s="4">
        <v>18.829999999999998</v>
      </c>
      <c r="AB24" s="4">
        <v>22.28</v>
      </c>
      <c r="AC24" s="4">
        <v>22.28</v>
      </c>
      <c r="AD24" s="4">
        <v>22.28</v>
      </c>
      <c r="AE24" s="4">
        <v>22.28</v>
      </c>
      <c r="AF24" s="4">
        <v>22.28</v>
      </c>
      <c r="AG24" s="4">
        <v>22.28</v>
      </c>
      <c r="AH24" s="4">
        <v>8.4499999999999993</v>
      </c>
      <c r="AI24" s="4">
        <v>8.4499999999999993</v>
      </c>
      <c r="AJ24" s="4">
        <v>8.4499999999999993</v>
      </c>
      <c r="AK24" s="4">
        <v>8.4499999999999993</v>
      </c>
      <c r="AL24" s="4">
        <v>8.4499999999999993</v>
      </c>
      <c r="AM24" s="4">
        <v>8.4499999999999993</v>
      </c>
      <c r="AN24" s="4">
        <v>8.4499999999999993</v>
      </c>
      <c r="AO24" s="4">
        <v>8.4499999999999993</v>
      </c>
      <c r="AP24" s="4">
        <v>8.4499999999999993</v>
      </c>
      <c r="AQ24" s="4">
        <v>8.4499999999999993</v>
      </c>
      <c r="AR24" s="4">
        <v>8.4499999999999993</v>
      </c>
      <c r="AS24" s="4">
        <v>8.4499999999999993</v>
      </c>
      <c r="AT24" s="4">
        <v>4.75</v>
      </c>
      <c r="AU24" s="4">
        <v>4.75</v>
      </c>
      <c r="AV24" s="4">
        <v>4.75</v>
      </c>
      <c r="AW24" s="4">
        <v>4.75</v>
      </c>
      <c r="AX24" s="4">
        <v>4.75</v>
      </c>
      <c r="AY24" s="4">
        <v>4.75</v>
      </c>
      <c r="AZ24" s="4">
        <v>4.75</v>
      </c>
      <c r="BA24" s="4">
        <v>4.75</v>
      </c>
      <c r="BB24" s="4">
        <v>4.75</v>
      </c>
      <c r="BC24" s="4">
        <v>4.75</v>
      </c>
      <c r="BD24" s="4">
        <v>4.75</v>
      </c>
      <c r="BE24" s="4">
        <v>4.75</v>
      </c>
      <c r="BF24" s="4">
        <v>4.75</v>
      </c>
      <c r="BG24" s="4">
        <v>4.75</v>
      </c>
      <c r="BH24" s="4">
        <v>4.75</v>
      </c>
    </row>
    <row r="25" spans="1:60" x14ac:dyDescent="0.35">
      <c r="A25" s="8" t="s">
        <v>28</v>
      </c>
      <c r="B25" s="4">
        <v>13.83</v>
      </c>
      <c r="C25" s="4">
        <v>13.83</v>
      </c>
      <c r="D25" s="4">
        <v>13.83</v>
      </c>
      <c r="E25" s="4">
        <v>13.83</v>
      </c>
      <c r="F25" s="4">
        <v>13.83</v>
      </c>
      <c r="G25" s="4">
        <v>13.83</v>
      </c>
      <c r="H25" s="4">
        <v>13.83</v>
      </c>
      <c r="I25" s="4">
        <v>13.83</v>
      </c>
      <c r="J25" s="4">
        <v>13.83</v>
      </c>
      <c r="K25" s="4">
        <v>13.83</v>
      </c>
      <c r="L25" s="4">
        <v>13.83</v>
      </c>
      <c r="M25" s="4">
        <v>13.83</v>
      </c>
      <c r="N25" s="4">
        <v>13.83</v>
      </c>
      <c r="O25" s="4">
        <v>13.83</v>
      </c>
      <c r="P25" s="4">
        <v>13.83</v>
      </c>
      <c r="Q25" s="4">
        <v>13.83</v>
      </c>
      <c r="R25" s="4">
        <v>13.83</v>
      </c>
      <c r="S25" s="4">
        <v>13.83</v>
      </c>
      <c r="T25" s="4">
        <v>13.83</v>
      </c>
      <c r="U25" s="4">
        <v>13.83</v>
      </c>
      <c r="V25" s="4">
        <v>13.83</v>
      </c>
      <c r="W25" s="4">
        <v>13.83</v>
      </c>
      <c r="X25" s="4">
        <v>13.83</v>
      </c>
      <c r="Y25" s="4">
        <v>15.13</v>
      </c>
      <c r="Z25" s="4">
        <v>15.13</v>
      </c>
      <c r="AA25" s="4">
        <v>15.13</v>
      </c>
      <c r="AB25" s="4">
        <v>18.579999999999998</v>
      </c>
      <c r="AC25" s="4">
        <v>18.579999999999998</v>
      </c>
      <c r="AD25" s="4">
        <v>18.579999999999998</v>
      </c>
      <c r="AE25" s="4">
        <v>18.579999999999998</v>
      </c>
      <c r="AF25" s="4">
        <v>18.579999999999998</v>
      </c>
      <c r="AG25" s="4">
        <v>18.579999999999998</v>
      </c>
      <c r="AH25" s="4">
        <v>4.75</v>
      </c>
      <c r="AI25" s="4">
        <v>4.75</v>
      </c>
      <c r="AJ25" s="4">
        <v>4.75</v>
      </c>
      <c r="AK25" s="4">
        <v>4.75</v>
      </c>
      <c r="AL25" s="4">
        <v>4.75</v>
      </c>
      <c r="AM25" s="4">
        <v>4.75</v>
      </c>
      <c r="AN25" s="4">
        <v>4.75</v>
      </c>
      <c r="AO25" s="4">
        <v>4.75</v>
      </c>
      <c r="AP25" s="4">
        <v>4.75</v>
      </c>
      <c r="AQ25" s="4">
        <v>4.75</v>
      </c>
      <c r="AR25" s="4">
        <v>4.75</v>
      </c>
      <c r="AS25" s="4">
        <v>4.75</v>
      </c>
      <c r="AT25" s="4">
        <v>4.75</v>
      </c>
      <c r="AU25" s="4">
        <v>4.75</v>
      </c>
      <c r="AV25" s="4">
        <v>4.75</v>
      </c>
      <c r="AW25" s="4">
        <v>4.75</v>
      </c>
      <c r="AX25" s="4">
        <v>4.75</v>
      </c>
      <c r="AY25" s="4">
        <v>4.75</v>
      </c>
      <c r="AZ25" s="4">
        <v>4.75</v>
      </c>
      <c r="BA25" s="4">
        <v>4.75</v>
      </c>
      <c r="BB25" s="4">
        <v>4.75</v>
      </c>
      <c r="BC25" s="4">
        <v>4.75</v>
      </c>
      <c r="BD25" s="4">
        <v>4.75</v>
      </c>
      <c r="BE25" s="4">
        <v>4.75</v>
      </c>
      <c r="BF25" s="4">
        <v>4.75</v>
      </c>
      <c r="BG25" s="4">
        <v>4.75</v>
      </c>
      <c r="BH25" s="4">
        <v>4.75</v>
      </c>
    </row>
    <row r="26" spans="1:6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9" spans="1:60" x14ac:dyDescent="0.35">
      <c r="A29" s="7" t="s">
        <v>34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x14ac:dyDescent="0.35">
      <c r="A30" s="7" t="s">
        <v>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idden="1" x14ac:dyDescent="0.35">
      <c r="A31" s="8" t="s">
        <v>26</v>
      </c>
      <c r="B31" s="5">
        <f>(B35+B39+B43+B47+B51+B53)/6</f>
        <v>0.99964898299939275</v>
      </c>
      <c r="C31" s="5">
        <f t="shared" ref="C31:E31" si="0">(C35+C39+C43+C47+C51+C53)/6</f>
        <v>0.99964898299939275</v>
      </c>
      <c r="D31" s="5">
        <f t="shared" si="0"/>
        <v>0.99964898299939275</v>
      </c>
      <c r="E31" s="5">
        <f t="shared" si="0"/>
        <v>0.99964898299939275</v>
      </c>
      <c r="F31" s="5">
        <f>(F35+F39+F43+F47+F51+F53)/6</f>
        <v>0.99964898299939275</v>
      </c>
      <c r="G31" s="5">
        <f t="shared" ref="G31:H31" si="1">(G35+G39+G43+G47+G51+G53)/6</f>
        <v>0.99964898299939275</v>
      </c>
      <c r="H31" s="5">
        <f t="shared" si="1"/>
        <v>0.99964898299939275</v>
      </c>
      <c r="I31" s="5">
        <f t="shared" ref="I31:BA31" si="2">(I35+I39+I43+I47+I51+I53)/6</f>
        <v>0.99964898299939275</v>
      </c>
      <c r="J31" s="5">
        <f t="shared" si="2"/>
        <v>0.99964898299939275</v>
      </c>
      <c r="K31" s="5">
        <f t="shared" si="2"/>
        <v>0.99964802130898034</v>
      </c>
      <c r="L31" s="5">
        <f t="shared" si="2"/>
        <v>0.99964802130898034</v>
      </c>
      <c r="M31" s="5">
        <f t="shared" si="2"/>
        <v>0.99964802130898034</v>
      </c>
      <c r="N31" s="5">
        <f t="shared" si="2"/>
        <v>0.99964802130898034</v>
      </c>
      <c r="O31" s="5">
        <f t="shared" si="2"/>
        <v>0.99964802130898034</v>
      </c>
      <c r="P31" s="5">
        <f t="shared" si="2"/>
        <v>0.99964802130898034</v>
      </c>
      <c r="Q31" s="5">
        <f t="shared" si="2"/>
        <v>0.99964802130898034</v>
      </c>
      <c r="R31" s="5">
        <f t="shared" si="2"/>
        <v>0.99964802130898034</v>
      </c>
      <c r="S31" s="5">
        <f t="shared" si="2"/>
        <v>0.99964802130898034</v>
      </c>
      <c r="T31" s="5">
        <f t="shared" si="2"/>
        <v>0.99964802130898034</v>
      </c>
      <c r="U31" s="5">
        <f t="shared" si="2"/>
        <v>0.99964802130898034</v>
      </c>
      <c r="V31" s="5">
        <f t="shared" si="2"/>
        <v>0.99964802130898034</v>
      </c>
      <c r="W31" s="5">
        <f t="shared" si="2"/>
        <v>0.99964802130898034</v>
      </c>
      <c r="X31" s="5">
        <f t="shared" si="2"/>
        <v>0.99964802130898034</v>
      </c>
      <c r="Y31" s="5">
        <f t="shared" si="2"/>
        <v>0.99952853881278536</v>
      </c>
      <c r="Z31" s="5">
        <f t="shared" si="2"/>
        <v>0.99952853881278536</v>
      </c>
      <c r="AA31" s="5">
        <f t="shared" si="2"/>
        <v>0.99950951293759516</v>
      </c>
      <c r="AB31" s="5">
        <f t="shared" si="2"/>
        <v>0.99912043378995419</v>
      </c>
      <c r="AC31" s="5">
        <f t="shared" si="2"/>
        <v>0.99911567732115669</v>
      </c>
      <c r="AD31" s="5">
        <f t="shared" si="2"/>
        <v>0.99911567732115669</v>
      </c>
      <c r="AE31" s="5">
        <f t="shared" si="2"/>
        <v>0.99911567732115669</v>
      </c>
      <c r="AF31" s="5">
        <f t="shared" si="2"/>
        <v>0.99911567732115669</v>
      </c>
      <c r="AG31" s="5">
        <f t="shared" si="2"/>
        <v>0.99911567732115669</v>
      </c>
      <c r="AH31" s="5">
        <f t="shared" si="2"/>
        <v>0.99937880517503797</v>
      </c>
      <c r="AI31" s="5">
        <f t="shared" si="2"/>
        <v>0.99937880517503797</v>
      </c>
      <c r="AJ31" s="5">
        <f t="shared" si="2"/>
        <v>0.99937880517503797</v>
      </c>
      <c r="AK31" s="5">
        <f t="shared" si="2"/>
        <v>0.99937880517503797</v>
      </c>
      <c r="AL31" s="5">
        <f t="shared" si="2"/>
        <v>0.99937880517503797</v>
      </c>
      <c r="AM31" s="5">
        <f t="shared" si="2"/>
        <v>0.99937880517503797</v>
      </c>
      <c r="AN31" s="5">
        <f t="shared" si="2"/>
        <v>0.99937880517503797</v>
      </c>
      <c r="AO31" s="5">
        <f t="shared" si="2"/>
        <v>0.99937880517503797</v>
      </c>
      <c r="AP31" s="5">
        <f t="shared" si="2"/>
        <v>0.99937880517503797</v>
      </c>
      <c r="AQ31" s="5">
        <f t="shared" si="2"/>
        <v>0.99937880517503797</v>
      </c>
      <c r="AR31" s="5">
        <f t="shared" si="2"/>
        <v>0.99937880517503797</v>
      </c>
      <c r="AS31" s="5">
        <f t="shared" si="2"/>
        <v>0.99937880517503797</v>
      </c>
      <c r="AT31" s="5">
        <f t="shared" si="2"/>
        <v>0.99937880517503797</v>
      </c>
      <c r="AU31" s="5">
        <f t="shared" si="2"/>
        <v>0.99937880517503797</v>
      </c>
      <c r="AV31" s="5">
        <f t="shared" si="2"/>
        <v>0.99937880517503797</v>
      </c>
      <c r="AW31" s="5">
        <f t="shared" si="2"/>
        <v>0.99937880517503797</v>
      </c>
      <c r="AX31" s="5">
        <f t="shared" si="2"/>
        <v>0.99937880517503797</v>
      </c>
      <c r="AY31" s="5">
        <f t="shared" si="2"/>
        <v>0.99943911719939116</v>
      </c>
      <c r="AZ31" s="5">
        <f t="shared" si="2"/>
        <v>0.99943911719939116</v>
      </c>
      <c r="BA31" s="5">
        <f t="shared" si="2"/>
        <v>0.99943911719939116</v>
      </c>
      <c r="BB31" s="5"/>
      <c r="BC31" s="5"/>
      <c r="BD31" s="5"/>
      <c r="BE31" s="5"/>
      <c r="BF31" s="5"/>
      <c r="BG31" s="5"/>
      <c r="BH31" s="5"/>
    </row>
    <row r="32" spans="1:60" hidden="1" x14ac:dyDescent="0.35">
      <c r="A32" s="8" t="s">
        <v>27</v>
      </c>
      <c r="B32" s="5">
        <f>(B36+B40+B44+B48+B54)/5</f>
        <v>0.99926388888888895</v>
      </c>
      <c r="C32" s="5">
        <f t="shared" ref="C32:E32" si="3">(C36+C40+C44+C48+C54)/5</f>
        <v>0.99926388888888895</v>
      </c>
      <c r="D32" s="5">
        <f t="shared" si="3"/>
        <v>0.99926388888888895</v>
      </c>
      <c r="E32" s="5">
        <f t="shared" si="3"/>
        <v>0.99926388888888895</v>
      </c>
      <c r="F32" s="5">
        <f>(F36+F40+F44+F48+F54)/5</f>
        <v>0.99926388888888895</v>
      </c>
      <c r="G32" s="5">
        <f t="shared" ref="G32:H32" si="4">(G36+G40+G44+G48+G54)/5</f>
        <v>0.99926388888888895</v>
      </c>
      <c r="H32" s="5">
        <f t="shared" si="4"/>
        <v>0.99926388888888895</v>
      </c>
      <c r="I32" s="5">
        <f t="shared" ref="I32:BA32" si="5">(I36+I40+I44+I48+I54)/5</f>
        <v>0.99926388888888895</v>
      </c>
      <c r="J32" s="5">
        <f t="shared" si="5"/>
        <v>0.99926388888888895</v>
      </c>
      <c r="K32" s="5">
        <f t="shared" si="5"/>
        <v>0.99926187214611883</v>
      </c>
      <c r="L32" s="5">
        <f t="shared" si="5"/>
        <v>0.99926187214611883</v>
      </c>
      <c r="M32" s="5">
        <f t="shared" si="5"/>
        <v>0.99926187214611883</v>
      </c>
      <c r="N32" s="5">
        <f t="shared" si="5"/>
        <v>0.99926187214611883</v>
      </c>
      <c r="O32" s="5">
        <f t="shared" si="5"/>
        <v>0.99926187214611883</v>
      </c>
      <c r="P32" s="5">
        <f t="shared" si="5"/>
        <v>0.99926187214611883</v>
      </c>
      <c r="Q32" s="5">
        <f t="shared" si="5"/>
        <v>0.99926187214611883</v>
      </c>
      <c r="R32" s="5">
        <f t="shared" si="5"/>
        <v>0.99926187214611883</v>
      </c>
      <c r="S32" s="5">
        <f t="shared" si="5"/>
        <v>0.99926187214611883</v>
      </c>
      <c r="T32" s="5">
        <f t="shared" si="5"/>
        <v>0.99926187214611883</v>
      </c>
      <c r="U32" s="5">
        <f t="shared" si="5"/>
        <v>0.99926187214611883</v>
      </c>
      <c r="V32" s="5">
        <f t="shared" si="5"/>
        <v>0.99926187214611883</v>
      </c>
      <c r="W32" s="5">
        <f t="shared" si="5"/>
        <v>0.99926187214611883</v>
      </c>
      <c r="X32" s="5">
        <f t="shared" si="5"/>
        <v>0.99926187214611883</v>
      </c>
      <c r="Y32" s="5">
        <f t="shared" si="5"/>
        <v>0.99911849315068491</v>
      </c>
      <c r="Z32" s="5">
        <f t="shared" si="5"/>
        <v>0.99911849315068491</v>
      </c>
      <c r="AA32" s="5">
        <f t="shared" si="5"/>
        <v>0.99911849315068491</v>
      </c>
      <c r="AB32" s="5">
        <f t="shared" si="5"/>
        <v>0.99870753424657521</v>
      </c>
      <c r="AC32" s="5">
        <f t="shared" si="5"/>
        <v>0.99870753424657521</v>
      </c>
      <c r="AD32" s="5">
        <f t="shared" si="5"/>
        <v>0.99870753424657521</v>
      </c>
      <c r="AE32" s="5">
        <f t="shared" si="5"/>
        <v>0.99870753424657521</v>
      </c>
      <c r="AF32" s="5">
        <f t="shared" si="5"/>
        <v>0.99870753424657521</v>
      </c>
      <c r="AG32" s="5">
        <f t="shared" si="5"/>
        <v>0.99870753424657521</v>
      </c>
      <c r="AH32" s="5">
        <f t="shared" si="5"/>
        <v>0.99902328767123283</v>
      </c>
      <c r="AI32" s="5">
        <f t="shared" si="5"/>
        <v>0.99902328767123283</v>
      </c>
      <c r="AJ32" s="5">
        <f t="shared" si="5"/>
        <v>0.99902328767123283</v>
      </c>
      <c r="AK32" s="5">
        <f t="shared" si="5"/>
        <v>0.99902328767123283</v>
      </c>
      <c r="AL32" s="5">
        <f t="shared" si="5"/>
        <v>0.99902328767123283</v>
      </c>
      <c r="AM32" s="5">
        <f t="shared" si="5"/>
        <v>0.99902328767123283</v>
      </c>
      <c r="AN32" s="5">
        <f t="shared" si="5"/>
        <v>0.99902328767123283</v>
      </c>
      <c r="AO32" s="5">
        <f t="shared" si="5"/>
        <v>0.99902328767123283</v>
      </c>
      <c r="AP32" s="5">
        <f t="shared" si="5"/>
        <v>0.99902328767123283</v>
      </c>
      <c r="AQ32" s="5">
        <f t="shared" si="5"/>
        <v>0.99902328767123283</v>
      </c>
      <c r="AR32" s="5">
        <f t="shared" si="5"/>
        <v>0.99902328767123283</v>
      </c>
      <c r="AS32" s="5">
        <f t="shared" si="5"/>
        <v>0.99902328767123283</v>
      </c>
      <c r="AT32" s="5">
        <f t="shared" si="5"/>
        <v>0.99944566210045649</v>
      </c>
      <c r="AU32" s="5">
        <f t="shared" si="5"/>
        <v>0.99944566210045649</v>
      </c>
      <c r="AV32" s="5">
        <f t="shared" si="5"/>
        <v>0.99944566210045649</v>
      </c>
      <c r="AW32" s="5">
        <f t="shared" si="5"/>
        <v>0.99944566210045649</v>
      </c>
      <c r="AX32" s="5">
        <f t="shared" si="5"/>
        <v>0.99944566210045649</v>
      </c>
      <c r="AY32" s="5">
        <f t="shared" si="5"/>
        <v>0.99951803652968019</v>
      </c>
      <c r="AZ32" s="5">
        <f t="shared" si="5"/>
        <v>0.99951803652968019</v>
      </c>
      <c r="BA32" s="5">
        <f t="shared" si="5"/>
        <v>0.99951803652968019</v>
      </c>
      <c r="BB32" s="5"/>
      <c r="BC32" s="5"/>
      <c r="BD32" s="5"/>
      <c r="BE32" s="5"/>
      <c r="BF32" s="5"/>
      <c r="BG32" s="5"/>
      <c r="BH32" s="5"/>
    </row>
    <row r="33" spans="1:60" hidden="1" x14ac:dyDescent="0.35">
      <c r="A33" s="8" t="s">
        <v>28</v>
      </c>
      <c r="B33" s="5">
        <f>(B37+B41+B45+B49+B55)/5</f>
        <v>0.99961293260473594</v>
      </c>
      <c r="C33" s="5">
        <f t="shared" ref="C33:E33" si="6">(C37+C41+C45+C49+C55)/5</f>
        <v>0.99961293260473594</v>
      </c>
      <c r="D33" s="5">
        <f t="shared" si="6"/>
        <v>0.99961293260473594</v>
      </c>
      <c r="E33" s="5">
        <f t="shared" si="6"/>
        <v>0.99961293260473594</v>
      </c>
      <c r="F33" s="5">
        <f>(F37+F41+F45+F49+F55)/5</f>
        <v>0.99961293260473594</v>
      </c>
      <c r="G33" s="5">
        <f t="shared" ref="G33:H33" si="7">(G37+G41+G45+G49+G55)/5</f>
        <v>0.99961293260473594</v>
      </c>
      <c r="H33" s="5">
        <f t="shared" si="7"/>
        <v>0.99961293260473594</v>
      </c>
      <c r="I33" s="5">
        <f t="shared" ref="I33:BA33" si="8">(I37+I41+I45+I49+I55)/5</f>
        <v>0.99961293260473594</v>
      </c>
      <c r="J33" s="5">
        <f t="shared" si="8"/>
        <v>0.99961293260473594</v>
      </c>
      <c r="K33" s="5">
        <f t="shared" si="8"/>
        <v>0.99961187214611869</v>
      </c>
      <c r="L33" s="5">
        <f t="shared" si="8"/>
        <v>0.99961187214611869</v>
      </c>
      <c r="M33" s="5">
        <f t="shared" si="8"/>
        <v>0.99961187214611869</v>
      </c>
      <c r="N33" s="5">
        <f t="shared" si="8"/>
        <v>0.99961187214611869</v>
      </c>
      <c r="O33" s="5">
        <f t="shared" si="8"/>
        <v>0.99961187214611869</v>
      </c>
      <c r="P33" s="5">
        <f t="shared" si="8"/>
        <v>0.99961187214611869</v>
      </c>
      <c r="Q33" s="5">
        <f t="shared" si="8"/>
        <v>0.99961187214611869</v>
      </c>
      <c r="R33" s="5">
        <f t="shared" si="8"/>
        <v>0.99961187214611869</v>
      </c>
      <c r="S33" s="5">
        <f t="shared" si="8"/>
        <v>0.99961187214611869</v>
      </c>
      <c r="T33" s="5">
        <f t="shared" si="8"/>
        <v>0.99961187214611869</v>
      </c>
      <c r="U33" s="5">
        <f t="shared" si="8"/>
        <v>0.99961187214611869</v>
      </c>
      <c r="V33" s="5">
        <f t="shared" si="8"/>
        <v>0.99961187214611869</v>
      </c>
      <c r="W33" s="5">
        <f t="shared" si="8"/>
        <v>0.99961187214611869</v>
      </c>
      <c r="X33" s="5">
        <f t="shared" si="8"/>
        <v>0.99961187214611869</v>
      </c>
      <c r="Y33" s="5">
        <f t="shared" si="8"/>
        <v>0.99946849315068498</v>
      </c>
      <c r="Z33" s="5">
        <f t="shared" si="8"/>
        <v>0.99946849315068498</v>
      </c>
      <c r="AA33" s="5">
        <f t="shared" si="8"/>
        <v>0.99946849315068498</v>
      </c>
      <c r="AB33" s="5">
        <f t="shared" si="8"/>
        <v>0.99907465753424651</v>
      </c>
      <c r="AC33" s="5">
        <f t="shared" si="8"/>
        <v>0.99907465753424651</v>
      </c>
      <c r="AD33" s="5">
        <f t="shared" si="8"/>
        <v>0.99907465753424651</v>
      </c>
      <c r="AE33" s="5">
        <f t="shared" si="8"/>
        <v>0.99907465753424651</v>
      </c>
      <c r="AF33" s="5">
        <f t="shared" si="8"/>
        <v>0.99907465753424651</v>
      </c>
      <c r="AG33" s="5">
        <f t="shared" si="8"/>
        <v>0.99907465753424651</v>
      </c>
      <c r="AH33" s="5">
        <f t="shared" si="8"/>
        <v>0.99939041095890402</v>
      </c>
      <c r="AI33" s="5">
        <f t="shared" si="8"/>
        <v>0.99939041095890402</v>
      </c>
      <c r="AJ33" s="5">
        <f t="shared" si="8"/>
        <v>0.99939041095890402</v>
      </c>
      <c r="AK33" s="5">
        <f t="shared" si="8"/>
        <v>0.99939041095890402</v>
      </c>
      <c r="AL33" s="5">
        <f t="shared" si="8"/>
        <v>0.99939041095890402</v>
      </c>
      <c r="AM33" s="5">
        <f t="shared" si="8"/>
        <v>0.99939041095890402</v>
      </c>
      <c r="AN33" s="5">
        <f t="shared" si="8"/>
        <v>0.99939041095890402</v>
      </c>
      <c r="AO33" s="5">
        <f t="shared" si="8"/>
        <v>0.99939041095890402</v>
      </c>
      <c r="AP33" s="5">
        <f t="shared" si="8"/>
        <v>0.99939041095890402</v>
      </c>
      <c r="AQ33" s="5">
        <f t="shared" si="8"/>
        <v>0.99939041095890402</v>
      </c>
      <c r="AR33" s="5">
        <f t="shared" si="8"/>
        <v>0.99939041095890402</v>
      </c>
      <c r="AS33" s="5">
        <f t="shared" si="8"/>
        <v>0.99939041095890402</v>
      </c>
      <c r="AT33" s="5">
        <f t="shared" si="8"/>
        <v>0.99939041095890402</v>
      </c>
      <c r="AU33" s="5">
        <f t="shared" si="8"/>
        <v>0.99939041095890402</v>
      </c>
      <c r="AV33" s="5">
        <f t="shared" si="8"/>
        <v>0.99939041095890402</v>
      </c>
      <c r="AW33" s="5">
        <f t="shared" si="8"/>
        <v>0.99939041095890402</v>
      </c>
      <c r="AX33" s="5">
        <f t="shared" si="8"/>
        <v>0.99939041095890402</v>
      </c>
      <c r="AY33" s="5">
        <f t="shared" si="8"/>
        <v>0.99946278538812783</v>
      </c>
      <c r="AZ33" s="5">
        <f t="shared" si="8"/>
        <v>0.99946278538812783</v>
      </c>
      <c r="BA33" s="5">
        <f t="shared" si="8"/>
        <v>0.99946278538812783</v>
      </c>
      <c r="BB33" s="5"/>
      <c r="BC33" s="5"/>
      <c r="BD33" s="5"/>
      <c r="BE33" s="5"/>
      <c r="BF33" s="5"/>
      <c r="BG33" s="5"/>
      <c r="BH33" s="5"/>
    </row>
    <row r="34" spans="1:60" x14ac:dyDescent="0.35">
      <c r="A34" s="7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x14ac:dyDescent="0.35">
      <c r="A35" s="8" t="s">
        <v>26</v>
      </c>
      <c r="B35" s="5">
        <f>1-(B5/B1)</f>
        <v>0.9999715391621129</v>
      </c>
      <c r="C35" s="5">
        <f t="shared" ref="C35:D35" si="9">1-(C5/C1)</f>
        <v>0.9999715391621129</v>
      </c>
      <c r="D35" s="5">
        <f t="shared" si="9"/>
        <v>0.9999715391621129</v>
      </c>
      <c r="E35" s="5">
        <f t="shared" ref="E35:BA35" si="10">1-(E5/E1)</f>
        <v>0.9999715391621129</v>
      </c>
      <c r="F35" s="5">
        <f t="shared" si="10"/>
        <v>0.9999715391621129</v>
      </c>
      <c r="G35" s="5">
        <f t="shared" si="10"/>
        <v>0.9999715391621129</v>
      </c>
      <c r="H35" s="5">
        <f t="shared" si="10"/>
        <v>0.9999715391621129</v>
      </c>
      <c r="I35" s="5">
        <f t="shared" si="10"/>
        <v>0.9999715391621129</v>
      </c>
      <c r="J35" s="5">
        <f t="shared" si="10"/>
        <v>0.9999715391621129</v>
      </c>
      <c r="K35" s="5">
        <f t="shared" si="10"/>
        <v>0.99997146118721458</v>
      </c>
      <c r="L35" s="5">
        <f t="shared" si="10"/>
        <v>0.99997146118721458</v>
      </c>
      <c r="M35" s="5">
        <f t="shared" si="10"/>
        <v>0.99997146118721458</v>
      </c>
      <c r="N35" s="5">
        <f t="shared" si="10"/>
        <v>0.99997146118721458</v>
      </c>
      <c r="O35" s="5">
        <f t="shared" si="10"/>
        <v>0.99997146118721458</v>
      </c>
      <c r="P35" s="5">
        <f t="shared" si="10"/>
        <v>0.99997146118721458</v>
      </c>
      <c r="Q35" s="5">
        <f t="shared" si="10"/>
        <v>0.99997146118721458</v>
      </c>
      <c r="R35" s="5">
        <f t="shared" si="10"/>
        <v>0.99997146118721458</v>
      </c>
      <c r="S35" s="5">
        <f t="shared" si="10"/>
        <v>0.99997146118721458</v>
      </c>
      <c r="T35" s="5">
        <f t="shared" si="10"/>
        <v>0.99997146118721458</v>
      </c>
      <c r="U35" s="5">
        <f t="shared" si="10"/>
        <v>0.99997146118721458</v>
      </c>
      <c r="V35" s="5">
        <f t="shared" si="10"/>
        <v>0.99997146118721458</v>
      </c>
      <c r="W35" s="5">
        <f t="shared" si="10"/>
        <v>0.99997146118721458</v>
      </c>
      <c r="X35" s="5">
        <f t="shared" si="10"/>
        <v>0.99997146118721458</v>
      </c>
      <c r="Y35" s="5">
        <f t="shared" si="10"/>
        <v>0.99997146118721458</v>
      </c>
      <c r="Z35" s="5">
        <f t="shared" si="10"/>
        <v>0.99997146118721458</v>
      </c>
      <c r="AA35" s="5">
        <f t="shared" si="10"/>
        <v>0.99997146118721458</v>
      </c>
      <c r="AB35" s="5">
        <f t="shared" si="10"/>
        <v>0.99960616438356165</v>
      </c>
      <c r="AC35" s="5">
        <f t="shared" si="10"/>
        <v>0.99957762557077623</v>
      </c>
      <c r="AD35" s="5">
        <f t="shared" si="10"/>
        <v>0.99957762557077623</v>
      </c>
      <c r="AE35" s="5">
        <f t="shared" si="10"/>
        <v>0.99957762557077623</v>
      </c>
      <c r="AF35" s="5">
        <f t="shared" si="10"/>
        <v>0.99957762557077623</v>
      </c>
      <c r="AG35" s="5">
        <f t="shared" si="10"/>
        <v>0.99957762557077623</v>
      </c>
      <c r="AH35" s="5">
        <f t="shared" si="10"/>
        <v>0.99957762557077623</v>
      </c>
      <c r="AI35" s="5">
        <f t="shared" si="10"/>
        <v>0.99957762557077623</v>
      </c>
      <c r="AJ35" s="5">
        <f t="shared" si="10"/>
        <v>0.99957762557077623</v>
      </c>
      <c r="AK35" s="5">
        <f t="shared" si="10"/>
        <v>0.99957762557077623</v>
      </c>
      <c r="AL35" s="5">
        <f t="shared" si="10"/>
        <v>0.99957762557077623</v>
      </c>
      <c r="AM35" s="5">
        <f t="shared" si="10"/>
        <v>0.99957762557077623</v>
      </c>
      <c r="AN35" s="5">
        <f t="shared" si="10"/>
        <v>0.99957762557077623</v>
      </c>
      <c r="AO35" s="5">
        <f t="shared" si="10"/>
        <v>0.99957762557077623</v>
      </c>
      <c r="AP35" s="5">
        <f t="shared" si="10"/>
        <v>0.99957762557077623</v>
      </c>
      <c r="AQ35" s="5">
        <f t="shared" si="10"/>
        <v>0.99957762557077623</v>
      </c>
      <c r="AR35" s="5">
        <f t="shared" si="10"/>
        <v>0.99957762557077623</v>
      </c>
      <c r="AS35" s="5">
        <f t="shared" si="10"/>
        <v>0.99957762557077623</v>
      </c>
      <c r="AT35" s="5">
        <f t="shared" si="10"/>
        <v>0.99957762557077623</v>
      </c>
      <c r="AU35" s="5">
        <f t="shared" si="10"/>
        <v>0.99957762557077623</v>
      </c>
      <c r="AV35" s="5">
        <f t="shared" si="10"/>
        <v>0.99957762557077623</v>
      </c>
      <c r="AW35" s="5">
        <f t="shared" si="10"/>
        <v>0.99957762557077623</v>
      </c>
      <c r="AX35" s="5">
        <f t="shared" si="10"/>
        <v>0.99957762557077623</v>
      </c>
      <c r="AY35" s="5">
        <f t="shared" si="10"/>
        <v>0.99957762557077623</v>
      </c>
      <c r="AZ35" s="5">
        <f t="shared" si="10"/>
        <v>0.99957762557077623</v>
      </c>
      <c r="BA35" s="5">
        <f t="shared" si="10"/>
        <v>0.99957762557077623</v>
      </c>
      <c r="BB35" s="5">
        <f t="shared" ref="BB35:BG35" si="11">1-(BB5/BB1)</f>
        <v>0.99957762557077623</v>
      </c>
      <c r="BC35" s="5">
        <f t="shared" si="11"/>
        <v>0.99957762557077623</v>
      </c>
      <c r="BD35" s="5">
        <f t="shared" si="11"/>
        <v>0.99957762557077623</v>
      </c>
      <c r="BE35" s="5">
        <f t="shared" si="11"/>
        <v>0.99957762557077623</v>
      </c>
      <c r="BF35" s="5">
        <f t="shared" si="11"/>
        <v>0.99957762557077623</v>
      </c>
      <c r="BG35" s="5">
        <f t="shared" si="11"/>
        <v>0.99957762557077623</v>
      </c>
      <c r="BH35" s="5">
        <f>1-(BH5/BH1)</f>
        <v>0.99957762557077623</v>
      </c>
    </row>
    <row r="36" spans="1:60" x14ac:dyDescent="0.35">
      <c r="A36" s="8" t="s">
        <v>27</v>
      </c>
      <c r="B36" s="5">
        <f>1-(B6/B1)</f>
        <v>0.99957877959927144</v>
      </c>
      <c r="C36" s="5">
        <f t="shared" ref="C36:D36" si="12">1-(C6/C1)</f>
        <v>0.99957877959927144</v>
      </c>
      <c r="D36" s="5">
        <f t="shared" si="12"/>
        <v>0.99957877959927144</v>
      </c>
      <c r="E36" s="5">
        <f t="shared" ref="E36:BA36" si="13">1-(E6/E1)</f>
        <v>0.99957877959927144</v>
      </c>
      <c r="F36" s="5">
        <f t="shared" si="13"/>
        <v>0.99957877959927144</v>
      </c>
      <c r="G36" s="5">
        <f t="shared" si="13"/>
        <v>0.99957877959927144</v>
      </c>
      <c r="H36" s="5">
        <f t="shared" si="13"/>
        <v>0.99957877959927144</v>
      </c>
      <c r="I36" s="5">
        <f t="shared" si="13"/>
        <v>0.99957877959927144</v>
      </c>
      <c r="J36" s="5">
        <f t="shared" si="13"/>
        <v>0.99957877959927144</v>
      </c>
      <c r="K36" s="5">
        <f t="shared" si="13"/>
        <v>0.99957762557077623</v>
      </c>
      <c r="L36" s="5">
        <f t="shared" si="13"/>
        <v>0.99957762557077623</v>
      </c>
      <c r="M36" s="5">
        <f t="shared" si="13"/>
        <v>0.99957762557077623</v>
      </c>
      <c r="N36" s="5">
        <f t="shared" si="13"/>
        <v>0.99957762557077623</v>
      </c>
      <c r="O36" s="5">
        <f t="shared" si="13"/>
        <v>0.99957762557077623</v>
      </c>
      <c r="P36" s="5">
        <f t="shared" si="13"/>
        <v>0.99957762557077623</v>
      </c>
      <c r="Q36" s="5">
        <f t="shared" si="13"/>
        <v>0.99957762557077623</v>
      </c>
      <c r="R36" s="5">
        <f t="shared" si="13"/>
        <v>0.99957762557077623</v>
      </c>
      <c r="S36" s="5">
        <f t="shared" si="13"/>
        <v>0.99957762557077623</v>
      </c>
      <c r="T36" s="5">
        <f t="shared" si="13"/>
        <v>0.99957762557077623</v>
      </c>
      <c r="U36" s="5">
        <f t="shared" si="13"/>
        <v>0.99957762557077623</v>
      </c>
      <c r="V36" s="5">
        <f t="shared" si="13"/>
        <v>0.99957762557077623</v>
      </c>
      <c r="W36" s="5">
        <f t="shared" si="13"/>
        <v>0.99957762557077623</v>
      </c>
      <c r="X36" s="5">
        <f t="shared" si="13"/>
        <v>0.99957762557077623</v>
      </c>
      <c r="Y36" s="5">
        <f t="shared" si="13"/>
        <v>0.99957762557077623</v>
      </c>
      <c r="Z36" s="5">
        <f t="shared" si="13"/>
        <v>0.99957762557077623</v>
      </c>
      <c r="AA36" s="5">
        <f t="shared" si="13"/>
        <v>0.99957762557077623</v>
      </c>
      <c r="AB36" s="5">
        <f t="shared" si="13"/>
        <v>0.99915525114155246</v>
      </c>
      <c r="AC36" s="5">
        <f t="shared" si="13"/>
        <v>0.99915525114155246</v>
      </c>
      <c r="AD36" s="5">
        <f t="shared" si="13"/>
        <v>0.99915525114155246</v>
      </c>
      <c r="AE36" s="5">
        <f t="shared" si="13"/>
        <v>0.99915525114155246</v>
      </c>
      <c r="AF36" s="5">
        <f t="shared" si="13"/>
        <v>0.99915525114155246</v>
      </c>
      <c r="AG36" s="5">
        <f t="shared" si="13"/>
        <v>0.99915525114155246</v>
      </c>
      <c r="AH36" s="5">
        <f t="shared" si="13"/>
        <v>0.99915525114155246</v>
      </c>
      <c r="AI36" s="5">
        <f t="shared" si="13"/>
        <v>0.99915525114155246</v>
      </c>
      <c r="AJ36" s="5">
        <f t="shared" si="13"/>
        <v>0.99915525114155246</v>
      </c>
      <c r="AK36" s="5">
        <f t="shared" si="13"/>
        <v>0.99915525114155246</v>
      </c>
      <c r="AL36" s="5">
        <f t="shared" si="13"/>
        <v>0.99915525114155246</v>
      </c>
      <c r="AM36" s="5">
        <f t="shared" si="13"/>
        <v>0.99915525114155246</v>
      </c>
      <c r="AN36" s="5">
        <f t="shared" si="13"/>
        <v>0.99915525114155246</v>
      </c>
      <c r="AO36" s="5">
        <f t="shared" si="13"/>
        <v>0.99915525114155246</v>
      </c>
      <c r="AP36" s="5">
        <f t="shared" si="13"/>
        <v>0.99915525114155246</v>
      </c>
      <c r="AQ36" s="5">
        <f t="shared" si="13"/>
        <v>0.99915525114155246</v>
      </c>
      <c r="AR36" s="5">
        <f t="shared" si="13"/>
        <v>0.99915525114155246</v>
      </c>
      <c r="AS36" s="5">
        <f t="shared" si="13"/>
        <v>0.99915525114155246</v>
      </c>
      <c r="AT36" s="5">
        <f t="shared" si="13"/>
        <v>0.99957762557077623</v>
      </c>
      <c r="AU36" s="5">
        <f t="shared" si="13"/>
        <v>0.99957762557077623</v>
      </c>
      <c r="AV36" s="5">
        <f t="shared" si="13"/>
        <v>0.99957762557077623</v>
      </c>
      <c r="AW36" s="5">
        <f t="shared" si="13"/>
        <v>0.99957762557077623</v>
      </c>
      <c r="AX36" s="5">
        <f t="shared" si="13"/>
        <v>0.99957762557077623</v>
      </c>
      <c r="AY36" s="5">
        <f t="shared" si="13"/>
        <v>0.99957762557077623</v>
      </c>
      <c r="AZ36" s="5">
        <f t="shared" si="13"/>
        <v>0.99957762557077623</v>
      </c>
      <c r="BA36" s="5">
        <f t="shared" si="13"/>
        <v>0.99957762557077623</v>
      </c>
      <c r="BB36" s="5">
        <f t="shared" ref="BB36:BG36" si="14">1-(BB6/BB1)</f>
        <v>0.99957762557077623</v>
      </c>
      <c r="BC36" s="5">
        <f t="shared" si="14"/>
        <v>0.99957762557077623</v>
      </c>
      <c r="BD36" s="5">
        <f t="shared" si="14"/>
        <v>0.99957762557077623</v>
      </c>
      <c r="BE36" s="5">
        <f t="shared" si="14"/>
        <v>0.99957762557077623</v>
      </c>
      <c r="BF36" s="5">
        <f t="shared" si="14"/>
        <v>0.99957762557077623</v>
      </c>
      <c r="BG36" s="5">
        <f t="shared" si="14"/>
        <v>0.99957762557077623</v>
      </c>
      <c r="BH36" s="5">
        <f>1-(BH6/BH1)</f>
        <v>0.99957762557077623</v>
      </c>
    </row>
    <row r="37" spans="1:60" x14ac:dyDescent="0.35">
      <c r="A37" s="8" t="s">
        <v>28</v>
      </c>
      <c r="B37" s="5">
        <f>1-(B7/B1)</f>
        <v>1</v>
      </c>
      <c r="C37" s="5">
        <f t="shared" ref="C37:D37" si="15">1-(C7/C1)</f>
        <v>1</v>
      </c>
      <c r="D37" s="5">
        <f t="shared" si="15"/>
        <v>1</v>
      </c>
      <c r="E37" s="5">
        <f t="shared" ref="E37:BA37" si="16">1-(E7/E1)</f>
        <v>1</v>
      </c>
      <c r="F37" s="5">
        <f t="shared" si="16"/>
        <v>1</v>
      </c>
      <c r="G37" s="5">
        <f t="shared" si="16"/>
        <v>1</v>
      </c>
      <c r="H37" s="5">
        <f t="shared" si="16"/>
        <v>1</v>
      </c>
      <c r="I37" s="5">
        <f t="shared" si="16"/>
        <v>1</v>
      </c>
      <c r="J37" s="5">
        <f t="shared" si="16"/>
        <v>1</v>
      </c>
      <c r="K37" s="5">
        <f t="shared" si="16"/>
        <v>1</v>
      </c>
      <c r="L37" s="5">
        <f t="shared" si="16"/>
        <v>1</v>
      </c>
      <c r="M37" s="5">
        <f t="shared" si="16"/>
        <v>1</v>
      </c>
      <c r="N37" s="5">
        <f t="shared" si="16"/>
        <v>1</v>
      </c>
      <c r="O37" s="5">
        <f t="shared" si="16"/>
        <v>1</v>
      </c>
      <c r="P37" s="5">
        <f t="shared" si="16"/>
        <v>1</v>
      </c>
      <c r="Q37" s="5">
        <f t="shared" si="16"/>
        <v>1</v>
      </c>
      <c r="R37" s="5">
        <f t="shared" si="16"/>
        <v>1</v>
      </c>
      <c r="S37" s="5">
        <f t="shared" si="16"/>
        <v>1</v>
      </c>
      <c r="T37" s="5">
        <f t="shared" si="16"/>
        <v>1</v>
      </c>
      <c r="U37" s="5">
        <f t="shared" si="16"/>
        <v>1</v>
      </c>
      <c r="V37" s="5">
        <f t="shared" si="16"/>
        <v>1</v>
      </c>
      <c r="W37" s="5">
        <f t="shared" si="16"/>
        <v>1</v>
      </c>
      <c r="X37" s="5">
        <f t="shared" si="16"/>
        <v>1</v>
      </c>
      <c r="Y37" s="5">
        <f t="shared" si="16"/>
        <v>1</v>
      </c>
      <c r="Z37" s="5">
        <f t="shared" si="16"/>
        <v>1</v>
      </c>
      <c r="AA37" s="5">
        <f t="shared" si="16"/>
        <v>1</v>
      </c>
      <c r="AB37" s="5">
        <f t="shared" si="16"/>
        <v>0.99960616438356165</v>
      </c>
      <c r="AC37" s="5">
        <f t="shared" si="16"/>
        <v>0.99960616438356165</v>
      </c>
      <c r="AD37" s="5">
        <f t="shared" si="16"/>
        <v>0.99960616438356165</v>
      </c>
      <c r="AE37" s="5">
        <f t="shared" si="16"/>
        <v>0.99960616438356165</v>
      </c>
      <c r="AF37" s="5">
        <f t="shared" si="16"/>
        <v>0.99960616438356165</v>
      </c>
      <c r="AG37" s="5">
        <f t="shared" si="16"/>
        <v>0.99960616438356165</v>
      </c>
      <c r="AH37" s="5">
        <f t="shared" si="16"/>
        <v>0.99960616438356165</v>
      </c>
      <c r="AI37" s="5">
        <f t="shared" si="16"/>
        <v>0.99960616438356165</v>
      </c>
      <c r="AJ37" s="5">
        <f t="shared" si="16"/>
        <v>0.99960616438356165</v>
      </c>
      <c r="AK37" s="5">
        <f t="shared" si="16"/>
        <v>0.99960616438356165</v>
      </c>
      <c r="AL37" s="5">
        <f t="shared" si="16"/>
        <v>0.99960616438356165</v>
      </c>
      <c r="AM37" s="5">
        <f t="shared" si="16"/>
        <v>0.99960616438356165</v>
      </c>
      <c r="AN37" s="5">
        <f t="shared" si="16"/>
        <v>0.99960616438356165</v>
      </c>
      <c r="AO37" s="5">
        <f t="shared" si="16"/>
        <v>0.99960616438356165</v>
      </c>
      <c r="AP37" s="5">
        <f t="shared" si="16"/>
        <v>0.99960616438356165</v>
      </c>
      <c r="AQ37" s="5">
        <f t="shared" si="16"/>
        <v>0.99960616438356165</v>
      </c>
      <c r="AR37" s="5">
        <f t="shared" si="16"/>
        <v>0.99960616438356165</v>
      </c>
      <c r="AS37" s="5">
        <f t="shared" si="16"/>
        <v>0.99960616438356165</v>
      </c>
      <c r="AT37" s="5">
        <f t="shared" si="16"/>
        <v>0.99960616438356165</v>
      </c>
      <c r="AU37" s="5">
        <f t="shared" si="16"/>
        <v>0.99960616438356165</v>
      </c>
      <c r="AV37" s="5">
        <f t="shared" si="16"/>
        <v>0.99960616438356165</v>
      </c>
      <c r="AW37" s="5">
        <f t="shared" si="16"/>
        <v>0.99960616438356165</v>
      </c>
      <c r="AX37" s="5">
        <f t="shared" si="16"/>
        <v>0.99960616438356165</v>
      </c>
      <c r="AY37" s="5">
        <f t="shared" si="16"/>
        <v>0.99960616438356165</v>
      </c>
      <c r="AZ37" s="5">
        <f t="shared" si="16"/>
        <v>0.99960616438356165</v>
      </c>
      <c r="BA37" s="5">
        <f t="shared" si="16"/>
        <v>0.99960616438356165</v>
      </c>
      <c r="BB37" s="5">
        <f t="shared" ref="BB37:BG37" si="17">1-(BB7/BB1)</f>
        <v>0.99960616438356165</v>
      </c>
      <c r="BC37" s="5">
        <f t="shared" si="17"/>
        <v>0.99960616438356165</v>
      </c>
      <c r="BD37" s="5">
        <f t="shared" si="17"/>
        <v>0.99960616438356165</v>
      </c>
      <c r="BE37" s="5">
        <f t="shared" si="17"/>
        <v>0.99960616438356165</v>
      </c>
      <c r="BF37" s="5">
        <f t="shared" si="17"/>
        <v>0.99960616438356165</v>
      </c>
      <c r="BG37" s="5">
        <f t="shared" si="17"/>
        <v>0.99960616438356165</v>
      </c>
      <c r="BH37" s="5">
        <f>1-(BH7/BH1)</f>
        <v>0.99960616438356165</v>
      </c>
    </row>
    <row r="38" spans="1:60" x14ac:dyDescent="0.35">
      <c r="A38" s="7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x14ac:dyDescent="0.35">
      <c r="A39" s="8" t="s">
        <v>26</v>
      </c>
      <c r="B39" s="5">
        <f>1-(B9/B1)</f>
        <v>0.99961065573770491</v>
      </c>
      <c r="C39" s="5">
        <f t="shared" ref="C39:D39" si="18">1-(C9/C1)</f>
        <v>0.99961065573770491</v>
      </c>
      <c r="D39" s="5">
        <f t="shared" si="18"/>
        <v>0.99961065573770491</v>
      </c>
      <c r="E39" s="5">
        <f t="shared" ref="E39:BA39" si="19">1-(E9/E1)</f>
        <v>0.99961065573770491</v>
      </c>
      <c r="F39" s="5">
        <f t="shared" si="19"/>
        <v>0.99961065573770491</v>
      </c>
      <c r="G39" s="5">
        <f t="shared" si="19"/>
        <v>0.99961065573770491</v>
      </c>
      <c r="H39" s="5">
        <f t="shared" si="19"/>
        <v>0.99961065573770491</v>
      </c>
      <c r="I39" s="5">
        <f t="shared" si="19"/>
        <v>0.99961065573770491</v>
      </c>
      <c r="J39" s="5">
        <f t="shared" si="19"/>
        <v>0.99961065573770491</v>
      </c>
      <c r="K39" s="5">
        <f t="shared" si="19"/>
        <v>0.99960958904109587</v>
      </c>
      <c r="L39" s="5">
        <f t="shared" si="19"/>
        <v>0.99960958904109587</v>
      </c>
      <c r="M39" s="5">
        <f t="shared" si="19"/>
        <v>0.99960958904109587</v>
      </c>
      <c r="N39" s="5">
        <f t="shared" si="19"/>
        <v>0.99960958904109587</v>
      </c>
      <c r="O39" s="5">
        <f t="shared" si="19"/>
        <v>0.99960958904109587</v>
      </c>
      <c r="P39" s="5">
        <f t="shared" si="19"/>
        <v>0.99960958904109587</v>
      </c>
      <c r="Q39" s="5">
        <f t="shared" si="19"/>
        <v>0.99960958904109587</v>
      </c>
      <c r="R39" s="5">
        <f t="shared" si="19"/>
        <v>0.99960958904109587</v>
      </c>
      <c r="S39" s="5">
        <f t="shared" si="19"/>
        <v>0.99960958904109587</v>
      </c>
      <c r="T39" s="5">
        <f t="shared" si="19"/>
        <v>0.99960958904109587</v>
      </c>
      <c r="U39" s="5">
        <f t="shared" si="19"/>
        <v>0.99960958904109587</v>
      </c>
      <c r="V39" s="5">
        <f t="shared" si="19"/>
        <v>0.99960958904109587</v>
      </c>
      <c r="W39" s="5">
        <f t="shared" si="19"/>
        <v>0.99960958904109587</v>
      </c>
      <c r="X39" s="5">
        <f t="shared" si="19"/>
        <v>0.99960958904109587</v>
      </c>
      <c r="Y39" s="5">
        <f t="shared" si="19"/>
        <v>0.99904109589041101</v>
      </c>
      <c r="Z39" s="5">
        <f t="shared" si="19"/>
        <v>0.99904109589041101</v>
      </c>
      <c r="AA39" s="5">
        <f t="shared" si="19"/>
        <v>0.99904109589041101</v>
      </c>
      <c r="AB39" s="5">
        <f t="shared" si="19"/>
        <v>0.99864726027397255</v>
      </c>
      <c r="AC39" s="5">
        <f t="shared" si="19"/>
        <v>0.99864726027397255</v>
      </c>
      <c r="AD39" s="5">
        <f t="shared" si="19"/>
        <v>0.99864726027397255</v>
      </c>
      <c r="AE39" s="5">
        <f t="shared" si="19"/>
        <v>0.99864726027397255</v>
      </c>
      <c r="AF39" s="5">
        <f t="shared" si="19"/>
        <v>0.99864726027397255</v>
      </c>
      <c r="AG39" s="5">
        <f t="shared" si="19"/>
        <v>0.99864726027397255</v>
      </c>
      <c r="AH39" s="5">
        <f t="shared" si="19"/>
        <v>0.99864726027397255</v>
      </c>
      <c r="AI39" s="5">
        <f t="shared" si="19"/>
        <v>0.99864726027397255</v>
      </c>
      <c r="AJ39" s="5">
        <f t="shared" si="19"/>
        <v>0.99864726027397255</v>
      </c>
      <c r="AK39" s="5">
        <f t="shared" si="19"/>
        <v>0.99864726027397255</v>
      </c>
      <c r="AL39" s="5">
        <f t="shared" si="19"/>
        <v>0.99864726027397255</v>
      </c>
      <c r="AM39" s="5">
        <f t="shared" si="19"/>
        <v>0.99864726027397255</v>
      </c>
      <c r="AN39" s="5">
        <f t="shared" si="19"/>
        <v>0.99864726027397255</v>
      </c>
      <c r="AO39" s="5">
        <f t="shared" si="19"/>
        <v>0.99864726027397255</v>
      </c>
      <c r="AP39" s="5">
        <f t="shared" si="19"/>
        <v>0.99864726027397255</v>
      </c>
      <c r="AQ39" s="5">
        <f t="shared" si="19"/>
        <v>0.99864726027397255</v>
      </c>
      <c r="AR39" s="5">
        <f t="shared" si="19"/>
        <v>0.99864726027397255</v>
      </c>
      <c r="AS39" s="5">
        <f t="shared" si="19"/>
        <v>0.99864726027397255</v>
      </c>
      <c r="AT39" s="5">
        <f t="shared" si="19"/>
        <v>0.99864726027397255</v>
      </c>
      <c r="AU39" s="5">
        <f t="shared" si="19"/>
        <v>0.99864726027397255</v>
      </c>
      <c r="AV39" s="5">
        <f t="shared" si="19"/>
        <v>0.99864726027397255</v>
      </c>
      <c r="AW39" s="5">
        <f t="shared" si="19"/>
        <v>0.99864726027397255</v>
      </c>
      <c r="AX39" s="5">
        <f t="shared" si="19"/>
        <v>0.99864726027397255</v>
      </c>
      <c r="AY39" s="5">
        <f t="shared" si="19"/>
        <v>0.99900913242009137</v>
      </c>
      <c r="AZ39" s="5">
        <f t="shared" si="19"/>
        <v>0.99900913242009137</v>
      </c>
      <c r="BA39" s="5">
        <f t="shared" si="19"/>
        <v>0.99900913242009137</v>
      </c>
      <c r="BB39" s="5">
        <f t="shared" ref="BB39:BG39" si="20">1-(BB9/BB1)</f>
        <v>0.99900913242009137</v>
      </c>
      <c r="BC39" s="5">
        <f t="shared" si="20"/>
        <v>0.99900913242009137</v>
      </c>
      <c r="BD39" s="5">
        <f t="shared" si="20"/>
        <v>0.99900913242009137</v>
      </c>
      <c r="BE39" s="5">
        <f t="shared" si="20"/>
        <v>0.99900913242009137</v>
      </c>
      <c r="BF39" s="5">
        <f t="shared" si="20"/>
        <v>0.99900913242009137</v>
      </c>
      <c r="BG39" s="5">
        <f t="shared" si="20"/>
        <v>0.99891324200913245</v>
      </c>
      <c r="BH39" s="5">
        <f>1-(BH9/BH1)</f>
        <v>0.99891324200913245</v>
      </c>
    </row>
    <row r="40" spans="1:60" x14ac:dyDescent="0.35">
      <c r="A40" s="8" t="s">
        <v>27</v>
      </c>
      <c r="B40" s="5">
        <f>1-(B10/B1)</f>
        <v>0.99957877959927144</v>
      </c>
      <c r="C40" s="5">
        <f t="shared" ref="C40:D40" si="21">1-(C10/C1)</f>
        <v>0.99957877959927144</v>
      </c>
      <c r="D40" s="5">
        <f t="shared" si="21"/>
        <v>0.99957877959927144</v>
      </c>
      <c r="E40" s="5">
        <f t="shared" ref="E40:BA40" si="22">1-(E10/E1)</f>
        <v>0.99957877959927144</v>
      </c>
      <c r="F40" s="5">
        <f t="shared" si="22"/>
        <v>0.99957877959927144</v>
      </c>
      <c r="G40" s="5">
        <f t="shared" si="22"/>
        <v>0.99957877959927144</v>
      </c>
      <c r="H40" s="5">
        <f t="shared" si="22"/>
        <v>0.99957877959927144</v>
      </c>
      <c r="I40" s="5">
        <f t="shared" si="22"/>
        <v>0.99957877959927144</v>
      </c>
      <c r="J40" s="5">
        <f t="shared" si="22"/>
        <v>0.99957877959927144</v>
      </c>
      <c r="K40" s="5">
        <f t="shared" si="22"/>
        <v>0.99957762557077623</v>
      </c>
      <c r="L40" s="5">
        <f t="shared" si="22"/>
        <v>0.99957762557077623</v>
      </c>
      <c r="M40" s="5">
        <f t="shared" si="22"/>
        <v>0.99957762557077623</v>
      </c>
      <c r="N40" s="5">
        <f t="shared" si="22"/>
        <v>0.99957762557077623</v>
      </c>
      <c r="O40" s="5">
        <f t="shared" si="22"/>
        <v>0.99957762557077623</v>
      </c>
      <c r="P40" s="5">
        <f t="shared" si="22"/>
        <v>0.99957762557077623</v>
      </c>
      <c r="Q40" s="5">
        <f t="shared" si="22"/>
        <v>0.99957762557077623</v>
      </c>
      <c r="R40" s="5">
        <f t="shared" si="22"/>
        <v>0.99957762557077623</v>
      </c>
      <c r="S40" s="5">
        <f t="shared" si="22"/>
        <v>0.99957762557077623</v>
      </c>
      <c r="T40" s="5">
        <f t="shared" si="22"/>
        <v>0.99957762557077623</v>
      </c>
      <c r="U40" s="5">
        <f t="shared" si="22"/>
        <v>0.99957762557077623</v>
      </c>
      <c r="V40" s="5">
        <f t="shared" si="22"/>
        <v>0.99957762557077623</v>
      </c>
      <c r="W40" s="5">
        <f t="shared" si="22"/>
        <v>0.99957762557077623</v>
      </c>
      <c r="X40" s="5">
        <f t="shared" si="22"/>
        <v>0.99957762557077623</v>
      </c>
      <c r="Y40" s="5">
        <f t="shared" si="22"/>
        <v>0.99900913242009137</v>
      </c>
      <c r="Z40" s="5">
        <f t="shared" si="22"/>
        <v>0.99900913242009137</v>
      </c>
      <c r="AA40" s="5">
        <f t="shared" si="22"/>
        <v>0.99900913242009137</v>
      </c>
      <c r="AB40" s="5">
        <f t="shared" si="22"/>
        <v>0.99861529680365302</v>
      </c>
      <c r="AC40" s="5">
        <f t="shared" si="22"/>
        <v>0.99861529680365302</v>
      </c>
      <c r="AD40" s="5">
        <f t="shared" si="22"/>
        <v>0.99861529680365302</v>
      </c>
      <c r="AE40" s="5">
        <f t="shared" si="22"/>
        <v>0.99861529680365302</v>
      </c>
      <c r="AF40" s="5">
        <f t="shared" si="22"/>
        <v>0.99861529680365302</v>
      </c>
      <c r="AG40" s="5">
        <f t="shared" si="22"/>
        <v>0.99861529680365302</v>
      </c>
      <c r="AH40" s="5">
        <f t="shared" si="22"/>
        <v>0.99861529680365302</v>
      </c>
      <c r="AI40" s="5">
        <f t="shared" si="22"/>
        <v>0.99861529680365302</v>
      </c>
      <c r="AJ40" s="5">
        <f t="shared" si="22"/>
        <v>0.99861529680365302</v>
      </c>
      <c r="AK40" s="5">
        <f t="shared" si="22"/>
        <v>0.99861529680365302</v>
      </c>
      <c r="AL40" s="5">
        <f t="shared" si="22"/>
        <v>0.99861529680365302</v>
      </c>
      <c r="AM40" s="5">
        <f t="shared" si="22"/>
        <v>0.99861529680365302</v>
      </c>
      <c r="AN40" s="5">
        <f t="shared" si="22"/>
        <v>0.99861529680365302</v>
      </c>
      <c r="AO40" s="5">
        <f t="shared" si="22"/>
        <v>0.99861529680365302</v>
      </c>
      <c r="AP40" s="5">
        <f t="shared" si="22"/>
        <v>0.99861529680365302</v>
      </c>
      <c r="AQ40" s="5">
        <f t="shared" si="22"/>
        <v>0.99861529680365302</v>
      </c>
      <c r="AR40" s="5">
        <f t="shared" si="22"/>
        <v>0.99861529680365302</v>
      </c>
      <c r="AS40" s="5">
        <f t="shared" si="22"/>
        <v>0.99861529680365302</v>
      </c>
      <c r="AT40" s="5">
        <f t="shared" si="22"/>
        <v>0.99903767123287668</v>
      </c>
      <c r="AU40" s="5">
        <f t="shared" si="22"/>
        <v>0.99903767123287668</v>
      </c>
      <c r="AV40" s="5">
        <f t="shared" si="22"/>
        <v>0.99903767123287668</v>
      </c>
      <c r="AW40" s="5">
        <f t="shared" si="22"/>
        <v>0.99903767123287668</v>
      </c>
      <c r="AX40" s="5">
        <f t="shared" si="22"/>
        <v>0.99903767123287668</v>
      </c>
      <c r="AY40" s="5">
        <f t="shared" si="22"/>
        <v>0.99939954337899539</v>
      </c>
      <c r="AZ40" s="5">
        <f t="shared" si="22"/>
        <v>0.99939954337899539</v>
      </c>
      <c r="BA40" s="5">
        <f t="shared" si="22"/>
        <v>0.99939954337899539</v>
      </c>
      <c r="BB40" s="5">
        <f t="shared" ref="BB40:BG40" si="23">1-(BB10/BB1)</f>
        <v>0.99939954337899539</v>
      </c>
      <c r="BC40" s="5">
        <f t="shared" si="23"/>
        <v>0.99939954337899539</v>
      </c>
      <c r="BD40" s="5">
        <f t="shared" si="23"/>
        <v>0.99939954337899539</v>
      </c>
      <c r="BE40" s="5">
        <f t="shared" si="23"/>
        <v>0.99939954337899539</v>
      </c>
      <c r="BF40" s="5">
        <f t="shared" si="23"/>
        <v>0.99939954337899539</v>
      </c>
      <c r="BG40" s="5">
        <f t="shared" si="23"/>
        <v>0.99939954337899539</v>
      </c>
      <c r="BH40" s="5">
        <f>1-(BH10/BH1)</f>
        <v>0.99939954337899539</v>
      </c>
    </row>
    <row r="41" spans="1:60" x14ac:dyDescent="0.35">
      <c r="A41" s="8" t="s">
        <v>28</v>
      </c>
      <c r="B41" s="5">
        <f>1-(B11/B1)</f>
        <v>0.99963911657559201</v>
      </c>
      <c r="C41" s="5">
        <f t="shared" ref="C41:D41" si="24">1-(C11/C1)</f>
        <v>0.99963911657559201</v>
      </c>
      <c r="D41" s="5">
        <f t="shared" si="24"/>
        <v>0.99963911657559201</v>
      </c>
      <c r="E41" s="5">
        <f t="shared" ref="E41:BA41" si="25">1-(E11/E1)</f>
        <v>0.99963911657559201</v>
      </c>
      <c r="F41" s="5">
        <f t="shared" si="25"/>
        <v>0.99963911657559201</v>
      </c>
      <c r="G41" s="5">
        <f t="shared" si="25"/>
        <v>0.99963911657559201</v>
      </c>
      <c r="H41" s="5">
        <f t="shared" si="25"/>
        <v>0.99963911657559201</v>
      </c>
      <c r="I41" s="5">
        <f t="shared" si="25"/>
        <v>0.99963911657559201</v>
      </c>
      <c r="J41" s="5">
        <f t="shared" si="25"/>
        <v>0.99963911657559201</v>
      </c>
      <c r="K41" s="5">
        <f t="shared" si="25"/>
        <v>0.99963812785388129</v>
      </c>
      <c r="L41" s="5">
        <f t="shared" si="25"/>
        <v>0.99963812785388129</v>
      </c>
      <c r="M41" s="5">
        <f t="shared" si="25"/>
        <v>0.99963812785388129</v>
      </c>
      <c r="N41" s="5">
        <f t="shared" si="25"/>
        <v>0.99963812785388129</v>
      </c>
      <c r="O41" s="5">
        <f t="shared" si="25"/>
        <v>0.99963812785388129</v>
      </c>
      <c r="P41" s="5">
        <f t="shared" si="25"/>
        <v>0.99963812785388129</v>
      </c>
      <c r="Q41" s="5">
        <f t="shared" si="25"/>
        <v>0.99963812785388129</v>
      </c>
      <c r="R41" s="5">
        <f t="shared" si="25"/>
        <v>0.99963812785388129</v>
      </c>
      <c r="S41" s="5">
        <f t="shared" si="25"/>
        <v>0.99963812785388129</v>
      </c>
      <c r="T41" s="5">
        <f t="shared" si="25"/>
        <v>0.99963812785388129</v>
      </c>
      <c r="U41" s="5">
        <f t="shared" si="25"/>
        <v>0.99963812785388129</v>
      </c>
      <c r="V41" s="5">
        <f t="shared" si="25"/>
        <v>0.99963812785388129</v>
      </c>
      <c r="W41" s="5">
        <f t="shared" si="25"/>
        <v>0.99963812785388129</v>
      </c>
      <c r="X41" s="5">
        <f t="shared" si="25"/>
        <v>0.99963812785388129</v>
      </c>
      <c r="Y41" s="5">
        <f t="shared" si="25"/>
        <v>0.99906963470319632</v>
      </c>
      <c r="Z41" s="5">
        <f t="shared" si="25"/>
        <v>0.99906963470319632</v>
      </c>
      <c r="AA41" s="5">
        <f t="shared" si="25"/>
        <v>0.99906963470319632</v>
      </c>
      <c r="AB41" s="5">
        <f t="shared" si="25"/>
        <v>0.99867579908675796</v>
      </c>
      <c r="AC41" s="5">
        <f t="shared" si="25"/>
        <v>0.99867579908675796</v>
      </c>
      <c r="AD41" s="5">
        <f t="shared" si="25"/>
        <v>0.99867579908675796</v>
      </c>
      <c r="AE41" s="5">
        <f t="shared" si="25"/>
        <v>0.99867579908675796</v>
      </c>
      <c r="AF41" s="5">
        <f t="shared" si="25"/>
        <v>0.99867579908675796</v>
      </c>
      <c r="AG41" s="5">
        <f t="shared" si="25"/>
        <v>0.99867579908675796</v>
      </c>
      <c r="AH41" s="5">
        <f t="shared" si="25"/>
        <v>0.99867579908675796</v>
      </c>
      <c r="AI41" s="5">
        <f t="shared" si="25"/>
        <v>0.99867579908675796</v>
      </c>
      <c r="AJ41" s="5">
        <f t="shared" si="25"/>
        <v>0.99867579908675796</v>
      </c>
      <c r="AK41" s="5">
        <f t="shared" si="25"/>
        <v>0.99867579908675796</v>
      </c>
      <c r="AL41" s="5">
        <f t="shared" si="25"/>
        <v>0.99867579908675796</v>
      </c>
      <c r="AM41" s="5">
        <f t="shared" si="25"/>
        <v>0.99867579908675796</v>
      </c>
      <c r="AN41" s="5">
        <f t="shared" si="25"/>
        <v>0.99867579908675796</v>
      </c>
      <c r="AO41" s="5">
        <f t="shared" si="25"/>
        <v>0.99867579908675796</v>
      </c>
      <c r="AP41" s="5">
        <f t="shared" si="25"/>
        <v>0.99867579908675796</v>
      </c>
      <c r="AQ41" s="5">
        <f t="shared" si="25"/>
        <v>0.99867579908675796</v>
      </c>
      <c r="AR41" s="5">
        <f t="shared" si="25"/>
        <v>0.99867579908675796</v>
      </c>
      <c r="AS41" s="5">
        <f t="shared" si="25"/>
        <v>0.99867579908675796</v>
      </c>
      <c r="AT41" s="5">
        <f t="shared" si="25"/>
        <v>0.99867579908675796</v>
      </c>
      <c r="AU41" s="5">
        <f t="shared" si="25"/>
        <v>0.99867579908675796</v>
      </c>
      <c r="AV41" s="5">
        <f t="shared" si="25"/>
        <v>0.99867579908675796</v>
      </c>
      <c r="AW41" s="5">
        <f t="shared" si="25"/>
        <v>0.99867579908675796</v>
      </c>
      <c r="AX41" s="5">
        <f t="shared" si="25"/>
        <v>0.99867579908675796</v>
      </c>
      <c r="AY41" s="5">
        <f t="shared" si="25"/>
        <v>0.99903767123287668</v>
      </c>
      <c r="AZ41" s="5">
        <f t="shared" si="25"/>
        <v>0.99903767123287668</v>
      </c>
      <c r="BA41" s="5">
        <f t="shared" si="25"/>
        <v>0.99903767123287668</v>
      </c>
      <c r="BB41" s="5">
        <f t="shared" ref="BB41:BG41" si="26">1-(BB11/BB1)</f>
        <v>0.99903767123287668</v>
      </c>
      <c r="BC41" s="5">
        <f t="shared" si="26"/>
        <v>0.99903767123287668</v>
      </c>
      <c r="BD41" s="5">
        <f t="shared" si="26"/>
        <v>0.99903767123287668</v>
      </c>
      <c r="BE41" s="5">
        <f t="shared" si="26"/>
        <v>0.99903767123287668</v>
      </c>
      <c r="BF41" s="5">
        <f t="shared" si="26"/>
        <v>0.99903767123287668</v>
      </c>
      <c r="BG41" s="5">
        <f t="shared" si="26"/>
        <v>0.99903767123287668</v>
      </c>
      <c r="BH41" s="5">
        <f>1-(BH11/BH1)</f>
        <v>0.99903767123287668</v>
      </c>
    </row>
    <row r="42" spans="1:60" x14ac:dyDescent="0.35">
      <c r="A42" s="7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x14ac:dyDescent="0.35">
      <c r="A43" s="8" t="s">
        <v>26</v>
      </c>
      <c r="B43" s="5">
        <f>1-(B13/B1)</f>
        <v>0.9999715391621129</v>
      </c>
      <c r="C43" s="5">
        <f t="shared" ref="C43:D43" si="27">1-(C13/C1)</f>
        <v>0.9999715391621129</v>
      </c>
      <c r="D43" s="5">
        <f t="shared" si="27"/>
        <v>0.9999715391621129</v>
      </c>
      <c r="E43" s="5">
        <f t="shared" ref="E43:BA43" si="28">1-(E13/E1)</f>
        <v>0.9999715391621129</v>
      </c>
      <c r="F43" s="5">
        <f t="shared" si="28"/>
        <v>0.9999715391621129</v>
      </c>
      <c r="G43" s="5">
        <f t="shared" si="28"/>
        <v>0.9999715391621129</v>
      </c>
      <c r="H43" s="5">
        <f t="shared" si="28"/>
        <v>0.9999715391621129</v>
      </c>
      <c r="I43" s="5">
        <f t="shared" si="28"/>
        <v>0.9999715391621129</v>
      </c>
      <c r="J43" s="5">
        <f t="shared" si="28"/>
        <v>0.9999715391621129</v>
      </c>
      <c r="K43" s="5">
        <f t="shared" si="28"/>
        <v>0.99997146118721458</v>
      </c>
      <c r="L43" s="5">
        <f t="shared" si="28"/>
        <v>0.99997146118721458</v>
      </c>
      <c r="M43" s="5">
        <f t="shared" si="28"/>
        <v>0.99997146118721458</v>
      </c>
      <c r="N43" s="5">
        <f t="shared" si="28"/>
        <v>0.99997146118721458</v>
      </c>
      <c r="O43" s="5">
        <f t="shared" si="28"/>
        <v>0.99997146118721458</v>
      </c>
      <c r="P43" s="5">
        <f t="shared" si="28"/>
        <v>0.99997146118721458</v>
      </c>
      <c r="Q43" s="5">
        <f t="shared" si="28"/>
        <v>0.99997146118721458</v>
      </c>
      <c r="R43" s="5">
        <f t="shared" si="28"/>
        <v>0.99997146118721458</v>
      </c>
      <c r="S43" s="5">
        <f t="shared" si="28"/>
        <v>0.99997146118721458</v>
      </c>
      <c r="T43" s="5">
        <f t="shared" si="28"/>
        <v>0.99997146118721458</v>
      </c>
      <c r="U43" s="5">
        <f t="shared" si="28"/>
        <v>0.99997146118721458</v>
      </c>
      <c r="V43" s="5">
        <f t="shared" si="28"/>
        <v>0.99997146118721458</v>
      </c>
      <c r="W43" s="5">
        <f t="shared" si="28"/>
        <v>0.99997146118721458</v>
      </c>
      <c r="X43" s="5">
        <f t="shared" si="28"/>
        <v>0.99997146118721458</v>
      </c>
      <c r="Y43" s="5">
        <f t="shared" si="28"/>
        <v>0.99997146118721458</v>
      </c>
      <c r="Z43" s="5">
        <f t="shared" si="28"/>
        <v>0.99997146118721458</v>
      </c>
      <c r="AA43" s="5">
        <f t="shared" si="28"/>
        <v>0.99997146118721458</v>
      </c>
      <c r="AB43" s="5">
        <f t="shared" si="28"/>
        <v>0.99957762557077623</v>
      </c>
      <c r="AC43" s="5">
        <f t="shared" si="28"/>
        <v>0.99957762557077623</v>
      </c>
      <c r="AD43" s="5">
        <f t="shared" si="28"/>
        <v>0.99957762557077623</v>
      </c>
      <c r="AE43" s="5">
        <f t="shared" si="28"/>
        <v>0.99957762557077623</v>
      </c>
      <c r="AF43" s="5">
        <f t="shared" si="28"/>
        <v>0.99957762557077623</v>
      </c>
      <c r="AG43" s="5">
        <f t="shared" si="28"/>
        <v>0.99957762557077623</v>
      </c>
      <c r="AH43" s="5">
        <f t="shared" si="28"/>
        <v>0.99957762557077623</v>
      </c>
      <c r="AI43" s="5">
        <f t="shared" si="28"/>
        <v>0.99957762557077623</v>
      </c>
      <c r="AJ43" s="5">
        <f t="shared" si="28"/>
        <v>0.99957762557077623</v>
      </c>
      <c r="AK43" s="5">
        <f t="shared" si="28"/>
        <v>0.99957762557077623</v>
      </c>
      <c r="AL43" s="5">
        <f t="shared" si="28"/>
        <v>0.99957762557077623</v>
      </c>
      <c r="AM43" s="5">
        <f t="shared" si="28"/>
        <v>0.99957762557077623</v>
      </c>
      <c r="AN43" s="5">
        <f t="shared" si="28"/>
        <v>0.99957762557077623</v>
      </c>
      <c r="AO43" s="5">
        <f t="shared" si="28"/>
        <v>0.99957762557077623</v>
      </c>
      <c r="AP43" s="5">
        <f t="shared" si="28"/>
        <v>0.99957762557077623</v>
      </c>
      <c r="AQ43" s="5">
        <f t="shared" si="28"/>
        <v>0.99957762557077623</v>
      </c>
      <c r="AR43" s="5">
        <f t="shared" si="28"/>
        <v>0.99957762557077623</v>
      </c>
      <c r="AS43" s="5">
        <f t="shared" si="28"/>
        <v>0.99957762557077623</v>
      </c>
      <c r="AT43" s="5">
        <f t="shared" si="28"/>
        <v>0.99957762557077623</v>
      </c>
      <c r="AU43" s="5">
        <f t="shared" si="28"/>
        <v>0.99957762557077623</v>
      </c>
      <c r="AV43" s="5">
        <f t="shared" si="28"/>
        <v>0.99957762557077623</v>
      </c>
      <c r="AW43" s="5">
        <f t="shared" si="28"/>
        <v>0.99957762557077623</v>
      </c>
      <c r="AX43" s="5">
        <f t="shared" si="28"/>
        <v>0.99957762557077623</v>
      </c>
      <c r="AY43" s="5">
        <f t="shared" si="28"/>
        <v>0.99957762557077623</v>
      </c>
      <c r="AZ43" s="5">
        <f t="shared" si="28"/>
        <v>0.99957762557077623</v>
      </c>
      <c r="BA43" s="5">
        <f t="shared" si="28"/>
        <v>0.99957762557077623</v>
      </c>
      <c r="BB43" s="5">
        <f t="shared" ref="BB43:BG43" si="29">1-(BB13/BB1)</f>
        <v>0.99957762557077623</v>
      </c>
      <c r="BC43" s="5">
        <f t="shared" si="29"/>
        <v>0.99957762557077623</v>
      </c>
      <c r="BD43" s="5">
        <f t="shared" si="29"/>
        <v>0.99957762557077623</v>
      </c>
      <c r="BE43" s="5">
        <f t="shared" si="29"/>
        <v>0.99957762557077623</v>
      </c>
      <c r="BF43" s="5">
        <f t="shared" si="29"/>
        <v>0.99957762557077623</v>
      </c>
      <c r="BG43" s="5">
        <f t="shared" si="29"/>
        <v>0.99957762557077623</v>
      </c>
      <c r="BH43" s="5">
        <f>1-(BH13/BH1)</f>
        <v>0.99957762557077623</v>
      </c>
    </row>
    <row r="44" spans="1:60" x14ac:dyDescent="0.35">
      <c r="A44" s="8" t="s">
        <v>27</v>
      </c>
      <c r="B44" s="5">
        <f>1-(B14/B1)</f>
        <v>0.99957877959927144</v>
      </c>
      <c r="C44" s="5">
        <f t="shared" ref="C44:D44" si="30">1-(C14/C1)</f>
        <v>0.99957877959927144</v>
      </c>
      <c r="D44" s="5">
        <f t="shared" si="30"/>
        <v>0.99957877959927144</v>
      </c>
      <c r="E44" s="5">
        <f t="shared" ref="E44:BA44" si="31">1-(E14/E1)</f>
        <v>0.99957877959927144</v>
      </c>
      <c r="F44" s="5">
        <f t="shared" si="31"/>
        <v>0.99957877959927144</v>
      </c>
      <c r="G44" s="5">
        <f t="shared" si="31"/>
        <v>0.99957877959927144</v>
      </c>
      <c r="H44" s="5">
        <f t="shared" si="31"/>
        <v>0.99957877959927144</v>
      </c>
      <c r="I44" s="5">
        <f t="shared" si="31"/>
        <v>0.99957877959927144</v>
      </c>
      <c r="J44" s="5">
        <f t="shared" si="31"/>
        <v>0.99957877959927144</v>
      </c>
      <c r="K44" s="5">
        <f t="shared" si="31"/>
        <v>0.99957762557077623</v>
      </c>
      <c r="L44" s="5">
        <f t="shared" si="31"/>
        <v>0.99957762557077623</v>
      </c>
      <c r="M44" s="5">
        <f t="shared" si="31"/>
        <v>0.99957762557077623</v>
      </c>
      <c r="N44" s="5">
        <f t="shared" si="31"/>
        <v>0.99957762557077623</v>
      </c>
      <c r="O44" s="5">
        <f t="shared" si="31"/>
        <v>0.99957762557077623</v>
      </c>
      <c r="P44" s="5">
        <f t="shared" si="31"/>
        <v>0.99957762557077623</v>
      </c>
      <c r="Q44" s="5">
        <f t="shared" si="31"/>
        <v>0.99957762557077623</v>
      </c>
      <c r="R44" s="5">
        <f t="shared" si="31"/>
        <v>0.99957762557077623</v>
      </c>
      <c r="S44" s="5">
        <f t="shared" si="31"/>
        <v>0.99957762557077623</v>
      </c>
      <c r="T44" s="5">
        <f t="shared" si="31"/>
        <v>0.99957762557077623</v>
      </c>
      <c r="U44" s="5">
        <f t="shared" si="31"/>
        <v>0.99957762557077623</v>
      </c>
      <c r="V44" s="5">
        <f t="shared" si="31"/>
        <v>0.99957762557077623</v>
      </c>
      <c r="W44" s="5">
        <f t="shared" si="31"/>
        <v>0.99957762557077623</v>
      </c>
      <c r="X44" s="5">
        <f t="shared" si="31"/>
        <v>0.99957762557077623</v>
      </c>
      <c r="Y44" s="5">
        <f t="shared" si="31"/>
        <v>0.99957762557077623</v>
      </c>
      <c r="Z44" s="5">
        <f t="shared" si="31"/>
        <v>0.99957762557077623</v>
      </c>
      <c r="AA44" s="5">
        <f t="shared" si="31"/>
        <v>0.99957762557077623</v>
      </c>
      <c r="AB44" s="5">
        <f t="shared" si="31"/>
        <v>0.99915525114155246</v>
      </c>
      <c r="AC44" s="5">
        <f t="shared" si="31"/>
        <v>0.99915525114155246</v>
      </c>
      <c r="AD44" s="5">
        <f t="shared" si="31"/>
        <v>0.99915525114155246</v>
      </c>
      <c r="AE44" s="5">
        <f t="shared" si="31"/>
        <v>0.99915525114155246</v>
      </c>
      <c r="AF44" s="5">
        <f t="shared" si="31"/>
        <v>0.99915525114155246</v>
      </c>
      <c r="AG44" s="5">
        <f t="shared" si="31"/>
        <v>0.99915525114155246</v>
      </c>
      <c r="AH44" s="5">
        <f t="shared" si="31"/>
        <v>0.99915525114155246</v>
      </c>
      <c r="AI44" s="5">
        <f t="shared" si="31"/>
        <v>0.99915525114155246</v>
      </c>
      <c r="AJ44" s="5">
        <f t="shared" si="31"/>
        <v>0.99915525114155246</v>
      </c>
      <c r="AK44" s="5">
        <f t="shared" si="31"/>
        <v>0.99915525114155246</v>
      </c>
      <c r="AL44" s="5">
        <f t="shared" si="31"/>
        <v>0.99915525114155246</v>
      </c>
      <c r="AM44" s="5">
        <f t="shared" si="31"/>
        <v>0.99915525114155246</v>
      </c>
      <c r="AN44" s="5">
        <f t="shared" si="31"/>
        <v>0.99915525114155246</v>
      </c>
      <c r="AO44" s="5">
        <f t="shared" si="31"/>
        <v>0.99915525114155246</v>
      </c>
      <c r="AP44" s="5">
        <f t="shared" si="31"/>
        <v>0.99915525114155246</v>
      </c>
      <c r="AQ44" s="5">
        <f t="shared" si="31"/>
        <v>0.99915525114155246</v>
      </c>
      <c r="AR44" s="5">
        <f t="shared" si="31"/>
        <v>0.99915525114155246</v>
      </c>
      <c r="AS44" s="5">
        <f t="shared" si="31"/>
        <v>0.99915525114155246</v>
      </c>
      <c r="AT44" s="5">
        <f t="shared" si="31"/>
        <v>0.99957762557077623</v>
      </c>
      <c r="AU44" s="5">
        <f t="shared" si="31"/>
        <v>0.99957762557077623</v>
      </c>
      <c r="AV44" s="5">
        <f t="shared" si="31"/>
        <v>0.99957762557077623</v>
      </c>
      <c r="AW44" s="5">
        <f t="shared" si="31"/>
        <v>0.99957762557077623</v>
      </c>
      <c r="AX44" s="5">
        <f t="shared" si="31"/>
        <v>0.99957762557077623</v>
      </c>
      <c r="AY44" s="5">
        <f t="shared" si="31"/>
        <v>0.99957762557077623</v>
      </c>
      <c r="AZ44" s="5">
        <f t="shared" si="31"/>
        <v>0.99957762557077623</v>
      </c>
      <c r="BA44" s="5">
        <f t="shared" si="31"/>
        <v>0.99957762557077623</v>
      </c>
      <c r="BB44" s="5">
        <f t="shared" ref="BB44:BG44" si="32">1-(BB14/BB1)</f>
        <v>0.99957762557077623</v>
      </c>
      <c r="BC44" s="5">
        <f t="shared" si="32"/>
        <v>0.99957762557077623</v>
      </c>
      <c r="BD44" s="5">
        <f t="shared" si="32"/>
        <v>0.99957762557077623</v>
      </c>
      <c r="BE44" s="5">
        <f t="shared" si="32"/>
        <v>0.99957762557077623</v>
      </c>
      <c r="BF44" s="5">
        <f t="shared" si="32"/>
        <v>0.99957762557077623</v>
      </c>
      <c r="BG44" s="5">
        <f t="shared" si="32"/>
        <v>0.99957762557077623</v>
      </c>
      <c r="BH44" s="5">
        <f>1-(BH14/BH1)</f>
        <v>0.99957762557077623</v>
      </c>
    </row>
    <row r="45" spans="1:60" x14ac:dyDescent="0.35">
      <c r="A45" s="8" t="s">
        <v>28</v>
      </c>
      <c r="B45" s="5">
        <f>1-(B15/B1)</f>
        <v>1</v>
      </c>
      <c r="C45" s="5">
        <f t="shared" ref="C45:D45" si="33">1-(C15/C1)</f>
        <v>1</v>
      </c>
      <c r="D45" s="5">
        <f t="shared" si="33"/>
        <v>1</v>
      </c>
      <c r="E45" s="5">
        <f t="shared" ref="E45:BA45" si="34">1-(E15/E1)</f>
        <v>1</v>
      </c>
      <c r="F45" s="5">
        <f t="shared" si="34"/>
        <v>1</v>
      </c>
      <c r="G45" s="5">
        <f t="shared" si="34"/>
        <v>1</v>
      </c>
      <c r="H45" s="5">
        <f t="shared" si="34"/>
        <v>1</v>
      </c>
      <c r="I45" s="5">
        <f t="shared" si="34"/>
        <v>1</v>
      </c>
      <c r="J45" s="5">
        <f t="shared" si="34"/>
        <v>1</v>
      </c>
      <c r="K45" s="5">
        <f t="shared" si="34"/>
        <v>1</v>
      </c>
      <c r="L45" s="5">
        <f t="shared" si="34"/>
        <v>1</v>
      </c>
      <c r="M45" s="5">
        <f t="shared" si="34"/>
        <v>1</v>
      </c>
      <c r="N45" s="5">
        <f t="shared" si="34"/>
        <v>1</v>
      </c>
      <c r="O45" s="5">
        <f t="shared" si="34"/>
        <v>1</v>
      </c>
      <c r="P45" s="5">
        <f t="shared" si="34"/>
        <v>1</v>
      </c>
      <c r="Q45" s="5">
        <f t="shared" si="34"/>
        <v>1</v>
      </c>
      <c r="R45" s="5">
        <f t="shared" si="34"/>
        <v>1</v>
      </c>
      <c r="S45" s="5">
        <f t="shared" si="34"/>
        <v>1</v>
      </c>
      <c r="T45" s="5">
        <f t="shared" si="34"/>
        <v>1</v>
      </c>
      <c r="U45" s="5">
        <f t="shared" si="34"/>
        <v>1</v>
      </c>
      <c r="V45" s="5">
        <f t="shared" si="34"/>
        <v>1</v>
      </c>
      <c r="W45" s="5">
        <f t="shared" si="34"/>
        <v>1</v>
      </c>
      <c r="X45" s="5">
        <f t="shared" si="34"/>
        <v>1</v>
      </c>
      <c r="Y45" s="5">
        <f t="shared" si="34"/>
        <v>1</v>
      </c>
      <c r="Z45" s="5">
        <f t="shared" si="34"/>
        <v>1</v>
      </c>
      <c r="AA45" s="5">
        <f t="shared" si="34"/>
        <v>1</v>
      </c>
      <c r="AB45" s="5">
        <f t="shared" si="34"/>
        <v>0.99960616438356165</v>
      </c>
      <c r="AC45" s="5">
        <f t="shared" si="34"/>
        <v>0.99960616438356165</v>
      </c>
      <c r="AD45" s="5">
        <f t="shared" si="34"/>
        <v>0.99960616438356165</v>
      </c>
      <c r="AE45" s="5">
        <f t="shared" si="34"/>
        <v>0.99960616438356165</v>
      </c>
      <c r="AF45" s="5">
        <f t="shared" si="34"/>
        <v>0.99960616438356165</v>
      </c>
      <c r="AG45" s="5">
        <f t="shared" si="34"/>
        <v>0.99960616438356165</v>
      </c>
      <c r="AH45" s="5">
        <f t="shared" si="34"/>
        <v>0.99960616438356165</v>
      </c>
      <c r="AI45" s="5">
        <f t="shared" si="34"/>
        <v>0.99960616438356165</v>
      </c>
      <c r="AJ45" s="5">
        <f t="shared" si="34"/>
        <v>0.99960616438356165</v>
      </c>
      <c r="AK45" s="5">
        <f t="shared" si="34"/>
        <v>0.99960616438356165</v>
      </c>
      <c r="AL45" s="5">
        <f t="shared" si="34"/>
        <v>0.99960616438356165</v>
      </c>
      <c r="AM45" s="5">
        <f t="shared" si="34"/>
        <v>0.99960616438356165</v>
      </c>
      <c r="AN45" s="5">
        <f t="shared" si="34"/>
        <v>0.99960616438356165</v>
      </c>
      <c r="AO45" s="5">
        <f t="shared" si="34"/>
        <v>0.99960616438356165</v>
      </c>
      <c r="AP45" s="5">
        <f t="shared" si="34"/>
        <v>0.99960616438356165</v>
      </c>
      <c r="AQ45" s="5">
        <f t="shared" si="34"/>
        <v>0.99960616438356165</v>
      </c>
      <c r="AR45" s="5">
        <f t="shared" si="34"/>
        <v>0.99960616438356165</v>
      </c>
      <c r="AS45" s="5">
        <f t="shared" si="34"/>
        <v>0.99960616438356165</v>
      </c>
      <c r="AT45" s="5">
        <f t="shared" si="34"/>
        <v>0.99960616438356165</v>
      </c>
      <c r="AU45" s="5">
        <f t="shared" si="34"/>
        <v>0.99960616438356165</v>
      </c>
      <c r="AV45" s="5">
        <f t="shared" si="34"/>
        <v>0.99960616438356165</v>
      </c>
      <c r="AW45" s="5">
        <f t="shared" si="34"/>
        <v>0.99960616438356165</v>
      </c>
      <c r="AX45" s="5">
        <f t="shared" si="34"/>
        <v>0.99960616438356165</v>
      </c>
      <c r="AY45" s="5">
        <f t="shared" si="34"/>
        <v>0.99960616438356165</v>
      </c>
      <c r="AZ45" s="5">
        <f t="shared" si="34"/>
        <v>0.99960616438356165</v>
      </c>
      <c r="BA45" s="5">
        <f t="shared" si="34"/>
        <v>0.99960616438356165</v>
      </c>
      <c r="BB45" s="5">
        <f t="shared" ref="BB45:BG45" si="35">1-(BB15/BB1)</f>
        <v>0.99960616438356165</v>
      </c>
      <c r="BC45" s="5">
        <f t="shared" si="35"/>
        <v>0.99960616438356165</v>
      </c>
      <c r="BD45" s="5">
        <f t="shared" si="35"/>
        <v>0.99960616438356165</v>
      </c>
      <c r="BE45" s="5">
        <f t="shared" si="35"/>
        <v>0.99960616438356165</v>
      </c>
      <c r="BF45" s="5">
        <f t="shared" si="35"/>
        <v>0.99960616438356165</v>
      </c>
      <c r="BG45" s="5">
        <f t="shared" si="35"/>
        <v>0.99960616438356165</v>
      </c>
      <c r="BH45" s="5">
        <f>1-(BH15/BH1)</f>
        <v>0.99960616438356165</v>
      </c>
    </row>
    <row r="46" spans="1:60" x14ac:dyDescent="0.35">
      <c r="A46" s="7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x14ac:dyDescent="0.35">
      <c r="A47" s="8" t="s">
        <v>26</v>
      </c>
      <c r="B47" s="5">
        <f>1-(B17/B1)</f>
        <v>0.9999715391621129</v>
      </c>
      <c r="C47" s="5">
        <f t="shared" ref="C47:D47" si="36">1-(C17/C1)</f>
        <v>0.9999715391621129</v>
      </c>
      <c r="D47" s="5">
        <f t="shared" si="36"/>
        <v>0.9999715391621129</v>
      </c>
      <c r="E47" s="5">
        <f t="shared" ref="E47:BA47" si="37">1-(E17/E1)</f>
        <v>0.9999715391621129</v>
      </c>
      <c r="F47" s="5">
        <f t="shared" si="37"/>
        <v>0.9999715391621129</v>
      </c>
      <c r="G47" s="5">
        <f t="shared" si="37"/>
        <v>0.9999715391621129</v>
      </c>
      <c r="H47" s="5">
        <f t="shared" si="37"/>
        <v>0.9999715391621129</v>
      </c>
      <c r="I47" s="5">
        <f t="shared" si="37"/>
        <v>0.9999715391621129</v>
      </c>
      <c r="J47" s="5">
        <f t="shared" si="37"/>
        <v>0.9999715391621129</v>
      </c>
      <c r="K47" s="5">
        <f t="shared" si="37"/>
        <v>0.99997146118721458</v>
      </c>
      <c r="L47" s="5">
        <f t="shared" si="37"/>
        <v>0.99997146118721458</v>
      </c>
      <c r="M47" s="5">
        <f t="shared" si="37"/>
        <v>0.99997146118721458</v>
      </c>
      <c r="N47" s="5">
        <f t="shared" si="37"/>
        <v>0.99997146118721458</v>
      </c>
      <c r="O47" s="5">
        <f t="shared" si="37"/>
        <v>0.99997146118721458</v>
      </c>
      <c r="P47" s="5">
        <f t="shared" si="37"/>
        <v>0.99997146118721458</v>
      </c>
      <c r="Q47" s="5">
        <f t="shared" si="37"/>
        <v>0.99997146118721458</v>
      </c>
      <c r="R47" s="5">
        <f t="shared" si="37"/>
        <v>0.99997146118721458</v>
      </c>
      <c r="S47" s="5">
        <f t="shared" si="37"/>
        <v>0.99997146118721458</v>
      </c>
      <c r="T47" s="5">
        <f t="shared" si="37"/>
        <v>0.99997146118721458</v>
      </c>
      <c r="U47" s="5">
        <f t="shared" si="37"/>
        <v>0.99997146118721458</v>
      </c>
      <c r="V47" s="5">
        <f t="shared" si="37"/>
        <v>0.99997146118721458</v>
      </c>
      <c r="W47" s="5">
        <f t="shared" si="37"/>
        <v>0.99997146118721458</v>
      </c>
      <c r="X47" s="5">
        <f t="shared" si="37"/>
        <v>0.99997146118721458</v>
      </c>
      <c r="Y47" s="5">
        <f t="shared" si="37"/>
        <v>0.99997146118721458</v>
      </c>
      <c r="Z47" s="5">
        <f t="shared" si="37"/>
        <v>0.99997146118721458</v>
      </c>
      <c r="AA47" s="5">
        <f t="shared" si="37"/>
        <v>0.99997146118721458</v>
      </c>
      <c r="AB47" s="5">
        <f t="shared" si="37"/>
        <v>0.99957762557077623</v>
      </c>
      <c r="AC47" s="5">
        <f t="shared" si="37"/>
        <v>0.99957762557077623</v>
      </c>
      <c r="AD47" s="5">
        <f t="shared" si="37"/>
        <v>0.99957762557077623</v>
      </c>
      <c r="AE47" s="5">
        <f t="shared" si="37"/>
        <v>0.99957762557077623</v>
      </c>
      <c r="AF47" s="5">
        <f t="shared" si="37"/>
        <v>0.99957762557077623</v>
      </c>
      <c r="AG47" s="5">
        <f t="shared" si="37"/>
        <v>0.99957762557077623</v>
      </c>
      <c r="AH47" s="5">
        <f t="shared" si="37"/>
        <v>0.99957762557077623</v>
      </c>
      <c r="AI47" s="5">
        <f t="shared" si="37"/>
        <v>0.99957762557077623</v>
      </c>
      <c r="AJ47" s="5">
        <f t="shared" si="37"/>
        <v>0.99957762557077623</v>
      </c>
      <c r="AK47" s="5">
        <f t="shared" si="37"/>
        <v>0.99957762557077623</v>
      </c>
      <c r="AL47" s="5">
        <f t="shared" si="37"/>
        <v>0.99957762557077623</v>
      </c>
      <c r="AM47" s="5">
        <f t="shared" si="37"/>
        <v>0.99957762557077623</v>
      </c>
      <c r="AN47" s="5">
        <f t="shared" si="37"/>
        <v>0.99957762557077623</v>
      </c>
      <c r="AO47" s="5">
        <f t="shared" si="37"/>
        <v>0.99957762557077623</v>
      </c>
      <c r="AP47" s="5">
        <f t="shared" si="37"/>
        <v>0.99957762557077623</v>
      </c>
      <c r="AQ47" s="5">
        <f t="shared" si="37"/>
        <v>0.99957762557077623</v>
      </c>
      <c r="AR47" s="5">
        <f t="shared" si="37"/>
        <v>0.99957762557077623</v>
      </c>
      <c r="AS47" s="5">
        <f t="shared" si="37"/>
        <v>0.99957762557077623</v>
      </c>
      <c r="AT47" s="5">
        <f t="shared" si="37"/>
        <v>0.99957762557077623</v>
      </c>
      <c r="AU47" s="5">
        <f t="shared" si="37"/>
        <v>0.99957762557077623</v>
      </c>
      <c r="AV47" s="5">
        <f t="shared" si="37"/>
        <v>0.99957762557077623</v>
      </c>
      <c r="AW47" s="5">
        <f t="shared" si="37"/>
        <v>0.99957762557077623</v>
      </c>
      <c r="AX47" s="5">
        <f t="shared" si="37"/>
        <v>0.99957762557077623</v>
      </c>
      <c r="AY47" s="5">
        <f t="shared" si="37"/>
        <v>0.99957762557077623</v>
      </c>
      <c r="AZ47" s="5">
        <f t="shared" si="37"/>
        <v>0.99957762557077623</v>
      </c>
      <c r="BA47" s="5">
        <f t="shared" si="37"/>
        <v>0.99957762557077623</v>
      </c>
      <c r="BB47" s="5">
        <f t="shared" ref="BB47:BG47" si="38">1-(BB17/BB1)</f>
        <v>0.99957762557077623</v>
      </c>
      <c r="BC47" s="5">
        <f t="shared" si="38"/>
        <v>0.99957762557077623</v>
      </c>
      <c r="BD47" s="5">
        <f t="shared" si="38"/>
        <v>0.99957762557077623</v>
      </c>
      <c r="BE47" s="5">
        <f t="shared" si="38"/>
        <v>0.99957762557077623</v>
      </c>
      <c r="BF47" s="5">
        <f t="shared" si="38"/>
        <v>0.99957762557077623</v>
      </c>
      <c r="BG47" s="5">
        <f t="shared" si="38"/>
        <v>0.99957762557077623</v>
      </c>
      <c r="BH47" s="5">
        <f>1-(BH17/BH1)</f>
        <v>0.99957762557077623</v>
      </c>
    </row>
    <row r="48" spans="1:60" x14ac:dyDescent="0.35">
      <c r="A48" s="8" t="s">
        <v>27</v>
      </c>
      <c r="B48" s="5">
        <f>1-(B18/B1)</f>
        <v>0.99957877959927144</v>
      </c>
      <c r="C48" s="5">
        <f t="shared" ref="C48:D48" si="39">1-(C18/C1)</f>
        <v>0.99957877959927144</v>
      </c>
      <c r="D48" s="5">
        <f t="shared" si="39"/>
        <v>0.99957877959927144</v>
      </c>
      <c r="E48" s="5">
        <f t="shared" ref="E48:BA48" si="40">1-(E18/E1)</f>
        <v>0.99957877959927144</v>
      </c>
      <c r="F48" s="5">
        <f t="shared" si="40"/>
        <v>0.99957877959927144</v>
      </c>
      <c r="G48" s="5">
        <f t="shared" si="40"/>
        <v>0.99957877959927144</v>
      </c>
      <c r="H48" s="5">
        <f t="shared" si="40"/>
        <v>0.99957877959927144</v>
      </c>
      <c r="I48" s="5">
        <f t="shared" si="40"/>
        <v>0.99957877959927144</v>
      </c>
      <c r="J48" s="5">
        <f t="shared" si="40"/>
        <v>0.99957877959927144</v>
      </c>
      <c r="K48" s="5">
        <f t="shared" si="40"/>
        <v>0.99957762557077623</v>
      </c>
      <c r="L48" s="5">
        <f t="shared" si="40"/>
        <v>0.99957762557077623</v>
      </c>
      <c r="M48" s="5">
        <f t="shared" si="40"/>
        <v>0.99957762557077623</v>
      </c>
      <c r="N48" s="5">
        <f t="shared" si="40"/>
        <v>0.99957762557077623</v>
      </c>
      <c r="O48" s="5">
        <f t="shared" si="40"/>
        <v>0.99957762557077623</v>
      </c>
      <c r="P48" s="5">
        <f t="shared" si="40"/>
        <v>0.99957762557077623</v>
      </c>
      <c r="Q48" s="5">
        <f t="shared" si="40"/>
        <v>0.99957762557077623</v>
      </c>
      <c r="R48" s="5">
        <f t="shared" si="40"/>
        <v>0.99957762557077623</v>
      </c>
      <c r="S48" s="5">
        <f t="shared" si="40"/>
        <v>0.99957762557077623</v>
      </c>
      <c r="T48" s="5">
        <f t="shared" si="40"/>
        <v>0.99957762557077623</v>
      </c>
      <c r="U48" s="5">
        <f t="shared" si="40"/>
        <v>0.99957762557077623</v>
      </c>
      <c r="V48" s="5">
        <f t="shared" si="40"/>
        <v>0.99957762557077623</v>
      </c>
      <c r="W48" s="5">
        <f t="shared" si="40"/>
        <v>0.99957762557077623</v>
      </c>
      <c r="X48" s="5">
        <f t="shared" si="40"/>
        <v>0.99957762557077623</v>
      </c>
      <c r="Y48" s="5">
        <f t="shared" si="40"/>
        <v>0.99957762557077623</v>
      </c>
      <c r="Z48" s="5">
        <f t="shared" si="40"/>
        <v>0.99957762557077623</v>
      </c>
      <c r="AA48" s="5">
        <f t="shared" si="40"/>
        <v>0.99957762557077623</v>
      </c>
      <c r="AB48" s="5">
        <f t="shared" si="40"/>
        <v>0.99915525114155246</v>
      </c>
      <c r="AC48" s="5">
        <f t="shared" si="40"/>
        <v>0.99915525114155246</v>
      </c>
      <c r="AD48" s="5">
        <f t="shared" si="40"/>
        <v>0.99915525114155246</v>
      </c>
      <c r="AE48" s="5">
        <f t="shared" si="40"/>
        <v>0.99915525114155246</v>
      </c>
      <c r="AF48" s="5">
        <f t="shared" si="40"/>
        <v>0.99915525114155246</v>
      </c>
      <c r="AG48" s="5">
        <f t="shared" si="40"/>
        <v>0.99915525114155246</v>
      </c>
      <c r="AH48" s="5">
        <f t="shared" si="40"/>
        <v>0.99915525114155246</v>
      </c>
      <c r="AI48" s="5">
        <f t="shared" si="40"/>
        <v>0.99915525114155246</v>
      </c>
      <c r="AJ48" s="5">
        <f t="shared" si="40"/>
        <v>0.99915525114155246</v>
      </c>
      <c r="AK48" s="5">
        <f t="shared" si="40"/>
        <v>0.99915525114155246</v>
      </c>
      <c r="AL48" s="5">
        <f t="shared" si="40"/>
        <v>0.99915525114155246</v>
      </c>
      <c r="AM48" s="5">
        <f t="shared" si="40"/>
        <v>0.99915525114155246</v>
      </c>
      <c r="AN48" s="5">
        <f t="shared" si="40"/>
        <v>0.99915525114155246</v>
      </c>
      <c r="AO48" s="5">
        <f t="shared" si="40"/>
        <v>0.99915525114155246</v>
      </c>
      <c r="AP48" s="5">
        <f t="shared" si="40"/>
        <v>0.99915525114155246</v>
      </c>
      <c r="AQ48" s="5">
        <f t="shared" si="40"/>
        <v>0.99915525114155246</v>
      </c>
      <c r="AR48" s="5">
        <f t="shared" si="40"/>
        <v>0.99915525114155246</v>
      </c>
      <c r="AS48" s="5">
        <f t="shared" si="40"/>
        <v>0.99915525114155246</v>
      </c>
      <c r="AT48" s="5">
        <f t="shared" si="40"/>
        <v>0.99957762557077623</v>
      </c>
      <c r="AU48" s="5">
        <f t="shared" si="40"/>
        <v>0.99957762557077623</v>
      </c>
      <c r="AV48" s="5">
        <f t="shared" si="40"/>
        <v>0.99957762557077623</v>
      </c>
      <c r="AW48" s="5">
        <f t="shared" si="40"/>
        <v>0.99957762557077623</v>
      </c>
      <c r="AX48" s="5">
        <f t="shared" si="40"/>
        <v>0.99957762557077623</v>
      </c>
      <c r="AY48" s="5">
        <f t="shared" si="40"/>
        <v>0.99957762557077623</v>
      </c>
      <c r="AZ48" s="5">
        <f t="shared" si="40"/>
        <v>0.99957762557077623</v>
      </c>
      <c r="BA48" s="5">
        <f t="shared" si="40"/>
        <v>0.99957762557077623</v>
      </c>
      <c r="BB48" s="5">
        <f t="shared" ref="BB48:BG48" si="41">1-(BB18/BB1)</f>
        <v>0.99957762557077623</v>
      </c>
      <c r="BC48" s="5">
        <f t="shared" si="41"/>
        <v>0.99957762557077623</v>
      </c>
      <c r="BD48" s="5">
        <f t="shared" si="41"/>
        <v>0.99957762557077623</v>
      </c>
      <c r="BE48" s="5">
        <f t="shared" si="41"/>
        <v>0.99957762557077623</v>
      </c>
      <c r="BF48" s="5">
        <f t="shared" si="41"/>
        <v>0.99957762557077623</v>
      </c>
      <c r="BG48" s="5">
        <f t="shared" si="41"/>
        <v>0.99957762557077623</v>
      </c>
      <c r="BH48" s="5">
        <f>1-(BH18/BH1)</f>
        <v>0.99957762557077623</v>
      </c>
    </row>
    <row r="49" spans="1:60" x14ac:dyDescent="0.35">
      <c r="A49" s="8" t="s">
        <v>28</v>
      </c>
      <c r="B49" s="5">
        <f>1-(B19/B1)</f>
        <v>1</v>
      </c>
      <c r="C49" s="5">
        <f t="shared" ref="C49:D49" si="42">1-(C19/C1)</f>
        <v>1</v>
      </c>
      <c r="D49" s="5">
        <f t="shared" si="42"/>
        <v>1</v>
      </c>
      <c r="E49" s="5">
        <f t="shared" ref="E49:BA49" si="43">1-(E19/E1)</f>
        <v>1</v>
      </c>
      <c r="F49" s="5">
        <f t="shared" si="43"/>
        <v>1</v>
      </c>
      <c r="G49" s="5">
        <f t="shared" si="43"/>
        <v>1</v>
      </c>
      <c r="H49" s="5">
        <f t="shared" si="43"/>
        <v>1</v>
      </c>
      <c r="I49" s="5">
        <f t="shared" si="43"/>
        <v>1</v>
      </c>
      <c r="J49" s="5">
        <f t="shared" si="43"/>
        <v>1</v>
      </c>
      <c r="K49" s="5">
        <f t="shared" si="43"/>
        <v>1</v>
      </c>
      <c r="L49" s="5">
        <f t="shared" si="43"/>
        <v>1</v>
      </c>
      <c r="M49" s="5">
        <f t="shared" si="43"/>
        <v>1</v>
      </c>
      <c r="N49" s="5">
        <f t="shared" si="43"/>
        <v>1</v>
      </c>
      <c r="O49" s="5">
        <f t="shared" si="43"/>
        <v>1</v>
      </c>
      <c r="P49" s="5">
        <f t="shared" si="43"/>
        <v>1</v>
      </c>
      <c r="Q49" s="5">
        <f t="shared" si="43"/>
        <v>1</v>
      </c>
      <c r="R49" s="5">
        <f t="shared" si="43"/>
        <v>1</v>
      </c>
      <c r="S49" s="5">
        <f t="shared" si="43"/>
        <v>1</v>
      </c>
      <c r="T49" s="5">
        <f t="shared" si="43"/>
        <v>1</v>
      </c>
      <c r="U49" s="5">
        <f t="shared" si="43"/>
        <v>1</v>
      </c>
      <c r="V49" s="5">
        <f t="shared" si="43"/>
        <v>1</v>
      </c>
      <c r="W49" s="5">
        <f t="shared" si="43"/>
        <v>1</v>
      </c>
      <c r="X49" s="5">
        <f t="shared" si="43"/>
        <v>1</v>
      </c>
      <c r="Y49" s="5">
        <f t="shared" si="43"/>
        <v>1</v>
      </c>
      <c r="Z49" s="5">
        <f t="shared" si="43"/>
        <v>1</v>
      </c>
      <c r="AA49" s="5">
        <f t="shared" si="43"/>
        <v>1</v>
      </c>
      <c r="AB49" s="5">
        <f t="shared" si="43"/>
        <v>0.99960616438356165</v>
      </c>
      <c r="AC49" s="5">
        <f t="shared" si="43"/>
        <v>0.99960616438356165</v>
      </c>
      <c r="AD49" s="5">
        <f t="shared" si="43"/>
        <v>0.99960616438356165</v>
      </c>
      <c r="AE49" s="5">
        <f t="shared" si="43"/>
        <v>0.99960616438356165</v>
      </c>
      <c r="AF49" s="5">
        <f t="shared" si="43"/>
        <v>0.99960616438356165</v>
      </c>
      <c r="AG49" s="5">
        <f t="shared" si="43"/>
        <v>0.99960616438356165</v>
      </c>
      <c r="AH49" s="5">
        <f t="shared" si="43"/>
        <v>0.99960616438356165</v>
      </c>
      <c r="AI49" s="5">
        <f t="shared" si="43"/>
        <v>0.99960616438356165</v>
      </c>
      <c r="AJ49" s="5">
        <f t="shared" si="43"/>
        <v>0.99960616438356165</v>
      </c>
      <c r="AK49" s="5">
        <f t="shared" si="43"/>
        <v>0.99960616438356165</v>
      </c>
      <c r="AL49" s="5">
        <f t="shared" si="43"/>
        <v>0.99960616438356165</v>
      </c>
      <c r="AM49" s="5">
        <f t="shared" si="43"/>
        <v>0.99960616438356165</v>
      </c>
      <c r="AN49" s="5">
        <f t="shared" si="43"/>
        <v>0.99960616438356165</v>
      </c>
      <c r="AO49" s="5">
        <f t="shared" si="43"/>
        <v>0.99960616438356165</v>
      </c>
      <c r="AP49" s="5">
        <f t="shared" si="43"/>
        <v>0.99960616438356165</v>
      </c>
      <c r="AQ49" s="5">
        <f t="shared" si="43"/>
        <v>0.99960616438356165</v>
      </c>
      <c r="AR49" s="5">
        <f t="shared" si="43"/>
        <v>0.99960616438356165</v>
      </c>
      <c r="AS49" s="5">
        <f t="shared" si="43"/>
        <v>0.99960616438356165</v>
      </c>
      <c r="AT49" s="5">
        <f t="shared" si="43"/>
        <v>0.99960616438356165</v>
      </c>
      <c r="AU49" s="5">
        <f t="shared" si="43"/>
        <v>0.99960616438356165</v>
      </c>
      <c r="AV49" s="5">
        <f t="shared" si="43"/>
        <v>0.99960616438356165</v>
      </c>
      <c r="AW49" s="5">
        <f t="shared" si="43"/>
        <v>0.99960616438356165</v>
      </c>
      <c r="AX49" s="5">
        <f t="shared" si="43"/>
        <v>0.99960616438356165</v>
      </c>
      <c r="AY49" s="5">
        <f t="shared" si="43"/>
        <v>0.99960616438356165</v>
      </c>
      <c r="AZ49" s="5">
        <f t="shared" si="43"/>
        <v>0.99960616438356165</v>
      </c>
      <c r="BA49" s="5">
        <f t="shared" si="43"/>
        <v>0.99960616438356165</v>
      </c>
      <c r="BB49" s="5">
        <f t="shared" ref="BB49:BG49" si="44">1-(BB19/BB1)</f>
        <v>0.99960616438356165</v>
      </c>
      <c r="BC49" s="5">
        <f t="shared" si="44"/>
        <v>0.99960616438356165</v>
      </c>
      <c r="BD49" s="5">
        <f t="shared" si="44"/>
        <v>0.99960616438356165</v>
      </c>
      <c r="BE49" s="5">
        <f t="shared" si="44"/>
        <v>0.99960616438356165</v>
      </c>
      <c r="BF49" s="5">
        <f t="shared" si="44"/>
        <v>0.99960616438356165</v>
      </c>
      <c r="BG49" s="5">
        <f t="shared" si="44"/>
        <v>0.99960616438356165</v>
      </c>
      <c r="BH49" s="5">
        <f>1-(BH19/BH1)</f>
        <v>0.99960616438356165</v>
      </c>
    </row>
    <row r="50" spans="1:60" x14ac:dyDescent="0.35">
      <c r="A50" s="7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x14ac:dyDescent="0.35">
      <c r="A51" s="8" t="s">
        <v>26</v>
      </c>
      <c r="B51" s="5">
        <f>1-(B21/B1)</f>
        <v>0.9999715391621129</v>
      </c>
      <c r="C51" s="5">
        <f t="shared" ref="C51:BA51" si="45">1-(C21/C1)</f>
        <v>0.9999715391621129</v>
      </c>
      <c r="D51" s="5">
        <f t="shared" si="45"/>
        <v>0.9999715391621129</v>
      </c>
      <c r="E51" s="5">
        <f t="shared" si="45"/>
        <v>0.9999715391621129</v>
      </c>
      <c r="F51" s="5">
        <f t="shared" si="45"/>
        <v>0.9999715391621129</v>
      </c>
      <c r="G51" s="5">
        <f t="shared" si="45"/>
        <v>0.9999715391621129</v>
      </c>
      <c r="H51" s="5">
        <f t="shared" si="45"/>
        <v>0.9999715391621129</v>
      </c>
      <c r="I51" s="5">
        <f t="shared" si="45"/>
        <v>0.9999715391621129</v>
      </c>
      <c r="J51" s="5">
        <f t="shared" si="45"/>
        <v>0.9999715391621129</v>
      </c>
      <c r="K51" s="5">
        <f t="shared" si="45"/>
        <v>0.99997146118721458</v>
      </c>
      <c r="L51" s="5">
        <f t="shared" si="45"/>
        <v>0.99997146118721458</v>
      </c>
      <c r="M51" s="5">
        <f t="shared" si="45"/>
        <v>0.99997146118721458</v>
      </c>
      <c r="N51" s="5">
        <f t="shared" si="45"/>
        <v>0.99997146118721458</v>
      </c>
      <c r="O51" s="5">
        <f t="shared" si="45"/>
        <v>0.99997146118721458</v>
      </c>
      <c r="P51" s="5">
        <f t="shared" si="45"/>
        <v>0.99997146118721458</v>
      </c>
      <c r="Q51" s="5">
        <f t="shared" si="45"/>
        <v>0.99997146118721458</v>
      </c>
      <c r="R51" s="5">
        <f t="shared" si="45"/>
        <v>0.99997146118721458</v>
      </c>
      <c r="S51" s="5">
        <f t="shared" si="45"/>
        <v>0.99997146118721458</v>
      </c>
      <c r="T51" s="5">
        <f t="shared" si="45"/>
        <v>0.99997146118721458</v>
      </c>
      <c r="U51" s="5">
        <f t="shared" si="45"/>
        <v>0.99997146118721458</v>
      </c>
      <c r="V51" s="5">
        <f t="shared" si="45"/>
        <v>0.99997146118721458</v>
      </c>
      <c r="W51" s="5">
        <f t="shared" si="45"/>
        <v>0.99997146118721458</v>
      </c>
      <c r="X51" s="5">
        <f t="shared" si="45"/>
        <v>0.99997146118721458</v>
      </c>
      <c r="Y51" s="5">
        <f t="shared" si="45"/>
        <v>0.99997146118721458</v>
      </c>
      <c r="Z51" s="5">
        <f t="shared" si="45"/>
        <v>0.99997146118721458</v>
      </c>
      <c r="AA51" s="5">
        <f t="shared" si="45"/>
        <v>0.99997146118721458</v>
      </c>
      <c r="AB51" s="5">
        <f t="shared" si="45"/>
        <v>0.99957762557077623</v>
      </c>
      <c r="AC51" s="5">
        <f t="shared" si="45"/>
        <v>0.99957762557077623</v>
      </c>
      <c r="AD51" s="5">
        <f t="shared" si="45"/>
        <v>0.99957762557077623</v>
      </c>
      <c r="AE51" s="5">
        <f t="shared" si="45"/>
        <v>0.99957762557077623</v>
      </c>
      <c r="AF51" s="5">
        <f t="shared" si="45"/>
        <v>0.99957762557077623</v>
      </c>
      <c r="AG51" s="5">
        <f t="shared" si="45"/>
        <v>0.99957762557077623</v>
      </c>
      <c r="AH51" s="5">
        <f t="shared" si="45"/>
        <v>0.99957762557077623</v>
      </c>
      <c r="AI51" s="5">
        <f t="shared" si="45"/>
        <v>0.99957762557077623</v>
      </c>
      <c r="AJ51" s="5">
        <f t="shared" si="45"/>
        <v>0.99957762557077623</v>
      </c>
      <c r="AK51" s="5">
        <f t="shared" si="45"/>
        <v>0.99957762557077623</v>
      </c>
      <c r="AL51" s="5">
        <f t="shared" si="45"/>
        <v>0.99957762557077623</v>
      </c>
      <c r="AM51" s="5">
        <f t="shared" si="45"/>
        <v>0.99957762557077623</v>
      </c>
      <c r="AN51" s="5">
        <f t="shared" si="45"/>
        <v>0.99957762557077623</v>
      </c>
      <c r="AO51" s="5">
        <f t="shared" si="45"/>
        <v>0.99957762557077623</v>
      </c>
      <c r="AP51" s="5">
        <f t="shared" si="45"/>
        <v>0.99957762557077623</v>
      </c>
      <c r="AQ51" s="5">
        <f t="shared" si="45"/>
        <v>0.99957762557077623</v>
      </c>
      <c r="AR51" s="5">
        <f t="shared" si="45"/>
        <v>0.99957762557077623</v>
      </c>
      <c r="AS51" s="5">
        <f t="shared" si="45"/>
        <v>0.99957762557077623</v>
      </c>
      <c r="AT51" s="5">
        <f t="shared" si="45"/>
        <v>0.99957762557077623</v>
      </c>
      <c r="AU51" s="5">
        <f t="shared" si="45"/>
        <v>0.99957762557077623</v>
      </c>
      <c r="AV51" s="5">
        <f t="shared" si="45"/>
        <v>0.99957762557077623</v>
      </c>
      <c r="AW51" s="5">
        <f t="shared" si="45"/>
        <v>0.99957762557077623</v>
      </c>
      <c r="AX51" s="5">
        <f t="shared" si="45"/>
        <v>0.99957762557077623</v>
      </c>
      <c r="AY51" s="5">
        <f t="shared" si="45"/>
        <v>0.99957762557077623</v>
      </c>
      <c r="AZ51" s="5">
        <f t="shared" si="45"/>
        <v>0.99957762557077623</v>
      </c>
      <c r="BA51" s="5">
        <f t="shared" si="45"/>
        <v>0.99957762557077623</v>
      </c>
      <c r="BB51" s="5">
        <f t="shared" ref="BB51:BG51" si="46">1-(BB21/BB1)</f>
        <v>0.99957762557077623</v>
      </c>
      <c r="BC51" s="5">
        <f t="shared" si="46"/>
        <v>0.99957762557077623</v>
      </c>
      <c r="BD51" s="5">
        <f t="shared" si="46"/>
        <v>0.99957762557077623</v>
      </c>
      <c r="BE51" s="5">
        <f t="shared" si="46"/>
        <v>0.99957762557077623</v>
      </c>
      <c r="BF51" s="5">
        <f t="shared" si="46"/>
        <v>0.99957762557077623</v>
      </c>
      <c r="BG51" s="5">
        <f t="shared" si="46"/>
        <v>0.99957762557077623</v>
      </c>
      <c r="BH51" s="5">
        <f>1-(BH21/BH1)</f>
        <v>0.99957762557077623</v>
      </c>
    </row>
    <row r="52" spans="1:60" x14ac:dyDescent="0.35">
      <c r="A52" s="7" t="s">
        <v>33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x14ac:dyDescent="0.35">
      <c r="A53" s="8" t="s">
        <v>26</v>
      </c>
      <c r="B53" s="5">
        <f>1-(B23/B1)</f>
        <v>0.99839708561020035</v>
      </c>
      <c r="C53" s="5">
        <f t="shared" ref="C53:F53" si="47">1-(C23/C1)</f>
        <v>0.99839708561020035</v>
      </c>
      <c r="D53" s="5">
        <f t="shared" si="47"/>
        <v>0.99839708561020035</v>
      </c>
      <c r="E53" s="5">
        <f t="shared" ref="E53:BA53" si="48">1-(E23/E1)</f>
        <v>0.99839708561020035</v>
      </c>
      <c r="F53" s="5">
        <f t="shared" si="47"/>
        <v>0.99839708561020035</v>
      </c>
      <c r="G53" s="5">
        <f t="shared" si="48"/>
        <v>0.99839708561020035</v>
      </c>
      <c r="H53" s="5">
        <f t="shared" si="48"/>
        <v>0.99839708561020035</v>
      </c>
      <c r="I53" s="5">
        <f t="shared" si="48"/>
        <v>0.99839708561020035</v>
      </c>
      <c r="J53" s="5">
        <f t="shared" si="48"/>
        <v>0.99839708561020035</v>
      </c>
      <c r="K53" s="5">
        <f t="shared" si="48"/>
        <v>0.99839269406392694</v>
      </c>
      <c r="L53" s="5">
        <f t="shared" si="48"/>
        <v>0.99839269406392694</v>
      </c>
      <c r="M53" s="5">
        <f t="shared" si="48"/>
        <v>0.99839269406392694</v>
      </c>
      <c r="N53" s="5">
        <f t="shared" si="48"/>
        <v>0.99839269406392694</v>
      </c>
      <c r="O53" s="5">
        <f t="shared" si="48"/>
        <v>0.99839269406392694</v>
      </c>
      <c r="P53" s="5">
        <f t="shared" si="48"/>
        <v>0.99839269406392694</v>
      </c>
      <c r="Q53" s="5">
        <f t="shared" si="48"/>
        <v>0.99839269406392694</v>
      </c>
      <c r="R53" s="5">
        <f t="shared" si="48"/>
        <v>0.99839269406392694</v>
      </c>
      <c r="S53" s="5">
        <f t="shared" si="48"/>
        <v>0.99839269406392694</v>
      </c>
      <c r="T53" s="5">
        <f t="shared" si="48"/>
        <v>0.99839269406392694</v>
      </c>
      <c r="U53" s="5">
        <f t="shared" si="48"/>
        <v>0.99839269406392694</v>
      </c>
      <c r="V53" s="5">
        <f t="shared" si="48"/>
        <v>0.99839269406392694</v>
      </c>
      <c r="W53" s="5">
        <f t="shared" si="48"/>
        <v>0.99839269406392694</v>
      </c>
      <c r="X53" s="5">
        <f t="shared" si="48"/>
        <v>0.99839269406392694</v>
      </c>
      <c r="Y53" s="5">
        <f t="shared" si="48"/>
        <v>0.99824429223744293</v>
      </c>
      <c r="Z53" s="5">
        <f t="shared" si="48"/>
        <v>0.99824429223744293</v>
      </c>
      <c r="AA53" s="5">
        <f t="shared" si="48"/>
        <v>0.99813013698630138</v>
      </c>
      <c r="AB53" s="5">
        <f t="shared" si="48"/>
        <v>0.99773630136986302</v>
      </c>
      <c r="AC53" s="5">
        <f t="shared" si="48"/>
        <v>0.99773630136986302</v>
      </c>
      <c r="AD53" s="5">
        <f t="shared" si="48"/>
        <v>0.99773630136986302</v>
      </c>
      <c r="AE53" s="5">
        <f t="shared" si="48"/>
        <v>0.99773630136986302</v>
      </c>
      <c r="AF53" s="5">
        <f t="shared" si="48"/>
        <v>0.99773630136986302</v>
      </c>
      <c r="AG53" s="5">
        <f t="shared" si="48"/>
        <v>0.99773630136986302</v>
      </c>
      <c r="AH53" s="5">
        <f t="shared" si="48"/>
        <v>0.99931506849315066</v>
      </c>
      <c r="AI53" s="5">
        <f t="shared" si="48"/>
        <v>0.99931506849315066</v>
      </c>
      <c r="AJ53" s="5">
        <f t="shared" si="48"/>
        <v>0.99931506849315066</v>
      </c>
      <c r="AK53" s="5">
        <f t="shared" si="48"/>
        <v>0.99931506849315066</v>
      </c>
      <c r="AL53" s="5">
        <f t="shared" si="48"/>
        <v>0.99931506849315066</v>
      </c>
      <c r="AM53" s="5">
        <f t="shared" si="48"/>
        <v>0.99931506849315066</v>
      </c>
      <c r="AN53" s="5">
        <f t="shared" si="48"/>
        <v>0.99931506849315066</v>
      </c>
      <c r="AO53" s="97">
        <f t="shared" si="48"/>
        <v>0.99931506849315066</v>
      </c>
      <c r="AP53" s="97">
        <f t="shared" si="48"/>
        <v>0.99931506849315066</v>
      </c>
      <c r="AQ53" s="97">
        <f t="shared" si="48"/>
        <v>0.99931506849315066</v>
      </c>
      <c r="AR53" s="97">
        <f t="shared" si="48"/>
        <v>0.99931506849315066</v>
      </c>
      <c r="AS53" s="97">
        <f t="shared" si="48"/>
        <v>0.99931506849315066</v>
      </c>
      <c r="AT53" s="97">
        <f t="shared" si="48"/>
        <v>0.99931506849315066</v>
      </c>
      <c r="AU53" s="97">
        <f t="shared" si="48"/>
        <v>0.99931506849315066</v>
      </c>
      <c r="AV53" s="97">
        <f t="shared" si="48"/>
        <v>0.99931506849315066</v>
      </c>
      <c r="AW53" s="97">
        <f t="shared" si="48"/>
        <v>0.99931506849315066</v>
      </c>
      <c r="AX53" s="97">
        <f t="shared" si="48"/>
        <v>0.99931506849315066</v>
      </c>
      <c r="AY53" s="97">
        <f t="shared" si="48"/>
        <v>0.99931506849315066</v>
      </c>
      <c r="AZ53" s="97">
        <f t="shared" si="48"/>
        <v>0.99931506849315066</v>
      </c>
      <c r="BA53" s="97">
        <f t="shared" si="48"/>
        <v>0.99931506849315066</v>
      </c>
      <c r="BB53" s="97">
        <f t="shared" ref="BB53:BG53" si="49">1-(BB23/BB1)</f>
        <v>0.99931506849315066</v>
      </c>
      <c r="BC53" s="97">
        <f t="shared" si="49"/>
        <v>0.99931506849315066</v>
      </c>
      <c r="BD53" s="97">
        <f t="shared" si="49"/>
        <v>0.99931506849315066</v>
      </c>
      <c r="BE53" s="97">
        <f t="shared" si="49"/>
        <v>0.99931506849315066</v>
      </c>
      <c r="BF53" s="97">
        <f t="shared" si="49"/>
        <v>0.99931506849315066</v>
      </c>
      <c r="BG53" s="5">
        <f t="shared" si="49"/>
        <v>0.99931506849315066</v>
      </c>
      <c r="BH53" s="5">
        <f>1-(BH23/BH1)</f>
        <v>0.99931506849315066</v>
      </c>
    </row>
    <row r="54" spans="1:60" x14ac:dyDescent="0.35">
      <c r="A54" s="8" t="s">
        <v>27</v>
      </c>
      <c r="B54" s="5">
        <f>1-(B24/B1)</f>
        <v>0.99800432604735878</v>
      </c>
      <c r="C54" s="5">
        <f t="shared" ref="C54:D54" si="50">1-(C24/C1)</f>
        <v>0.99800432604735878</v>
      </c>
      <c r="D54" s="5">
        <f t="shared" si="50"/>
        <v>0.99800432604735878</v>
      </c>
      <c r="E54" s="5">
        <f t="shared" ref="E54:BA54" si="51">1-(E24/E1)</f>
        <v>0.99800432604735878</v>
      </c>
      <c r="F54" s="5">
        <f t="shared" si="51"/>
        <v>0.99800432604735878</v>
      </c>
      <c r="G54" s="5">
        <f t="shared" si="51"/>
        <v>0.99800432604735878</v>
      </c>
      <c r="H54" s="5">
        <f t="shared" si="51"/>
        <v>0.99800432604735878</v>
      </c>
      <c r="I54" s="5">
        <f t="shared" si="51"/>
        <v>0.99800432604735878</v>
      </c>
      <c r="J54" s="5">
        <f t="shared" si="51"/>
        <v>0.99800432604735878</v>
      </c>
      <c r="K54" s="5">
        <f t="shared" si="51"/>
        <v>0.99799885844748859</v>
      </c>
      <c r="L54" s="5">
        <f t="shared" si="51"/>
        <v>0.99799885844748859</v>
      </c>
      <c r="M54" s="5">
        <f t="shared" si="51"/>
        <v>0.99799885844748859</v>
      </c>
      <c r="N54" s="5">
        <f t="shared" si="51"/>
        <v>0.99799885844748859</v>
      </c>
      <c r="O54" s="5">
        <f t="shared" si="51"/>
        <v>0.99799885844748859</v>
      </c>
      <c r="P54" s="5">
        <f t="shared" si="51"/>
        <v>0.99799885844748859</v>
      </c>
      <c r="Q54" s="5">
        <f t="shared" si="51"/>
        <v>0.99799885844748859</v>
      </c>
      <c r="R54" s="5">
        <f t="shared" si="51"/>
        <v>0.99799885844748859</v>
      </c>
      <c r="S54" s="5">
        <f t="shared" si="51"/>
        <v>0.99799885844748859</v>
      </c>
      <c r="T54" s="5">
        <f t="shared" si="51"/>
        <v>0.99799885844748859</v>
      </c>
      <c r="U54" s="5">
        <f t="shared" si="51"/>
        <v>0.99799885844748859</v>
      </c>
      <c r="V54" s="5">
        <f t="shared" si="51"/>
        <v>0.99799885844748859</v>
      </c>
      <c r="W54" s="5">
        <f t="shared" si="51"/>
        <v>0.99799885844748859</v>
      </c>
      <c r="X54" s="5">
        <f t="shared" si="51"/>
        <v>0.99799885844748859</v>
      </c>
      <c r="Y54" s="5">
        <f t="shared" si="51"/>
        <v>0.99785045662100458</v>
      </c>
      <c r="Z54" s="5">
        <f t="shared" si="51"/>
        <v>0.99785045662100458</v>
      </c>
      <c r="AA54" s="5">
        <f t="shared" si="51"/>
        <v>0.99785045662100458</v>
      </c>
      <c r="AB54" s="5">
        <f t="shared" si="51"/>
        <v>0.99745662100456622</v>
      </c>
      <c r="AC54" s="5">
        <f t="shared" si="51"/>
        <v>0.99745662100456622</v>
      </c>
      <c r="AD54" s="5">
        <f t="shared" si="51"/>
        <v>0.99745662100456622</v>
      </c>
      <c r="AE54" s="5">
        <f t="shared" si="51"/>
        <v>0.99745662100456622</v>
      </c>
      <c r="AF54" s="5">
        <f t="shared" si="51"/>
        <v>0.99745662100456622</v>
      </c>
      <c r="AG54" s="5">
        <f t="shared" si="51"/>
        <v>0.99745662100456622</v>
      </c>
      <c r="AH54" s="5">
        <f t="shared" si="51"/>
        <v>0.99903538812785386</v>
      </c>
      <c r="AI54" s="5">
        <f t="shared" si="51"/>
        <v>0.99903538812785386</v>
      </c>
      <c r="AJ54" s="5">
        <f t="shared" si="51"/>
        <v>0.99903538812785386</v>
      </c>
      <c r="AK54" s="5">
        <f t="shared" si="51"/>
        <v>0.99903538812785386</v>
      </c>
      <c r="AL54" s="5">
        <f t="shared" si="51"/>
        <v>0.99903538812785386</v>
      </c>
      <c r="AM54" s="5">
        <f t="shared" si="51"/>
        <v>0.99903538812785386</v>
      </c>
      <c r="AN54" s="5">
        <f t="shared" si="51"/>
        <v>0.99903538812785386</v>
      </c>
      <c r="AO54" s="5">
        <f t="shared" si="51"/>
        <v>0.99903538812785386</v>
      </c>
      <c r="AP54" s="5">
        <f t="shared" si="51"/>
        <v>0.99903538812785386</v>
      </c>
      <c r="AQ54" s="5">
        <f t="shared" si="51"/>
        <v>0.99903538812785386</v>
      </c>
      <c r="AR54" s="5">
        <f t="shared" si="51"/>
        <v>0.99903538812785386</v>
      </c>
      <c r="AS54" s="5">
        <f t="shared" si="51"/>
        <v>0.99903538812785386</v>
      </c>
      <c r="AT54" s="5">
        <f t="shared" si="51"/>
        <v>0.99945776255707763</v>
      </c>
      <c r="AU54" s="5">
        <f t="shared" si="51"/>
        <v>0.99945776255707763</v>
      </c>
      <c r="AV54" s="5">
        <f t="shared" si="51"/>
        <v>0.99945776255707763</v>
      </c>
      <c r="AW54" s="5">
        <f t="shared" si="51"/>
        <v>0.99945776255707763</v>
      </c>
      <c r="AX54" s="5">
        <f t="shared" si="51"/>
        <v>0.99945776255707763</v>
      </c>
      <c r="AY54" s="5">
        <f t="shared" si="51"/>
        <v>0.99945776255707763</v>
      </c>
      <c r="AZ54" s="5">
        <f t="shared" si="51"/>
        <v>0.99945776255707763</v>
      </c>
      <c r="BA54" s="5">
        <f t="shared" si="51"/>
        <v>0.99945776255707763</v>
      </c>
      <c r="BB54" s="5">
        <f t="shared" ref="BB54:BG54" si="52">1-(BB24/BB1)</f>
        <v>0.99945776255707763</v>
      </c>
      <c r="BC54" s="5">
        <f t="shared" si="52"/>
        <v>0.99945776255707763</v>
      </c>
      <c r="BD54" s="5">
        <f t="shared" si="52"/>
        <v>0.99945776255707763</v>
      </c>
      <c r="BE54" s="5">
        <f t="shared" si="52"/>
        <v>0.99945776255707763</v>
      </c>
      <c r="BF54" s="5">
        <f t="shared" si="52"/>
        <v>0.99945776255707763</v>
      </c>
      <c r="BG54" s="5">
        <f t="shared" si="52"/>
        <v>0.99945776255707763</v>
      </c>
      <c r="BH54" s="5">
        <f>1-(BH24/BH1)</f>
        <v>0.99945776255707763</v>
      </c>
    </row>
    <row r="55" spans="1:60" x14ac:dyDescent="0.35">
      <c r="A55" s="8" t="s">
        <v>28</v>
      </c>
      <c r="B55" s="5">
        <f>1-(B25/B1)</f>
        <v>0.99842554644808745</v>
      </c>
      <c r="C55" s="5">
        <f t="shared" ref="C55:D55" si="53">1-(C25/C1)</f>
        <v>0.99842554644808745</v>
      </c>
      <c r="D55" s="5">
        <f t="shared" si="53"/>
        <v>0.99842554644808745</v>
      </c>
      <c r="E55" s="5">
        <f t="shared" ref="E55:BA55" si="54">1-(E25/E1)</f>
        <v>0.99842554644808745</v>
      </c>
      <c r="F55" s="5">
        <f t="shared" si="54"/>
        <v>0.99842554644808745</v>
      </c>
      <c r="G55" s="5">
        <f t="shared" si="54"/>
        <v>0.99842554644808745</v>
      </c>
      <c r="H55" s="5">
        <f t="shared" si="54"/>
        <v>0.99842554644808745</v>
      </c>
      <c r="I55" s="5">
        <f t="shared" si="54"/>
        <v>0.99842554644808745</v>
      </c>
      <c r="J55" s="5">
        <f t="shared" si="54"/>
        <v>0.99842554644808745</v>
      </c>
      <c r="K55" s="5">
        <f t="shared" si="54"/>
        <v>0.99842123287671236</v>
      </c>
      <c r="L55" s="5">
        <f t="shared" si="54"/>
        <v>0.99842123287671236</v>
      </c>
      <c r="M55" s="5">
        <f t="shared" si="54"/>
        <v>0.99842123287671236</v>
      </c>
      <c r="N55" s="5">
        <f t="shared" si="54"/>
        <v>0.99842123287671236</v>
      </c>
      <c r="O55" s="5">
        <f t="shared" si="54"/>
        <v>0.99842123287671236</v>
      </c>
      <c r="P55" s="5">
        <f t="shared" si="54"/>
        <v>0.99842123287671236</v>
      </c>
      <c r="Q55" s="5">
        <f t="shared" si="54"/>
        <v>0.99842123287671236</v>
      </c>
      <c r="R55" s="5">
        <f t="shared" si="54"/>
        <v>0.99842123287671236</v>
      </c>
      <c r="S55" s="5">
        <f t="shared" si="54"/>
        <v>0.99842123287671236</v>
      </c>
      <c r="T55" s="5">
        <f t="shared" si="54"/>
        <v>0.99842123287671236</v>
      </c>
      <c r="U55" s="5">
        <f t="shared" si="54"/>
        <v>0.99842123287671236</v>
      </c>
      <c r="V55" s="5">
        <f t="shared" si="54"/>
        <v>0.99842123287671236</v>
      </c>
      <c r="W55" s="5">
        <f t="shared" si="54"/>
        <v>0.99842123287671236</v>
      </c>
      <c r="X55" s="5">
        <f t="shared" si="54"/>
        <v>0.99842123287671236</v>
      </c>
      <c r="Y55" s="5">
        <f t="shared" si="54"/>
        <v>0.99827283105022835</v>
      </c>
      <c r="Z55" s="5">
        <f t="shared" si="54"/>
        <v>0.99827283105022835</v>
      </c>
      <c r="AA55" s="5">
        <f t="shared" si="54"/>
        <v>0.99827283105022835</v>
      </c>
      <c r="AB55" s="5">
        <f t="shared" si="54"/>
        <v>0.99787899543378999</v>
      </c>
      <c r="AC55" s="5">
        <f t="shared" si="54"/>
        <v>0.99787899543378999</v>
      </c>
      <c r="AD55" s="5">
        <f t="shared" si="54"/>
        <v>0.99787899543378999</v>
      </c>
      <c r="AE55" s="5">
        <f t="shared" si="54"/>
        <v>0.99787899543378999</v>
      </c>
      <c r="AF55" s="5">
        <f t="shared" si="54"/>
        <v>0.99787899543378999</v>
      </c>
      <c r="AG55" s="5">
        <f t="shared" si="54"/>
        <v>0.99787899543378999</v>
      </c>
      <c r="AH55" s="5">
        <f t="shared" si="54"/>
        <v>0.99945776255707763</v>
      </c>
      <c r="AI55" s="5">
        <f t="shared" si="54"/>
        <v>0.99945776255707763</v>
      </c>
      <c r="AJ55" s="5">
        <f t="shared" si="54"/>
        <v>0.99945776255707763</v>
      </c>
      <c r="AK55" s="5">
        <f t="shared" si="54"/>
        <v>0.99945776255707763</v>
      </c>
      <c r="AL55" s="5">
        <f t="shared" si="54"/>
        <v>0.99945776255707763</v>
      </c>
      <c r="AM55" s="5">
        <f t="shared" si="54"/>
        <v>0.99945776255707763</v>
      </c>
      <c r="AN55" s="5">
        <f t="shared" si="54"/>
        <v>0.99945776255707763</v>
      </c>
      <c r="AO55" s="5">
        <f t="shared" si="54"/>
        <v>0.99945776255707763</v>
      </c>
      <c r="AP55" s="5">
        <f t="shared" si="54"/>
        <v>0.99945776255707763</v>
      </c>
      <c r="AQ55" s="5">
        <f t="shared" si="54"/>
        <v>0.99945776255707763</v>
      </c>
      <c r="AR55" s="5">
        <f t="shared" si="54"/>
        <v>0.99945776255707763</v>
      </c>
      <c r="AS55" s="5">
        <f t="shared" si="54"/>
        <v>0.99945776255707763</v>
      </c>
      <c r="AT55" s="5">
        <f t="shared" si="54"/>
        <v>0.99945776255707763</v>
      </c>
      <c r="AU55" s="5">
        <f t="shared" si="54"/>
        <v>0.99945776255707763</v>
      </c>
      <c r="AV55" s="5">
        <f t="shared" si="54"/>
        <v>0.99945776255707763</v>
      </c>
      <c r="AW55" s="5">
        <f t="shared" si="54"/>
        <v>0.99945776255707763</v>
      </c>
      <c r="AX55" s="5">
        <f t="shared" si="54"/>
        <v>0.99945776255707763</v>
      </c>
      <c r="AY55" s="5">
        <f t="shared" si="54"/>
        <v>0.99945776255707763</v>
      </c>
      <c r="AZ55" s="5">
        <f t="shared" si="54"/>
        <v>0.99945776255707763</v>
      </c>
      <c r="BA55" s="5">
        <f t="shared" si="54"/>
        <v>0.99945776255707763</v>
      </c>
      <c r="BB55" s="5">
        <f t="shared" ref="BB55:BG55" si="55">1-(BB25/BB1)</f>
        <v>0.99945776255707763</v>
      </c>
      <c r="BC55" s="5">
        <f t="shared" si="55"/>
        <v>0.99945776255707763</v>
      </c>
      <c r="BD55" s="5">
        <f t="shared" si="55"/>
        <v>0.99945776255707763</v>
      </c>
      <c r="BE55" s="5">
        <f t="shared" si="55"/>
        <v>0.99945776255707763</v>
      </c>
      <c r="BF55" s="5">
        <f t="shared" si="55"/>
        <v>0.99945776255707763</v>
      </c>
      <c r="BG55" s="5">
        <f t="shared" si="55"/>
        <v>0.99945776255707763</v>
      </c>
      <c r="BH55" s="5">
        <f>1-(BH25/BH1)</f>
        <v>0.99945776255707763</v>
      </c>
    </row>
    <row r="56" spans="1:60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8" spans="1:60" x14ac:dyDescent="0.35">
      <c r="A58" s="61" t="s">
        <v>112</v>
      </c>
      <c r="Y58" s="69" t="s">
        <v>180</v>
      </c>
    </row>
    <row r="59" spans="1:60" x14ac:dyDescent="0.35">
      <c r="Y59" s="69" t="s">
        <v>179</v>
      </c>
    </row>
    <row r="60" spans="1:60" x14ac:dyDescent="0.35">
      <c r="A60" s="74" t="s">
        <v>106</v>
      </c>
      <c r="AA60" s="69" t="s">
        <v>181</v>
      </c>
    </row>
    <row r="61" spans="1:60" ht="58" x14ac:dyDescent="0.35">
      <c r="A61" s="74" t="s">
        <v>108</v>
      </c>
      <c r="AB61" s="69" t="s">
        <v>182</v>
      </c>
      <c r="AH61" s="93" t="s">
        <v>202</v>
      </c>
    </row>
    <row r="62" spans="1:60" x14ac:dyDescent="0.35">
      <c r="A62" s="2" t="s">
        <v>109</v>
      </c>
    </row>
    <row r="63" spans="1:60" x14ac:dyDescent="0.35">
      <c r="A63" s="2" t="s">
        <v>110</v>
      </c>
    </row>
    <row r="64" spans="1:60" x14ac:dyDescent="0.35">
      <c r="A64" s="74" t="s">
        <v>111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</row>
    <row r="67" spans="28:35" x14ac:dyDescent="0.35">
      <c r="AI67" s="94">
        <v>13.83</v>
      </c>
    </row>
    <row r="68" spans="28:35" x14ac:dyDescent="0.35">
      <c r="AB68" s="4">
        <v>8.4</v>
      </c>
      <c r="AC68" s="2">
        <v>3.45</v>
      </c>
      <c r="AD68" s="2">
        <f>SUM(AB68:AC68)</f>
        <v>11.850000000000001</v>
      </c>
      <c r="AH68" s="4">
        <v>19.829999999999998</v>
      </c>
      <c r="AI68" s="94">
        <f>AH68-AI67</f>
        <v>5.9999999999999982</v>
      </c>
    </row>
    <row r="69" spans="28:35" x14ac:dyDescent="0.35">
      <c r="AB69" s="4">
        <v>8.68</v>
      </c>
      <c r="AC69" s="2">
        <v>3.45</v>
      </c>
      <c r="AD69" s="2">
        <f t="shared" ref="AD69:AD70" si="56">SUM(AB69:AC69)</f>
        <v>12.129999999999999</v>
      </c>
      <c r="AH69" s="4">
        <v>22.28</v>
      </c>
      <c r="AI69" s="94">
        <f>AH69-AI67</f>
        <v>8.4500000000000011</v>
      </c>
    </row>
    <row r="70" spans="28:35" x14ac:dyDescent="0.35">
      <c r="AB70" s="4">
        <v>8.15</v>
      </c>
      <c r="AC70" s="2">
        <v>3.45</v>
      </c>
      <c r="AD70" s="2">
        <f t="shared" si="56"/>
        <v>11.600000000000001</v>
      </c>
      <c r="AH70" s="4">
        <v>18.579999999999998</v>
      </c>
      <c r="AI70" s="94">
        <f>AH70-AI67</f>
        <v>4.7499999999999982</v>
      </c>
    </row>
    <row r="72" spans="28:35" x14ac:dyDescent="0.35">
      <c r="AB72" s="4">
        <v>16.38</v>
      </c>
      <c r="AC72" s="2">
        <v>3.45</v>
      </c>
      <c r="AD72" s="2">
        <f>SUM(AB72:AC72)</f>
        <v>19.829999999999998</v>
      </c>
    </row>
    <row r="73" spans="28:35" x14ac:dyDescent="0.35">
      <c r="AB73" s="4">
        <v>18.829999999999998</v>
      </c>
      <c r="AC73" s="2">
        <v>3.45</v>
      </c>
      <c r="AD73" s="2">
        <f t="shared" ref="AD73:AD74" si="57">SUM(AB73:AC73)</f>
        <v>22.279999999999998</v>
      </c>
    </row>
    <row r="74" spans="28:35" x14ac:dyDescent="0.35">
      <c r="AB74" s="4">
        <v>15.13</v>
      </c>
      <c r="AC74" s="2">
        <v>3.45</v>
      </c>
      <c r="AD74" s="2">
        <f t="shared" si="57"/>
        <v>18.580000000000002</v>
      </c>
    </row>
  </sheetData>
  <conditionalFormatting sqref="B53:AG53 AI53:BG53 BH53:BH55 B54:BG55">
    <cfRule type="cellIs" dxfId="115" priority="124" stopIfTrue="1" operator="between">
      <formula>0.9989</formula>
      <formula>0.9993</formula>
    </cfRule>
    <cfRule type="cellIs" dxfId="114" priority="123" stopIfTrue="1" operator="lessThan">
      <formula>0.999</formula>
    </cfRule>
    <cfRule type="cellIs" dxfId="113" priority="125" operator="greaterThanOrEqual">
      <formula>0.9994</formula>
    </cfRule>
    <cfRule type="cellIs" dxfId="112" priority="126" operator="greaterThan">
      <formula>0.9999</formula>
    </cfRule>
  </conditionalFormatting>
  <conditionalFormatting sqref="B5:BH7">
    <cfRule type="containsBlanks" dxfId="111" priority="17">
      <formula>LEN(TRIM(B5))=0</formula>
    </cfRule>
    <cfRule type="cellIs" dxfId="110" priority="30" operator="greaterThan">
      <formula>0</formula>
    </cfRule>
  </conditionalFormatting>
  <conditionalFormatting sqref="B9:BH11">
    <cfRule type="containsBlanks" dxfId="109" priority="9">
      <formula>LEN(TRIM(B9))=0</formula>
    </cfRule>
    <cfRule type="cellIs" dxfId="108" priority="10" operator="greaterThan">
      <formula>0</formula>
    </cfRule>
  </conditionalFormatting>
  <conditionalFormatting sqref="B13:BH15">
    <cfRule type="containsBlanks" dxfId="107" priority="7">
      <formula>LEN(TRIM(B13))=0</formula>
    </cfRule>
    <cfRule type="cellIs" dxfId="106" priority="8" operator="greaterThan">
      <formula>0</formula>
    </cfRule>
  </conditionalFormatting>
  <conditionalFormatting sqref="B17:BH19">
    <cfRule type="containsBlanks" dxfId="105" priority="5">
      <formula>LEN(TRIM(B17))=0</formula>
    </cfRule>
    <cfRule type="cellIs" dxfId="104" priority="6" operator="greaterThan">
      <formula>0</formula>
    </cfRule>
  </conditionalFormatting>
  <conditionalFormatting sqref="B21:BH21">
    <cfRule type="containsBlanks" dxfId="103" priority="53">
      <formula>LEN(TRIM(B21))=0</formula>
    </cfRule>
    <cfRule type="cellIs" dxfId="102" priority="54" operator="greaterThan">
      <formula>0</formula>
    </cfRule>
  </conditionalFormatting>
  <conditionalFormatting sqref="B23:BH25">
    <cfRule type="containsBlanks" dxfId="101" priority="15">
      <formula>LEN(TRIM(B23))=0</formula>
    </cfRule>
    <cfRule type="cellIs" dxfId="100" priority="16" operator="greaterThan">
      <formula>0</formula>
    </cfRule>
  </conditionalFormatting>
  <conditionalFormatting sqref="B31:BH33">
    <cfRule type="cellIs" dxfId="99" priority="13" operator="greaterThanOrEqual">
      <formula>0.9994</formula>
    </cfRule>
    <cfRule type="cellIs" dxfId="98" priority="11" stopIfTrue="1" operator="lessThan">
      <formula>0.999</formula>
    </cfRule>
    <cfRule type="cellIs" dxfId="97" priority="12" stopIfTrue="1" operator="between">
      <formula>0.9989</formula>
      <formula>0.9993</formula>
    </cfRule>
    <cfRule type="cellIs" dxfId="96" priority="14" operator="greaterThan">
      <formula>0.9999</formula>
    </cfRule>
  </conditionalFormatting>
  <conditionalFormatting sqref="B35:BH37">
    <cfRule type="cellIs" dxfId="95" priority="26" stopIfTrue="1" operator="lessThan">
      <formula>0.999</formula>
    </cfRule>
    <cfRule type="cellIs" dxfId="94" priority="27" stopIfTrue="1" operator="between">
      <formula>0.9989</formula>
      <formula>0.9993</formula>
    </cfRule>
    <cfRule type="cellIs" dxfId="93" priority="28" operator="greaterThanOrEqual">
      <formula>0.9994</formula>
    </cfRule>
    <cfRule type="cellIs" dxfId="92" priority="29" operator="greaterThan">
      <formula>0.9999</formula>
    </cfRule>
  </conditionalFormatting>
  <conditionalFormatting sqref="B39:BH41">
    <cfRule type="cellIs" dxfId="91" priority="2" stopIfTrue="1" operator="between">
      <formula>0.9989</formula>
      <formula>0.9993</formula>
    </cfRule>
    <cfRule type="cellIs" dxfId="90" priority="3" operator="greaterThanOrEqual">
      <formula>0.9994</formula>
    </cfRule>
    <cfRule type="cellIs" dxfId="89" priority="4" operator="greaterThan">
      <formula>0.9999</formula>
    </cfRule>
    <cfRule type="cellIs" dxfId="88" priority="1" stopIfTrue="1" operator="lessThan">
      <formula>0.999</formula>
    </cfRule>
  </conditionalFormatting>
  <conditionalFormatting sqref="B43:BH45">
    <cfRule type="cellIs" dxfId="87" priority="23" stopIfTrue="1" operator="between">
      <formula>0.9989</formula>
      <formula>0.9993</formula>
    </cfRule>
    <cfRule type="cellIs" dxfId="86" priority="24" operator="greaterThanOrEqual">
      <formula>0.9994</formula>
    </cfRule>
    <cfRule type="cellIs" dxfId="85" priority="25" operator="greaterThan">
      <formula>0.9999</formula>
    </cfRule>
    <cfRule type="cellIs" dxfId="84" priority="22" stopIfTrue="1" operator="lessThan">
      <formula>0.999</formula>
    </cfRule>
  </conditionalFormatting>
  <conditionalFormatting sqref="B47:BH49">
    <cfRule type="cellIs" dxfId="83" priority="21" operator="greaterThan">
      <formula>0.9999</formula>
    </cfRule>
    <cfRule type="cellIs" dxfId="82" priority="20" operator="greaterThanOrEqual">
      <formula>0.9994</formula>
    </cfRule>
    <cfRule type="cellIs" dxfId="81" priority="18" stopIfTrue="1" operator="lessThan">
      <formula>0.999</formula>
    </cfRule>
    <cfRule type="cellIs" dxfId="80" priority="19" stopIfTrue="1" operator="between">
      <formula>0.9989</formula>
      <formula>0.9993</formula>
    </cfRule>
  </conditionalFormatting>
  <conditionalFormatting sqref="B51:BH51">
    <cfRule type="cellIs" dxfId="79" priority="130" operator="greaterThan">
      <formula>0.9999</formula>
    </cfRule>
    <cfRule type="cellIs" dxfId="78" priority="127" stopIfTrue="1" operator="lessThan">
      <formula>0.999</formula>
    </cfRule>
    <cfRule type="cellIs" dxfId="77" priority="128" stopIfTrue="1" operator="between">
      <formula>0.9989</formula>
      <formula>0.9993</formula>
    </cfRule>
    <cfRule type="cellIs" dxfId="76" priority="129" operator="greaterThanOrEqual">
      <formula>0.9994</formula>
    </cfRule>
  </conditionalFormatting>
  <conditionalFormatting sqref="AB68:AB70">
    <cfRule type="containsBlanks" dxfId="75" priority="43">
      <formula>LEN(TRIM(AB68))=0</formula>
    </cfRule>
    <cfRule type="cellIs" dxfId="74" priority="44" operator="greaterThan">
      <formula>0</formula>
    </cfRule>
  </conditionalFormatting>
  <conditionalFormatting sqref="AB72:AB74">
    <cfRule type="containsBlanks" dxfId="73" priority="41">
      <formula>LEN(TRIM(AB72))=0</formula>
    </cfRule>
    <cfRule type="cellIs" dxfId="72" priority="42" operator="greaterThan">
      <formula>0</formula>
    </cfRule>
  </conditionalFormatting>
  <conditionalFormatting sqref="AH53">
    <cfRule type="cellIs" dxfId="71" priority="35" operator="lessThan">
      <formula>0.999</formula>
    </cfRule>
    <cfRule type="cellIs" dxfId="70" priority="36" operator="between">
      <formula>0.9989</formula>
      <formula>0.9993</formula>
    </cfRule>
    <cfRule type="cellIs" dxfId="69" priority="37" operator="greaterThanOrEqual">
      <formula>0.9994</formula>
    </cfRule>
    <cfRule type="cellIs" dxfId="68" priority="38" operator="greaterThan">
      <formula>0.9999</formula>
    </cfRule>
  </conditionalFormatting>
  <conditionalFormatting sqref="AH68:AH70">
    <cfRule type="containsBlanks" dxfId="67" priority="39">
      <formula>LEN(TRIM(AH68))=0</formula>
    </cfRule>
    <cfRule type="cellIs" dxfId="66" priority="40" operator="greater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DCC1-EA26-49B0-B4DB-BBAAFD889132}">
  <sheetPr codeName="Sheet8">
    <tabColor theme="8" tint="0.59999389629810485"/>
  </sheetPr>
  <dimension ref="A1:BK43"/>
  <sheetViews>
    <sheetView topLeftCell="AV1" workbookViewId="0">
      <selection activeCell="BH30" sqref="BH30"/>
    </sheetView>
  </sheetViews>
  <sheetFormatPr defaultColWidth="8.81640625" defaultRowHeight="14.5" x14ac:dyDescent="0.35"/>
  <cols>
    <col min="1" max="1" width="33.26953125" style="2" customWidth="1"/>
    <col min="2" max="17" width="8.81640625" style="2" hidden="1" customWidth="1"/>
    <col min="18" max="18" width="10.1796875" style="2" hidden="1" customWidth="1"/>
    <col min="19" max="20" width="8.81640625" style="2" hidden="1" customWidth="1"/>
    <col min="21" max="21" width="10.1796875" style="2" hidden="1" customWidth="1"/>
    <col min="22" max="22" width="10.26953125" style="2" hidden="1" customWidth="1"/>
    <col min="23" max="24" width="8.81640625" style="2" hidden="1" customWidth="1"/>
    <col min="25" max="26" width="10" style="2" hidden="1" customWidth="1"/>
    <col min="27" max="27" width="10.81640625" style="2" hidden="1" customWidth="1"/>
    <col min="28" max="28" width="8.81640625" style="2" hidden="1" customWidth="1"/>
    <col min="29" max="29" width="10" style="2" hidden="1" customWidth="1"/>
    <col min="30" max="31" width="10.26953125" style="2" hidden="1" customWidth="1"/>
    <col min="32" max="33" width="0" style="2" hidden="1" customWidth="1"/>
    <col min="34" max="34" width="11.26953125" style="2" hidden="1" customWidth="1"/>
    <col min="35" max="35" width="10.1796875" style="2" hidden="1" customWidth="1"/>
    <col min="36" max="36" width="9.54296875" style="2" hidden="1" customWidth="1"/>
    <col min="37" max="37" width="0" style="2" hidden="1" customWidth="1"/>
    <col min="38" max="38" width="9.453125" style="2" hidden="1" customWidth="1"/>
    <col min="39" max="40" width="9.26953125" style="2" hidden="1" customWidth="1"/>
    <col min="41" max="41" width="9.7265625" style="2" customWidth="1"/>
    <col min="42" max="42" width="10.26953125" style="2" customWidth="1"/>
    <col min="43" max="43" width="11" style="2" customWidth="1"/>
    <col min="44" max="45" width="10.26953125" style="2" customWidth="1"/>
    <col min="46" max="46" width="9.81640625" style="2" customWidth="1"/>
    <col min="47" max="47" width="10.81640625" style="2" customWidth="1"/>
    <col min="48" max="48" width="10.54296875" style="2" customWidth="1"/>
    <col min="49" max="49" width="10.7265625" style="2" customWidth="1"/>
    <col min="50" max="50" width="9.7265625" style="2" customWidth="1"/>
    <col min="51" max="51" width="10.1796875" style="2" customWidth="1"/>
    <col min="52" max="52" width="10.7265625" style="2" customWidth="1"/>
    <col min="53" max="59" width="10.54296875" style="2" customWidth="1"/>
    <col min="60" max="60" width="10.26953125" style="2" customWidth="1"/>
    <col min="61" max="61" width="10.1796875" style="2" customWidth="1"/>
    <col min="62" max="62" width="11.1796875" style="2" customWidth="1"/>
    <col min="63" max="16384" width="8.81640625" style="2"/>
  </cols>
  <sheetData>
    <row r="1" spans="1:63" x14ac:dyDescent="0.35">
      <c r="A1" s="9" t="s">
        <v>22</v>
      </c>
      <c r="B1" s="1">
        <v>8784</v>
      </c>
      <c r="C1" s="1">
        <v>8784</v>
      </c>
      <c r="D1" s="1">
        <v>8784</v>
      </c>
      <c r="E1" s="1">
        <v>8784</v>
      </c>
      <c r="F1" s="1">
        <v>8784</v>
      </c>
      <c r="G1" s="1">
        <v>8784</v>
      </c>
      <c r="H1" s="1">
        <v>8784</v>
      </c>
      <c r="I1" s="1">
        <v>8784</v>
      </c>
      <c r="J1" s="1">
        <v>8784</v>
      </c>
      <c r="K1" s="1">
        <v>8760</v>
      </c>
      <c r="L1" s="1">
        <v>8760</v>
      </c>
      <c r="M1" s="1">
        <v>8760</v>
      </c>
      <c r="N1" s="1">
        <v>8760</v>
      </c>
      <c r="O1" s="1">
        <v>8760</v>
      </c>
      <c r="P1" s="1">
        <v>8760</v>
      </c>
      <c r="Q1" s="1">
        <v>8760</v>
      </c>
      <c r="R1" s="1">
        <v>8760</v>
      </c>
      <c r="S1" s="1">
        <v>8760</v>
      </c>
      <c r="T1" s="1">
        <v>8760</v>
      </c>
      <c r="U1" s="1">
        <v>8760</v>
      </c>
      <c r="V1" s="1">
        <v>8760</v>
      </c>
      <c r="W1" s="1">
        <v>8760</v>
      </c>
      <c r="X1" s="1">
        <v>8760</v>
      </c>
      <c r="Y1" s="1">
        <v>8760</v>
      </c>
      <c r="Z1" s="1">
        <v>8760</v>
      </c>
      <c r="AA1" s="1">
        <v>8760</v>
      </c>
      <c r="AB1" s="1">
        <v>8760</v>
      </c>
      <c r="AC1" s="1">
        <v>8760</v>
      </c>
      <c r="AD1" s="1">
        <v>8760</v>
      </c>
      <c r="AE1" s="1">
        <v>8760</v>
      </c>
      <c r="AF1" s="1">
        <v>8760</v>
      </c>
      <c r="AG1" s="1">
        <v>8760</v>
      </c>
      <c r="AH1" s="1">
        <v>8760</v>
      </c>
      <c r="AI1" s="1">
        <v>8760</v>
      </c>
      <c r="AJ1" s="1">
        <v>8760</v>
      </c>
      <c r="AK1" s="1">
        <v>8760</v>
      </c>
      <c r="AL1" s="1">
        <v>8760</v>
      </c>
      <c r="AM1" s="1">
        <v>8760</v>
      </c>
      <c r="AN1" s="1">
        <v>8760</v>
      </c>
      <c r="AO1" s="1">
        <v>8760</v>
      </c>
      <c r="AP1" s="1">
        <v>8760</v>
      </c>
      <c r="AQ1" s="1">
        <v>8760</v>
      </c>
      <c r="AR1" s="1">
        <v>8760</v>
      </c>
      <c r="AS1" s="1">
        <v>8760</v>
      </c>
      <c r="AT1" s="1">
        <v>8760</v>
      </c>
      <c r="AU1" s="1">
        <v>8760</v>
      </c>
      <c r="AV1" s="1">
        <v>8760</v>
      </c>
      <c r="AW1" s="1">
        <v>8760</v>
      </c>
      <c r="AX1" s="1">
        <v>8760</v>
      </c>
      <c r="AY1" s="1">
        <v>8760</v>
      </c>
      <c r="AZ1" s="1">
        <v>8760</v>
      </c>
      <c r="BA1" s="1">
        <v>8760</v>
      </c>
      <c r="BB1" s="1">
        <v>8760</v>
      </c>
      <c r="BC1" s="1">
        <v>8760</v>
      </c>
      <c r="BD1" s="1">
        <v>8760</v>
      </c>
      <c r="BE1" s="1">
        <v>8760</v>
      </c>
      <c r="BF1" s="1">
        <v>8760</v>
      </c>
      <c r="BG1" s="1">
        <v>8760</v>
      </c>
      <c r="BH1" s="1">
        <v>8760</v>
      </c>
      <c r="BI1" s="1">
        <v>8760</v>
      </c>
      <c r="BJ1" s="1">
        <v>8760</v>
      </c>
      <c r="BK1" s="1">
        <v>8760</v>
      </c>
    </row>
    <row r="2" spans="1:63" x14ac:dyDescent="0.35">
      <c r="A2" s="9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8</v>
      </c>
      <c r="BJ2" s="1">
        <v>9</v>
      </c>
      <c r="BK2" s="1">
        <v>10</v>
      </c>
    </row>
    <row r="3" spans="1:63" x14ac:dyDescent="0.35">
      <c r="A3" s="3" t="s">
        <v>24</v>
      </c>
      <c r="B3" s="64">
        <v>45660</v>
      </c>
      <c r="C3" s="64">
        <v>45667</v>
      </c>
      <c r="D3" s="64">
        <v>45674</v>
      </c>
      <c r="E3" s="64">
        <v>45681</v>
      </c>
      <c r="F3" s="64">
        <v>45688</v>
      </c>
      <c r="G3" s="64">
        <v>45695</v>
      </c>
      <c r="H3" s="64">
        <v>45702</v>
      </c>
      <c r="I3" s="64">
        <v>45709</v>
      </c>
      <c r="J3" s="64">
        <v>45716</v>
      </c>
      <c r="K3" s="64">
        <v>45723</v>
      </c>
      <c r="L3" s="64">
        <v>45730</v>
      </c>
      <c r="M3" s="64">
        <v>45737</v>
      </c>
      <c r="N3" s="64">
        <v>45744</v>
      </c>
      <c r="O3" s="64">
        <v>45751</v>
      </c>
      <c r="P3" s="64">
        <v>45758</v>
      </c>
      <c r="Q3" s="64">
        <v>45765</v>
      </c>
      <c r="R3" s="64">
        <v>45772</v>
      </c>
      <c r="S3" s="64">
        <v>45779</v>
      </c>
      <c r="T3" s="64">
        <v>45786</v>
      </c>
      <c r="U3" s="64">
        <v>45793</v>
      </c>
      <c r="V3" s="64">
        <v>45800</v>
      </c>
      <c r="W3" s="64">
        <v>45807</v>
      </c>
      <c r="X3" s="64">
        <v>45814</v>
      </c>
      <c r="Y3" s="64">
        <v>45821</v>
      </c>
      <c r="Z3" s="64">
        <v>45828</v>
      </c>
      <c r="AA3" s="64">
        <v>45835</v>
      </c>
      <c r="AB3" s="64">
        <v>45842</v>
      </c>
      <c r="AC3" s="64">
        <v>45849</v>
      </c>
      <c r="AD3" s="64">
        <v>45856</v>
      </c>
      <c r="AE3" s="64">
        <v>45863</v>
      </c>
      <c r="AF3" s="64">
        <v>45870</v>
      </c>
      <c r="AG3" s="64">
        <v>45877</v>
      </c>
      <c r="AH3" s="64">
        <v>45884</v>
      </c>
      <c r="AI3" s="64">
        <v>45891</v>
      </c>
      <c r="AJ3" s="64">
        <v>45898</v>
      </c>
      <c r="AK3" s="64">
        <v>45905</v>
      </c>
      <c r="AL3" s="64">
        <v>45912</v>
      </c>
      <c r="AM3" s="64">
        <v>45919</v>
      </c>
      <c r="AN3" s="64">
        <v>45926</v>
      </c>
      <c r="AO3" s="64">
        <v>45933</v>
      </c>
      <c r="AP3" s="64">
        <v>45940</v>
      </c>
      <c r="AQ3" s="64">
        <v>45947</v>
      </c>
      <c r="AR3" s="64">
        <v>45954</v>
      </c>
      <c r="AS3" s="64">
        <v>45961</v>
      </c>
      <c r="AT3" s="64">
        <v>45968</v>
      </c>
      <c r="AU3" s="64">
        <v>45975</v>
      </c>
      <c r="AV3" s="64">
        <v>45982</v>
      </c>
      <c r="AW3" s="64">
        <v>45989</v>
      </c>
      <c r="AX3" s="64">
        <v>45996</v>
      </c>
      <c r="AY3" s="64">
        <v>46003</v>
      </c>
      <c r="AZ3" s="64">
        <v>46010</v>
      </c>
      <c r="BA3" s="64">
        <v>46017</v>
      </c>
      <c r="BB3" s="64">
        <v>46024</v>
      </c>
      <c r="BC3" s="64">
        <v>46031</v>
      </c>
      <c r="BD3" s="64">
        <v>46038</v>
      </c>
      <c r="BE3" s="64">
        <v>46045</v>
      </c>
      <c r="BF3" s="64">
        <v>46052</v>
      </c>
      <c r="BG3" s="64">
        <v>46059</v>
      </c>
      <c r="BH3" s="64">
        <v>46066</v>
      </c>
      <c r="BI3" s="64">
        <v>46073</v>
      </c>
      <c r="BJ3" s="64">
        <v>46080</v>
      </c>
      <c r="BK3" s="64">
        <v>46087</v>
      </c>
    </row>
    <row r="4" spans="1:63" x14ac:dyDescent="0.35">
      <c r="A4" s="59" t="s">
        <v>36</v>
      </c>
      <c r="B4" s="4">
        <f>SUM(B5:B8)</f>
        <v>8.86</v>
      </c>
      <c r="C4" s="4">
        <f t="shared" ref="C4:L4" si="0">SUM(C5:C8)</f>
        <v>8.86</v>
      </c>
      <c r="D4" s="4">
        <f t="shared" si="0"/>
        <v>8.86</v>
      </c>
      <c r="E4" s="4">
        <f t="shared" si="0"/>
        <v>8.86</v>
      </c>
      <c r="F4" s="4">
        <f t="shared" si="0"/>
        <v>8.86</v>
      </c>
      <c r="G4" s="4">
        <f t="shared" si="0"/>
        <v>4.63</v>
      </c>
      <c r="H4" s="4">
        <f t="shared" si="0"/>
        <v>4.63</v>
      </c>
      <c r="I4" s="4">
        <f t="shared" si="0"/>
        <v>4.63</v>
      </c>
      <c r="J4" s="4">
        <f t="shared" si="0"/>
        <v>4.63</v>
      </c>
      <c r="K4" s="4">
        <f t="shared" si="0"/>
        <v>4.63</v>
      </c>
      <c r="L4" s="4">
        <f t="shared" si="0"/>
        <v>4.63</v>
      </c>
      <c r="M4" s="4">
        <f t="shared" ref="M4" si="1">SUM(M5:M8)</f>
        <v>14.010000000000002</v>
      </c>
      <c r="N4" s="4">
        <f t="shared" ref="N4" si="2">SUM(N5:N8)</f>
        <v>14.010000000000002</v>
      </c>
      <c r="O4" s="4">
        <f t="shared" ref="O4" si="3">SUM(O5:O8)</f>
        <v>14.010000000000002</v>
      </c>
      <c r="P4" s="4">
        <f t="shared" ref="P4" si="4">SUM(P5:P8)</f>
        <v>14.010000000000002</v>
      </c>
      <c r="Q4" s="4">
        <f t="shared" ref="Q4" si="5">SUM(Q5:Q8)</f>
        <v>14.010000000000002</v>
      </c>
      <c r="R4" s="4">
        <f t="shared" ref="R4:S4" si="6">SUM(R5:R8)</f>
        <v>14.010000000000002</v>
      </c>
      <c r="S4" s="4">
        <f t="shared" si="6"/>
        <v>14.010000000000002</v>
      </c>
      <c r="T4" s="4">
        <f t="shared" ref="T4:U4" si="7">SUM(T5:T8)</f>
        <v>14.010000000000002</v>
      </c>
      <c r="U4" s="4">
        <f t="shared" si="7"/>
        <v>14.010000000000002</v>
      </c>
      <c r="V4" s="4">
        <f t="shared" ref="V4:W4" si="8">SUM(V5:V8)</f>
        <v>14.010000000000002</v>
      </c>
      <c r="W4" s="4">
        <f t="shared" si="8"/>
        <v>14.010000000000002</v>
      </c>
      <c r="X4" s="4">
        <f t="shared" ref="X4" si="9">SUM(X5:X8)</f>
        <v>14.010000000000002</v>
      </c>
      <c r="Y4" s="4">
        <f t="shared" ref="Y4" si="10">SUM(Y5:Y8)</f>
        <v>14.010000000000002</v>
      </c>
      <c r="Z4" s="4">
        <f t="shared" ref="Z4:AA4" si="11">SUM(Z5:Z8)</f>
        <v>14.010000000000002</v>
      </c>
      <c r="AA4" s="4">
        <f t="shared" si="11"/>
        <v>14.010000000000002</v>
      </c>
      <c r="AB4" s="4">
        <f t="shared" ref="AB4:AC4" si="12">SUM(AB5:AB8)</f>
        <v>14.010000000000002</v>
      </c>
      <c r="AC4" s="4">
        <f t="shared" si="12"/>
        <v>14.010000000000002</v>
      </c>
      <c r="AD4" s="4">
        <f t="shared" ref="AD4:AE4" si="13">SUM(AD5:AD8)</f>
        <v>14.010000000000002</v>
      </c>
      <c r="AE4" s="4">
        <f t="shared" si="13"/>
        <v>14.010000000000002</v>
      </c>
      <c r="AF4" s="4">
        <f t="shared" ref="AF4:AG4" si="14">SUM(AF5:AF8)</f>
        <v>14.010000000000002</v>
      </c>
      <c r="AG4" s="4">
        <f t="shared" si="14"/>
        <v>14.010000000000002</v>
      </c>
      <c r="AH4" s="4">
        <f t="shared" ref="AH4:AI4" si="15">SUM(AH5:AH8)</f>
        <v>14.010000000000002</v>
      </c>
      <c r="AI4" s="4">
        <f t="shared" si="15"/>
        <v>14.010000000000002</v>
      </c>
      <c r="AJ4" s="4">
        <f t="shared" ref="AJ4:AK4" si="16">SUM(AJ5:AJ8)</f>
        <v>14.010000000000002</v>
      </c>
      <c r="AK4" s="4">
        <f t="shared" si="16"/>
        <v>14.010000000000002</v>
      </c>
      <c r="AL4" s="4">
        <f t="shared" ref="AL4:AM4" si="17">SUM(AL5:AL8)</f>
        <v>14.010000000000002</v>
      </c>
      <c r="AM4" s="4">
        <f t="shared" si="17"/>
        <v>14.010000000000002</v>
      </c>
      <c r="AN4" s="4">
        <f t="shared" ref="AN4" si="18">SUM(AN5:AN8)</f>
        <v>14.010000000000002</v>
      </c>
      <c r="AO4" s="4">
        <f t="shared" ref="AO4:AP4" si="19">SUM(AO5:AO8)</f>
        <v>14.010000000000002</v>
      </c>
      <c r="AP4" s="4">
        <f t="shared" si="19"/>
        <v>14.010000000000002</v>
      </c>
      <c r="AQ4" s="4">
        <f t="shared" ref="AQ4:AR4" si="20">SUM(AQ5:AQ8)</f>
        <v>14.010000000000002</v>
      </c>
      <c r="AR4" s="4">
        <f t="shared" si="20"/>
        <v>14.010000000000002</v>
      </c>
      <c r="AS4" s="4">
        <f t="shared" ref="AS4:AT4" si="21">SUM(AS5:AS8)</f>
        <v>14.010000000000002</v>
      </c>
      <c r="AT4" s="4">
        <f t="shared" si="21"/>
        <v>9.3800000000000008</v>
      </c>
      <c r="AU4" s="4">
        <f t="shared" ref="AU4" si="22">SUM(AU5:AU8)</f>
        <v>9.3800000000000008</v>
      </c>
      <c r="AV4" s="4">
        <f t="shared" ref="AV4:AW4" si="23">SUM(AV5:AV8)</f>
        <v>9.3800000000000008</v>
      </c>
      <c r="AW4" s="4">
        <f t="shared" si="23"/>
        <v>9.3800000000000008</v>
      </c>
      <c r="AX4" s="4">
        <f t="shared" ref="AX4:AY4" si="24">SUM(AX5:AX8)</f>
        <v>9.3800000000000008</v>
      </c>
      <c r="AY4" s="4">
        <f t="shared" si="24"/>
        <v>9.3800000000000008</v>
      </c>
      <c r="AZ4" s="4">
        <f t="shared" ref="AZ4:BA4" si="25">SUM(AZ5:AZ8)</f>
        <v>9.3800000000000008</v>
      </c>
      <c r="BA4" s="4">
        <f t="shared" si="25"/>
        <v>9.3800000000000008</v>
      </c>
      <c r="BB4" s="4">
        <f t="shared" ref="BB4:BG4" si="26">SUM(BB5:BB8)</f>
        <v>9.3800000000000008</v>
      </c>
      <c r="BC4" s="4">
        <f t="shared" si="26"/>
        <v>9.3800000000000008</v>
      </c>
      <c r="BD4" s="4">
        <f t="shared" si="26"/>
        <v>9.3800000000000008</v>
      </c>
      <c r="BE4" s="4">
        <f t="shared" si="26"/>
        <v>9.3800000000000008</v>
      </c>
      <c r="BF4" s="4">
        <f t="shared" si="26"/>
        <v>9.3800000000000008</v>
      </c>
      <c r="BG4" s="4">
        <f t="shared" si="26"/>
        <v>9.3800000000000008</v>
      </c>
      <c r="BH4" s="4">
        <f>SUM(BH5:BH8)</f>
        <v>9.3800000000000008</v>
      </c>
      <c r="BI4" s="4"/>
      <c r="BJ4" s="4"/>
      <c r="BK4" s="4"/>
    </row>
    <row r="5" spans="1:63" x14ac:dyDescent="0.35">
      <c r="A5" s="8" t="s">
        <v>37</v>
      </c>
      <c r="B5" s="4">
        <v>4.63</v>
      </c>
      <c r="C5" s="4">
        <v>4.63</v>
      </c>
      <c r="D5" s="4">
        <v>4.63</v>
      </c>
      <c r="E5" s="4">
        <v>4.63</v>
      </c>
      <c r="F5" s="4">
        <v>4.63</v>
      </c>
      <c r="G5" s="4">
        <v>4.63</v>
      </c>
      <c r="H5" s="4">
        <v>4.63</v>
      </c>
      <c r="I5" s="4">
        <v>4.63</v>
      </c>
      <c r="J5" s="4">
        <v>4.63</v>
      </c>
      <c r="K5" s="4">
        <v>4.63</v>
      </c>
      <c r="L5" s="4">
        <v>4.63</v>
      </c>
      <c r="M5" s="4">
        <v>4.63</v>
      </c>
      <c r="N5" s="4">
        <v>4.63</v>
      </c>
      <c r="O5" s="4">
        <v>4.63</v>
      </c>
      <c r="P5" s="4">
        <v>4.63</v>
      </c>
      <c r="Q5" s="4">
        <v>4.63</v>
      </c>
      <c r="R5" s="4">
        <v>4.63</v>
      </c>
      <c r="S5" s="4">
        <v>4.63</v>
      </c>
      <c r="T5" s="4">
        <v>4.63</v>
      </c>
      <c r="U5" s="4">
        <v>4.63</v>
      </c>
      <c r="V5" s="4">
        <v>4.63</v>
      </c>
      <c r="W5" s="4">
        <v>4.63</v>
      </c>
      <c r="X5" s="4">
        <v>4.63</v>
      </c>
      <c r="Y5" s="4">
        <v>4.63</v>
      </c>
      <c r="Z5" s="4">
        <v>4.63</v>
      </c>
      <c r="AA5" s="4">
        <v>4.63</v>
      </c>
      <c r="AB5" s="4">
        <v>4.63</v>
      </c>
      <c r="AC5" s="4">
        <v>4.63</v>
      </c>
      <c r="AD5" s="4">
        <v>4.63</v>
      </c>
      <c r="AE5" s="4">
        <v>4.63</v>
      </c>
      <c r="AF5" s="4">
        <v>4.63</v>
      </c>
      <c r="AG5" s="4">
        <v>4.63</v>
      </c>
      <c r="AH5" s="4">
        <v>4.63</v>
      </c>
      <c r="AI5" s="4">
        <v>4.63</v>
      </c>
      <c r="AJ5" s="4">
        <v>4.63</v>
      </c>
      <c r="AK5" s="4">
        <v>4.63</v>
      </c>
      <c r="AL5" s="4">
        <v>4.63</v>
      </c>
      <c r="AM5" s="4">
        <v>4.63</v>
      </c>
      <c r="AN5" s="4">
        <v>4.63</v>
      </c>
      <c r="AO5" s="4">
        <v>4.63</v>
      </c>
      <c r="AP5" s="4">
        <v>4.63</v>
      </c>
      <c r="AQ5" s="4">
        <v>4.63</v>
      </c>
      <c r="AR5" s="4">
        <v>4.63</v>
      </c>
      <c r="AS5" s="4">
        <v>4.63</v>
      </c>
      <c r="AT5" s="66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/>
      <c r="BJ5" s="4"/>
      <c r="BK5" s="4"/>
    </row>
    <row r="6" spans="1:63" x14ac:dyDescent="0.35">
      <c r="A6" s="8" t="s">
        <v>38</v>
      </c>
      <c r="B6" s="4">
        <v>4.2300000000000004</v>
      </c>
      <c r="C6" s="4">
        <v>4.2300000000000004</v>
      </c>
      <c r="D6" s="4">
        <v>4.2300000000000004</v>
      </c>
      <c r="E6" s="4">
        <v>4.2300000000000004</v>
      </c>
      <c r="F6" s="4">
        <v>4.2300000000000004</v>
      </c>
      <c r="G6" s="66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9.3800000000000008</v>
      </c>
      <c r="N6" s="4">
        <v>9.3800000000000008</v>
      </c>
      <c r="O6" s="4">
        <v>9.3800000000000008</v>
      </c>
      <c r="P6" s="4">
        <v>9.3800000000000008</v>
      </c>
      <c r="Q6" s="4">
        <v>9.3800000000000008</v>
      </c>
      <c r="R6" s="4">
        <v>9.3800000000000008</v>
      </c>
      <c r="S6" s="4">
        <v>9.3800000000000008</v>
      </c>
      <c r="T6" s="4">
        <v>9.3800000000000008</v>
      </c>
      <c r="U6" s="4">
        <v>9.3800000000000008</v>
      </c>
      <c r="V6" s="4">
        <v>9.3800000000000008</v>
      </c>
      <c r="W6" s="4">
        <v>9.3800000000000008</v>
      </c>
      <c r="X6" s="4">
        <v>9.3800000000000008</v>
      </c>
      <c r="Y6" s="4">
        <v>9.3800000000000008</v>
      </c>
      <c r="Z6" s="4">
        <v>9.3800000000000008</v>
      </c>
      <c r="AA6" s="4">
        <v>9.3800000000000008</v>
      </c>
      <c r="AB6" s="4">
        <v>9.3800000000000008</v>
      </c>
      <c r="AC6" s="4">
        <v>9.3800000000000008</v>
      </c>
      <c r="AD6" s="4">
        <v>9.3800000000000008</v>
      </c>
      <c r="AE6" s="4">
        <v>9.3800000000000008</v>
      </c>
      <c r="AF6" s="4">
        <v>9.3800000000000008</v>
      </c>
      <c r="AG6" s="4">
        <v>9.3800000000000008</v>
      </c>
      <c r="AH6" s="4">
        <v>9.3800000000000008</v>
      </c>
      <c r="AI6" s="4">
        <v>9.3800000000000008</v>
      </c>
      <c r="AJ6" s="4">
        <v>9.3800000000000008</v>
      </c>
      <c r="AK6" s="4">
        <v>9.3800000000000008</v>
      </c>
      <c r="AL6" s="4">
        <v>9.3800000000000008</v>
      </c>
      <c r="AM6" s="4">
        <v>9.3800000000000008</v>
      </c>
      <c r="AN6" s="4">
        <v>9.3800000000000008</v>
      </c>
      <c r="AO6" s="4">
        <v>9.3800000000000008</v>
      </c>
      <c r="AP6" s="4">
        <v>9.3800000000000008</v>
      </c>
      <c r="AQ6" s="4">
        <v>9.3800000000000008</v>
      </c>
      <c r="AR6" s="4">
        <v>9.3800000000000008</v>
      </c>
      <c r="AS6" s="4">
        <v>9.3800000000000008</v>
      </c>
      <c r="AT6" s="4">
        <v>9.3800000000000008</v>
      </c>
      <c r="AU6" s="4">
        <v>9.3800000000000008</v>
      </c>
      <c r="AV6" s="4">
        <v>9.3800000000000008</v>
      </c>
      <c r="AW6" s="4">
        <v>9.3800000000000008</v>
      </c>
      <c r="AX6" s="4">
        <v>9.3800000000000008</v>
      </c>
      <c r="AY6" s="4">
        <v>9.3800000000000008</v>
      </c>
      <c r="AZ6" s="4">
        <v>9.3800000000000008</v>
      </c>
      <c r="BA6" s="4">
        <v>9.3800000000000008</v>
      </c>
      <c r="BB6" s="4">
        <v>9.3800000000000008</v>
      </c>
      <c r="BC6" s="4">
        <v>9.3800000000000008</v>
      </c>
      <c r="BD6" s="4">
        <v>9.3800000000000008</v>
      </c>
      <c r="BE6" s="4">
        <v>9.3800000000000008</v>
      </c>
      <c r="BF6" s="4">
        <v>9.3800000000000008</v>
      </c>
      <c r="BG6" s="4">
        <v>9.3800000000000008</v>
      </c>
      <c r="BH6" s="4">
        <v>9.3800000000000008</v>
      </c>
      <c r="BI6" s="4"/>
      <c r="BJ6" s="4"/>
      <c r="BK6" s="4"/>
    </row>
    <row r="7" spans="1:63" x14ac:dyDescent="0.35">
      <c r="A7" s="8" t="s">
        <v>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/>
      <c r="BJ7" s="4"/>
      <c r="BK7" s="4"/>
    </row>
    <row r="8" spans="1:63" x14ac:dyDescent="0.35">
      <c r="A8" s="8" t="s">
        <v>40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/>
      <c r="BJ8" s="4"/>
      <c r="BK8" s="4"/>
    </row>
    <row r="9" spans="1:63" x14ac:dyDescent="0.35">
      <c r="A9" s="6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1:63" x14ac:dyDescent="0.35">
      <c r="A10" s="8" t="s">
        <v>48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2.8</v>
      </c>
      <c r="BI10" s="4"/>
      <c r="BJ10" s="4"/>
      <c r="BK10" s="4"/>
    </row>
    <row r="11" spans="1:63" x14ac:dyDescent="0.35">
      <c r="A11" s="8" t="s">
        <v>49</v>
      </c>
      <c r="B11" s="4">
        <v>1.4</v>
      </c>
      <c r="C11" s="4">
        <v>1.4</v>
      </c>
      <c r="D11" s="4">
        <v>1.4</v>
      </c>
      <c r="E11" s="4">
        <v>1.4</v>
      </c>
      <c r="F11" s="4">
        <v>1.4</v>
      </c>
      <c r="G11" s="4">
        <v>1.4</v>
      </c>
      <c r="H11" s="4">
        <v>1.4</v>
      </c>
      <c r="I11" s="4">
        <v>1.4</v>
      </c>
      <c r="J11" s="4">
        <v>1.4</v>
      </c>
      <c r="K11" s="4">
        <v>1.4</v>
      </c>
      <c r="L11" s="4">
        <v>1.4</v>
      </c>
      <c r="M11" s="4">
        <v>1.4</v>
      </c>
      <c r="N11" s="4">
        <v>1.4</v>
      </c>
      <c r="O11" s="4">
        <v>1.4</v>
      </c>
      <c r="P11" s="4">
        <v>1.4</v>
      </c>
      <c r="Q11" s="4">
        <v>1.4</v>
      </c>
      <c r="R11" s="4">
        <v>1.4</v>
      </c>
      <c r="S11" s="4">
        <v>1.4</v>
      </c>
      <c r="T11" s="4">
        <v>1.4</v>
      </c>
      <c r="U11" s="4">
        <v>1.4</v>
      </c>
      <c r="V11" s="4">
        <v>1.4</v>
      </c>
      <c r="W11" s="4">
        <v>1.4</v>
      </c>
      <c r="X11" s="4">
        <v>1.4</v>
      </c>
      <c r="Y11" s="4">
        <v>1.4</v>
      </c>
      <c r="Z11" s="4">
        <v>1.4</v>
      </c>
      <c r="AA11" s="4">
        <v>1.4</v>
      </c>
      <c r="AB11" s="4">
        <v>1.4</v>
      </c>
      <c r="AC11" s="4">
        <v>1.4</v>
      </c>
      <c r="AD11" s="4">
        <v>1.4</v>
      </c>
      <c r="AE11" s="4">
        <v>1.4</v>
      </c>
      <c r="AF11" s="4">
        <v>1.4</v>
      </c>
      <c r="AG11" s="4">
        <v>1.4</v>
      </c>
      <c r="AH11" s="4">
        <v>1.4</v>
      </c>
      <c r="AI11" s="4">
        <v>1.4</v>
      </c>
      <c r="AJ11" s="4">
        <v>1.4</v>
      </c>
      <c r="AK11" s="4">
        <v>1.4</v>
      </c>
      <c r="AL11" s="4">
        <v>1.4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6</v>
      </c>
      <c r="AZ11" s="4">
        <v>6</v>
      </c>
      <c r="BA11" s="4">
        <v>6</v>
      </c>
      <c r="BB11" s="4">
        <v>6</v>
      </c>
      <c r="BC11" s="4">
        <v>6</v>
      </c>
      <c r="BD11" s="4">
        <v>6</v>
      </c>
      <c r="BE11" s="4">
        <v>6</v>
      </c>
      <c r="BF11" s="4">
        <v>6</v>
      </c>
      <c r="BG11" s="4">
        <v>6</v>
      </c>
      <c r="BH11" s="4">
        <v>6</v>
      </c>
      <c r="BI11" s="4"/>
      <c r="BJ11" s="4"/>
      <c r="BK11" s="4"/>
    </row>
    <row r="12" spans="1:63" x14ac:dyDescent="0.35">
      <c r="A12" s="8" t="s">
        <v>50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/>
      <c r="BJ12" s="4"/>
      <c r="BK12" s="4"/>
    </row>
    <row r="13" spans="1:63" x14ac:dyDescent="0.35">
      <c r="A13" s="8" t="s">
        <v>51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9.3800000000000008</v>
      </c>
      <c r="N13" s="4">
        <v>9.3800000000000008</v>
      </c>
      <c r="O13" s="4">
        <v>9.3800000000000008</v>
      </c>
      <c r="P13" s="4">
        <v>9.3800000000000008</v>
      </c>
      <c r="Q13" s="4">
        <v>9.3800000000000008</v>
      </c>
      <c r="R13" s="4">
        <v>9.3800000000000008</v>
      </c>
      <c r="S13" s="4">
        <v>9.3800000000000008</v>
      </c>
      <c r="T13" s="4">
        <v>9.3800000000000008</v>
      </c>
      <c r="U13" s="4">
        <v>9.3800000000000008</v>
      </c>
      <c r="V13" s="4">
        <v>9.3800000000000008</v>
      </c>
      <c r="W13" s="4">
        <v>9.3800000000000008</v>
      </c>
      <c r="X13" s="4">
        <v>9.3800000000000008</v>
      </c>
      <c r="Y13" s="4">
        <v>9.3800000000000008</v>
      </c>
      <c r="Z13" s="4">
        <v>9.3800000000000008</v>
      </c>
      <c r="AA13" s="4">
        <v>9.3800000000000008</v>
      </c>
      <c r="AB13" s="4">
        <v>9.3800000000000008</v>
      </c>
      <c r="AC13" s="4">
        <v>9.3800000000000008</v>
      </c>
      <c r="AD13" s="4">
        <v>9.3800000000000008</v>
      </c>
      <c r="AE13" s="4">
        <v>9.3800000000000008</v>
      </c>
      <c r="AF13" s="4">
        <v>9.3800000000000008</v>
      </c>
      <c r="AG13" s="4">
        <v>9.3800000000000008</v>
      </c>
      <c r="AH13" s="4">
        <v>9.3800000000000008</v>
      </c>
      <c r="AI13" s="4">
        <v>9.3800000000000008</v>
      </c>
      <c r="AJ13" s="4">
        <v>9.3800000000000008</v>
      </c>
      <c r="AK13" s="4">
        <v>9.3800000000000008</v>
      </c>
      <c r="AL13" s="4">
        <v>9.3800000000000008</v>
      </c>
      <c r="AM13" s="4">
        <v>9.3800000000000008</v>
      </c>
      <c r="AN13" s="4">
        <v>9.3800000000000008</v>
      </c>
      <c r="AO13" s="4">
        <v>9.3800000000000008</v>
      </c>
      <c r="AP13" s="4">
        <v>9.3800000000000008</v>
      </c>
      <c r="AQ13" s="4">
        <v>9.3800000000000008</v>
      </c>
      <c r="AR13" s="4">
        <v>9.3800000000000008</v>
      </c>
      <c r="AS13" s="4">
        <v>9.3800000000000008</v>
      </c>
      <c r="AT13" s="4">
        <v>9.3800000000000008</v>
      </c>
      <c r="AU13" s="4">
        <v>9.3800000000000008</v>
      </c>
      <c r="AV13" s="4">
        <v>9.3800000000000008</v>
      </c>
      <c r="AW13" s="4">
        <v>9.3800000000000008</v>
      </c>
      <c r="AX13" s="4">
        <v>9.3800000000000008</v>
      </c>
      <c r="AY13" s="4">
        <v>9.3800000000000008</v>
      </c>
      <c r="AZ13" s="4">
        <v>9.3800000000000008</v>
      </c>
      <c r="BA13" s="4">
        <v>9.3800000000000008</v>
      </c>
      <c r="BB13" s="4">
        <v>9.3800000000000008</v>
      </c>
      <c r="BC13" s="4">
        <v>9.3800000000000008</v>
      </c>
      <c r="BD13" s="4">
        <v>9.3800000000000008</v>
      </c>
      <c r="BE13" s="4">
        <v>9.3800000000000008</v>
      </c>
      <c r="BF13" s="4">
        <v>9.3800000000000008</v>
      </c>
      <c r="BG13" s="4">
        <v>9.3800000000000008</v>
      </c>
      <c r="BH13" s="4">
        <v>9.3800000000000008</v>
      </c>
      <c r="BI13" s="4"/>
      <c r="BJ13" s="4"/>
      <c r="BK13" s="4"/>
    </row>
    <row r="14" spans="1:63" x14ac:dyDescent="0.35">
      <c r="A14" s="8" t="s">
        <v>52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3.05</v>
      </c>
      <c r="P14" s="4">
        <v>3.05</v>
      </c>
      <c r="Q14" s="4">
        <v>3.05</v>
      </c>
      <c r="R14" s="4">
        <v>3.05</v>
      </c>
      <c r="S14" s="4">
        <v>3.05</v>
      </c>
      <c r="T14" s="4">
        <v>3.05</v>
      </c>
      <c r="U14" s="4">
        <v>3.05</v>
      </c>
      <c r="V14" s="4">
        <v>3.05</v>
      </c>
      <c r="W14" s="4">
        <v>3.05</v>
      </c>
      <c r="X14" s="4">
        <v>3.05</v>
      </c>
      <c r="Y14" s="4">
        <v>3.05</v>
      </c>
      <c r="Z14" s="4">
        <v>3.05</v>
      </c>
      <c r="AA14" s="4">
        <v>3.05</v>
      </c>
      <c r="AB14" s="4">
        <v>3.05</v>
      </c>
      <c r="AC14" s="4">
        <v>3.05</v>
      </c>
      <c r="AD14" s="4">
        <v>3.05</v>
      </c>
      <c r="AE14" s="4">
        <v>3.05</v>
      </c>
      <c r="AF14" s="4">
        <v>3.05</v>
      </c>
      <c r="AG14" s="4">
        <v>3.05</v>
      </c>
      <c r="AH14" s="4">
        <v>3.05</v>
      </c>
      <c r="AI14" s="4">
        <v>3.05</v>
      </c>
      <c r="AJ14" s="4">
        <v>3.05</v>
      </c>
      <c r="AK14" s="4">
        <v>3.05</v>
      </c>
      <c r="AL14" s="4">
        <v>3.05</v>
      </c>
      <c r="AM14" s="4">
        <v>3.05</v>
      </c>
      <c r="AN14" s="4">
        <v>3.05</v>
      </c>
      <c r="AO14" s="4">
        <v>3.05</v>
      </c>
      <c r="AP14" s="4">
        <v>3.05</v>
      </c>
      <c r="AQ14" s="4">
        <v>3.05</v>
      </c>
      <c r="AR14" s="4">
        <v>3.05</v>
      </c>
      <c r="AS14" s="4">
        <v>3.05</v>
      </c>
      <c r="AT14" s="4">
        <v>3.05</v>
      </c>
      <c r="AU14" s="4">
        <v>3.05</v>
      </c>
      <c r="AV14" s="4">
        <v>3.05</v>
      </c>
      <c r="AW14" s="4">
        <v>3.05</v>
      </c>
      <c r="AX14" s="4">
        <v>3.05</v>
      </c>
      <c r="AY14" s="4">
        <v>3.05</v>
      </c>
      <c r="AZ14" s="4">
        <v>3.05</v>
      </c>
      <c r="BA14" s="4">
        <v>3.05</v>
      </c>
      <c r="BB14" s="4">
        <v>3.05</v>
      </c>
      <c r="BC14" s="4">
        <v>3.05</v>
      </c>
      <c r="BD14" s="4">
        <v>3.05</v>
      </c>
      <c r="BE14" s="4">
        <v>3.05</v>
      </c>
      <c r="BF14" s="4">
        <v>3.05</v>
      </c>
      <c r="BG14" s="4">
        <v>3.05</v>
      </c>
      <c r="BH14" s="4">
        <v>3.05</v>
      </c>
      <c r="BI14" s="4"/>
      <c r="BJ14" s="4"/>
      <c r="BK14" s="4"/>
    </row>
    <row r="15" spans="1:63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8" spans="1:63" hidden="1" x14ac:dyDescent="0.35"/>
    <row r="19" spans="1:63" hidden="1" x14ac:dyDescent="0.35"/>
    <row r="20" spans="1:63" hidden="1" x14ac:dyDescent="0.35"/>
    <row r="21" spans="1:63" hidden="1" x14ac:dyDescent="0.35"/>
    <row r="22" spans="1:63" x14ac:dyDescent="0.35">
      <c r="A22" s="7" t="s">
        <v>34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1:63" x14ac:dyDescent="0.35">
      <c r="A23" s="7"/>
      <c r="B23" s="54">
        <v>1</v>
      </c>
      <c r="C23" s="54">
        <v>2</v>
      </c>
      <c r="D23" s="54">
        <v>3</v>
      </c>
      <c r="E23" s="54">
        <v>4</v>
      </c>
      <c r="F23" s="54">
        <v>5</v>
      </c>
      <c r="G23" s="54">
        <v>6</v>
      </c>
      <c r="H23" s="54">
        <v>7</v>
      </c>
      <c r="I23" s="54">
        <v>8</v>
      </c>
      <c r="J23" s="54">
        <v>9</v>
      </c>
      <c r="K23" s="54">
        <v>10</v>
      </c>
      <c r="L23" s="54">
        <v>11</v>
      </c>
      <c r="M23" s="54">
        <v>12</v>
      </c>
      <c r="N23" s="54">
        <v>13</v>
      </c>
      <c r="O23" s="54">
        <v>14</v>
      </c>
      <c r="P23" s="54">
        <v>15</v>
      </c>
      <c r="Q23" s="54">
        <v>16</v>
      </c>
      <c r="R23" s="54">
        <v>17</v>
      </c>
      <c r="S23" s="54">
        <v>18</v>
      </c>
      <c r="T23" s="54">
        <v>19</v>
      </c>
      <c r="U23" s="54">
        <v>20</v>
      </c>
      <c r="V23" s="54">
        <v>21</v>
      </c>
      <c r="W23" s="54">
        <v>22</v>
      </c>
      <c r="X23" s="54">
        <v>23</v>
      </c>
      <c r="Y23" s="54">
        <v>24</v>
      </c>
      <c r="Z23" s="54">
        <v>25</v>
      </c>
      <c r="AA23" s="54">
        <v>26</v>
      </c>
      <c r="AB23" s="54">
        <v>27</v>
      </c>
      <c r="AC23" s="54">
        <v>28</v>
      </c>
      <c r="AD23" s="54">
        <v>29</v>
      </c>
      <c r="AE23" s="54">
        <v>30</v>
      </c>
      <c r="AF23" s="54">
        <v>31</v>
      </c>
      <c r="AG23" s="54">
        <v>32</v>
      </c>
      <c r="AH23" s="54">
        <v>33</v>
      </c>
      <c r="AI23" s="54">
        <v>34</v>
      </c>
      <c r="AJ23" s="54">
        <v>35</v>
      </c>
      <c r="AK23" s="54">
        <v>36</v>
      </c>
      <c r="AL23" s="54">
        <v>37</v>
      </c>
      <c r="AM23" s="54">
        <v>38</v>
      </c>
      <c r="AN23" s="54">
        <v>39</v>
      </c>
      <c r="AO23" s="54">
        <v>40</v>
      </c>
      <c r="AP23" s="54">
        <v>41</v>
      </c>
      <c r="AQ23" s="54">
        <v>42</v>
      </c>
      <c r="AR23" s="54">
        <v>43</v>
      </c>
      <c r="AS23" s="54">
        <v>44</v>
      </c>
      <c r="AT23" s="54">
        <v>45</v>
      </c>
      <c r="AU23" s="54">
        <v>46</v>
      </c>
      <c r="AV23" s="54">
        <v>47</v>
      </c>
      <c r="AW23" s="54">
        <v>48</v>
      </c>
      <c r="AX23" s="54">
        <v>49</v>
      </c>
      <c r="AY23" s="54">
        <v>50</v>
      </c>
      <c r="AZ23" s="54">
        <v>51</v>
      </c>
      <c r="BA23" s="54">
        <v>52</v>
      </c>
      <c r="BB23" s="54">
        <v>1</v>
      </c>
      <c r="BC23" s="54">
        <v>2</v>
      </c>
      <c r="BD23" s="54">
        <v>3</v>
      </c>
      <c r="BE23" s="54">
        <v>4</v>
      </c>
      <c r="BF23" s="54">
        <v>5</v>
      </c>
      <c r="BG23" s="54">
        <v>6</v>
      </c>
      <c r="BH23" s="54">
        <v>7</v>
      </c>
      <c r="BI23" s="54">
        <v>8</v>
      </c>
      <c r="BJ23" s="54">
        <v>9</v>
      </c>
      <c r="BK23" s="54">
        <v>10</v>
      </c>
    </row>
    <row r="24" spans="1:63" x14ac:dyDescent="0.35">
      <c r="A24" s="59" t="s">
        <v>36</v>
      </c>
      <c r="B24" s="5">
        <f>1-(B4/B1)</f>
        <v>0.99899134790528232</v>
      </c>
      <c r="C24" s="5">
        <f t="shared" ref="C24:BA24" si="27">1-(C4/C1)</f>
        <v>0.99899134790528232</v>
      </c>
      <c r="D24" s="5">
        <f t="shared" si="27"/>
        <v>0.99899134790528232</v>
      </c>
      <c r="E24" s="5">
        <f t="shared" si="27"/>
        <v>0.99899134790528232</v>
      </c>
      <c r="F24" s="5">
        <f t="shared" si="27"/>
        <v>0.99899134790528232</v>
      </c>
      <c r="G24" s="5">
        <f t="shared" si="27"/>
        <v>0.99947290528233146</v>
      </c>
      <c r="H24" s="5">
        <f t="shared" si="27"/>
        <v>0.99947290528233146</v>
      </c>
      <c r="I24" s="5">
        <f t="shared" si="27"/>
        <v>0.99947290528233146</v>
      </c>
      <c r="J24" s="5">
        <f t="shared" si="27"/>
        <v>0.99947290528233146</v>
      </c>
      <c r="K24" s="5">
        <f t="shared" si="27"/>
        <v>0.99947146118721464</v>
      </c>
      <c r="L24" s="5">
        <f t="shared" si="27"/>
        <v>0.99947146118721464</v>
      </c>
      <c r="M24" s="5">
        <f t="shared" si="27"/>
        <v>0.9984006849315068</v>
      </c>
      <c r="N24" s="5">
        <f t="shared" si="27"/>
        <v>0.9984006849315068</v>
      </c>
      <c r="O24" s="5">
        <f t="shared" si="27"/>
        <v>0.9984006849315068</v>
      </c>
      <c r="P24" s="5">
        <f t="shared" si="27"/>
        <v>0.9984006849315068</v>
      </c>
      <c r="Q24" s="5">
        <f t="shared" si="27"/>
        <v>0.9984006849315068</v>
      </c>
      <c r="R24" s="5">
        <f t="shared" si="27"/>
        <v>0.9984006849315068</v>
      </c>
      <c r="S24" s="5">
        <f t="shared" si="27"/>
        <v>0.9984006849315068</v>
      </c>
      <c r="T24" s="5">
        <f t="shared" si="27"/>
        <v>0.9984006849315068</v>
      </c>
      <c r="U24" s="5">
        <f t="shared" si="27"/>
        <v>0.9984006849315068</v>
      </c>
      <c r="V24" s="5">
        <f t="shared" si="27"/>
        <v>0.9984006849315068</v>
      </c>
      <c r="W24" s="5">
        <f t="shared" si="27"/>
        <v>0.9984006849315068</v>
      </c>
      <c r="X24" s="5">
        <f t="shared" si="27"/>
        <v>0.9984006849315068</v>
      </c>
      <c r="Y24" s="5">
        <f t="shared" si="27"/>
        <v>0.9984006849315068</v>
      </c>
      <c r="Z24" s="5">
        <f t="shared" si="27"/>
        <v>0.9984006849315068</v>
      </c>
      <c r="AA24" s="5">
        <f t="shared" si="27"/>
        <v>0.9984006849315068</v>
      </c>
      <c r="AB24" s="5">
        <f t="shared" si="27"/>
        <v>0.9984006849315068</v>
      </c>
      <c r="AC24" s="5">
        <f t="shared" si="27"/>
        <v>0.9984006849315068</v>
      </c>
      <c r="AD24" s="5">
        <f t="shared" si="27"/>
        <v>0.9984006849315068</v>
      </c>
      <c r="AE24" s="5">
        <f t="shared" si="27"/>
        <v>0.9984006849315068</v>
      </c>
      <c r="AF24" s="5">
        <f t="shared" si="27"/>
        <v>0.9984006849315068</v>
      </c>
      <c r="AG24" s="5">
        <f t="shared" si="27"/>
        <v>0.9984006849315068</v>
      </c>
      <c r="AH24" s="5">
        <f t="shared" si="27"/>
        <v>0.9984006849315068</v>
      </c>
      <c r="AI24" s="5">
        <f t="shared" si="27"/>
        <v>0.9984006849315068</v>
      </c>
      <c r="AJ24" s="5">
        <f t="shared" si="27"/>
        <v>0.9984006849315068</v>
      </c>
      <c r="AK24" s="5">
        <f t="shared" si="27"/>
        <v>0.9984006849315068</v>
      </c>
      <c r="AL24" s="5">
        <f t="shared" si="27"/>
        <v>0.9984006849315068</v>
      </c>
      <c r="AM24" s="5">
        <f t="shared" si="27"/>
        <v>0.9984006849315068</v>
      </c>
      <c r="AN24" s="5">
        <f t="shared" si="27"/>
        <v>0.9984006849315068</v>
      </c>
      <c r="AO24" s="5">
        <f t="shared" si="27"/>
        <v>0.9984006849315068</v>
      </c>
      <c r="AP24" s="5">
        <f t="shared" si="27"/>
        <v>0.9984006849315068</v>
      </c>
      <c r="AQ24" s="5">
        <f t="shared" si="27"/>
        <v>0.9984006849315068</v>
      </c>
      <c r="AR24" s="5">
        <f t="shared" si="27"/>
        <v>0.9984006849315068</v>
      </c>
      <c r="AS24" s="5">
        <f t="shared" si="27"/>
        <v>0.9984006849315068</v>
      </c>
      <c r="AT24" s="5">
        <f t="shared" si="27"/>
        <v>0.99892922374429227</v>
      </c>
      <c r="AU24" s="5">
        <f t="shared" si="27"/>
        <v>0.99892922374429227</v>
      </c>
      <c r="AV24" s="5">
        <f t="shared" si="27"/>
        <v>0.99892922374429227</v>
      </c>
      <c r="AW24" s="5">
        <f t="shared" si="27"/>
        <v>0.99892922374429227</v>
      </c>
      <c r="AX24" s="5">
        <f t="shared" si="27"/>
        <v>0.99892922374429227</v>
      </c>
      <c r="AY24" s="5">
        <f t="shared" si="27"/>
        <v>0.99892922374429227</v>
      </c>
      <c r="AZ24" s="5">
        <f t="shared" si="27"/>
        <v>0.99892922374429227</v>
      </c>
      <c r="BA24" s="5">
        <f t="shared" si="27"/>
        <v>0.99892922374429227</v>
      </c>
      <c r="BB24" s="5">
        <f t="shared" ref="BB24:BG24" si="28">1-(BB4/BB1)</f>
        <v>0.99892922374429227</v>
      </c>
      <c r="BC24" s="5">
        <f t="shared" si="28"/>
        <v>0.99892922374429227</v>
      </c>
      <c r="BD24" s="5">
        <f t="shared" si="28"/>
        <v>0.99892922374429227</v>
      </c>
      <c r="BE24" s="5">
        <f t="shared" si="28"/>
        <v>0.99892922374429227</v>
      </c>
      <c r="BF24" s="5">
        <f t="shared" si="28"/>
        <v>0.99892922374429227</v>
      </c>
      <c r="BG24" s="5">
        <f t="shared" si="28"/>
        <v>0.99892922374429227</v>
      </c>
      <c r="BH24" s="5">
        <f>1-(BH4/BH1)</f>
        <v>0.99892922374429227</v>
      </c>
      <c r="BI24" s="5">
        <f>1-(BI4/BI1)</f>
        <v>1</v>
      </c>
      <c r="BJ24" s="5">
        <f>1-(BJ4/BJ1)</f>
        <v>1</v>
      </c>
      <c r="BK24" s="5">
        <f>1-(BK4/BK1)</f>
        <v>1</v>
      </c>
    </row>
    <row r="25" spans="1:63" x14ac:dyDescent="0.35">
      <c r="A25" s="8" t="s">
        <v>37</v>
      </c>
      <c r="B25" s="5">
        <f>1-(B5/B1)</f>
        <v>0.99947290528233146</v>
      </c>
      <c r="C25" s="5">
        <f t="shared" ref="C25:BA25" si="29">1-(C5/C1)</f>
        <v>0.99947290528233146</v>
      </c>
      <c r="D25" s="5">
        <f t="shared" si="29"/>
        <v>0.99947290528233146</v>
      </c>
      <c r="E25" s="5">
        <f t="shared" si="29"/>
        <v>0.99947290528233146</v>
      </c>
      <c r="F25" s="5">
        <f t="shared" si="29"/>
        <v>0.99947290528233146</v>
      </c>
      <c r="G25" s="5">
        <f t="shared" si="29"/>
        <v>0.99947290528233146</v>
      </c>
      <c r="H25" s="5">
        <f t="shared" si="29"/>
        <v>0.99947290528233146</v>
      </c>
      <c r="I25" s="5">
        <f t="shared" si="29"/>
        <v>0.99947290528233146</v>
      </c>
      <c r="J25" s="5">
        <f t="shared" si="29"/>
        <v>0.99947290528233146</v>
      </c>
      <c r="K25" s="5">
        <f t="shared" si="29"/>
        <v>0.99947146118721464</v>
      </c>
      <c r="L25" s="5">
        <f t="shared" si="29"/>
        <v>0.99947146118721464</v>
      </c>
      <c r="M25" s="5">
        <f t="shared" si="29"/>
        <v>0.99947146118721464</v>
      </c>
      <c r="N25" s="5">
        <f t="shared" si="29"/>
        <v>0.99947146118721464</v>
      </c>
      <c r="O25" s="5">
        <f t="shared" si="29"/>
        <v>0.99947146118721464</v>
      </c>
      <c r="P25" s="5">
        <f t="shared" si="29"/>
        <v>0.99947146118721464</v>
      </c>
      <c r="Q25" s="5">
        <f t="shared" si="29"/>
        <v>0.99947146118721464</v>
      </c>
      <c r="R25" s="5">
        <f t="shared" si="29"/>
        <v>0.99947146118721464</v>
      </c>
      <c r="S25" s="5">
        <f t="shared" si="29"/>
        <v>0.99947146118721464</v>
      </c>
      <c r="T25" s="5">
        <f t="shared" si="29"/>
        <v>0.99947146118721464</v>
      </c>
      <c r="U25" s="5">
        <f t="shared" si="29"/>
        <v>0.99947146118721464</v>
      </c>
      <c r="V25" s="5">
        <f t="shared" si="29"/>
        <v>0.99947146118721464</v>
      </c>
      <c r="W25" s="5">
        <f t="shared" si="29"/>
        <v>0.99947146118721464</v>
      </c>
      <c r="X25" s="5">
        <f t="shared" si="29"/>
        <v>0.99947146118721464</v>
      </c>
      <c r="Y25" s="5">
        <f t="shared" si="29"/>
        <v>0.99947146118721464</v>
      </c>
      <c r="Z25" s="5">
        <f t="shared" si="29"/>
        <v>0.99947146118721464</v>
      </c>
      <c r="AA25" s="5">
        <f t="shared" si="29"/>
        <v>0.99947146118721464</v>
      </c>
      <c r="AB25" s="5">
        <f t="shared" si="29"/>
        <v>0.99947146118721464</v>
      </c>
      <c r="AC25" s="5">
        <f t="shared" si="29"/>
        <v>0.99947146118721464</v>
      </c>
      <c r="AD25" s="5">
        <f t="shared" si="29"/>
        <v>0.99947146118721464</v>
      </c>
      <c r="AE25" s="5">
        <f t="shared" si="29"/>
        <v>0.99947146118721464</v>
      </c>
      <c r="AF25" s="5">
        <f t="shared" si="29"/>
        <v>0.99947146118721464</v>
      </c>
      <c r="AG25" s="5">
        <f t="shared" si="29"/>
        <v>0.99947146118721464</v>
      </c>
      <c r="AH25" s="5">
        <f t="shared" si="29"/>
        <v>0.99947146118721464</v>
      </c>
      <c r="AI25" s="5">
        <f t="shared" si="29"/>
        <v>0.99947146118721464</v>
      </c>
      <c r="AJ25" s="5">
        <f t="shared" si="29"/>
        <v>0.99947146118721464</v>
      </c>
      <c r="AK25" s="5">
        <f t="shared" si="29"/>
        <v>0.99947146118721464</v>
      </c>
      <c r="AL25" s="5">
        <f t="shared" si="29"/>
        <v>0.99947146118721464</v>
      </c>
      <c r="AM25" s="5">
        <f t="shared" si="29"/>
        <v>0.99947146118721464</v>
      </c>
      <c r="AN25" s="5">
        <f t="shared" si="29"/>
        <v>0.99947146118721464</v>
      </c>
      <c r="AO25" s="5">
        <f t="shared" si="29"/>
        <v>0.99947146118721464</v>
      </c>
      <c r="AP25" s="5">
        <f t="shared" si="29"/>
        <v>0.99947146118721464</v>
      </c>
      <c r="AQ25" s="5">
        <f t="shared" si="29"/>
        <v>0.99947146118721464</v>
      </c>
      <c r="AR25" s="5">
        <f t="shared" si="29"/>
        <v>0.99947146118721464</v>
      </c>
      <c r="AS25" s="5">
        <f t="shared" si="29"/>
        <v>0.99947146118721464</v>
      </c>
      <c r="AT25" s="5">
        <f t="shared" si="29"/>
        <v>1</v>
      </c>
      <c r="AU25" s="5">
        <f t="shared" si="29"/>
        <v>1</v>
      </c>
      <c r="AV25" s="5">
        <f t="shared" si="29"/>
        <v>1</v>
      </c>
      <c r="AW25" s="5">
        <f t="shared" si="29"/>
        <v>1</v>
      </c>
      <c r="AX25" s="5">
        <f t="shared" si="29"/>
        <v>1</v>
      </c>
      <c r="AY25" s="5">
        <f t="shared" si="29"/>
        <v>1</v>
      </c>
      <c r="AZ25" s="5">
        <f t="shared" si="29"/>
        <v>1</v>
      </c>
      <c r="BA25" s="5">
        <f t="shared" si="29"/>
        <v>1</v>
      </c>
      <c r="BB25" s="5">
        <f t="shared" ref="BB25:BG25" si="30">1-(BB5/BB1)</f>
        <v>1</v>
      </c>
      <c r="BC25" s="5">
        <f t="shared" si="30"/>
        <v>1</v>
      </c>
      <c r="BD25" s="5">
        <f t="shared" si="30"/>
        <v>1</v>
      </c>
      <c r="BE25" s="5">
        <f t="shared" si="30"/>
        <v>1</v>
      </c>
      <c r="BF25" s="5">
        <f t="shared" si="30"/>
        <v>1</v>
      </c>
      <c r="BG25" s="5">
        <f t="shared" si="30"/>
        <v>1</v>
      </c>
      <c r="BH25" s="5">
        <f>1-(BH5/BH1)</f>
        <v>1</v>
      </c>
      <c r="BI25" s="5">
        <f>1-(BI5/BI1)</f>
        <v>1</v>
      </c>
      <c r="BJ25" s="5">
        <f>1-(BJ5/BJ1)</f>
        <v>1</v>
      </c>
      <c r="BK25" s="5">
        <f>1-(BK5/BK1)</f>
        <v>1</v>
      </c>
    </row>
    <row r="26" spans="1:63" x14ac:dyDescent="0.35">
      <c r="A26" s="8" t="s">
        <v>38</v>
      </c>
      <c r="B26" s="5">
        <f>1-(B6/B1)</f>
        <v>0.99951844262295086</v>
      </c>
      <c r="C26" s="5">
        <f t="shared" ref="C26:BA26" si="31">1-(C6/C1)</f>
        <v>0.99951844262295086</v>
      </c>
      <c r="D26" s="5">
        <f t="shared" si="31"/>
        <v>0.99951844262295086</v>
      </c>
      <c r="E26" s="5">
        <f t="shared" si="31"/>
        <v>0.99951844262295086</v>
      </c>
      <c r="F26" s="5">
        <f t="shared" si="31"/>
        <v>0.99951844262295086</v>
      </c>
      <c r="G26" s="5">
        <f t="shared" si="31"/>
        <v>1</v>
      </c>
      <c r="H26" s="5">
        <f t="shared" si="31"/>
        <v>1</v>
      </c>
      <c r="I26" s="5">
        <f t="shared" si="31"/>
        <v>1</v>
      </c>
      <c r="J26" s="5">
        <f t="shared" si="31"/>
        <v>1</v>
      </c>
      <c r="K26" s="5">
        <f t="shared" si="31"/>
        <v>1</v>
      </c>
      <c r="L26" s="5">
        <f t="shared" si="31"/>
        <v>1</v>
      </c>
      <c r="M26" s="5">
        <f t="shared" si="31"/>
        <v>0.99892922374429227</v>
      </c>
      <c r="N26" s="5">
        <f t="shared" si="31"/>
        <v>0.99892922374429227</v>
      </c>
      <c r="O26" s="5">
        <f t="shared" si="31"/>
        <v>0.99892922374429227</v>
      </c>
      <c r="P26" s="5">
        <f t="shared" si="31"/>
        <v>0.99892922374429227</v>
      </c>
      <c r="Q26" s="5">
        <f t="shared" si="31"/>
        <v>0.99892922374429227</v>
      </c>
      <c r="R26" s="5">
        <f t="shared" si="31"/>
        <v>0.99892922374429227</v>
      </c>
      <c r="S26" s="5">
        <f t="shared" si="31"/>
        <v>0.99892922374429227</v>
      </c>
      <c r="T26" s="5">
        <f t="shared" si="31"/>
        <v>0.99892922374429227</v>
      </c>
      <c r="U26" s="5">
        <f t="shared" si="31"/>
        <v>0.99892922374429227</v>
      </c>
      <c r="V26" s="5">
        <f t="shared" si="31"/>
        <v>0.99892922374429227</v>
      </c>
      <c r="W26" s="5">
        <f t="shared" si="31"/>
        <v>0.99892922374429227</v>
      </c>
      <c r="X26" s="5">
        <f t="shared" si="31"/>
        <v>0.99892922374429227</v>
      </c>
      <c r="Y26" s="5">
        <f t="shared" si="31"/>
        <v>0.99892922374429227</v>
      </c>
      <c r="Z26" s="5">
        <f t="shared" si="31"/>
        <v>0.99892922374429227</v>
      </c>
      <c r="AA26" s="5">
        <f t="shared" si="31"/>
        <v>0.99892922374429227</v>
      </c>
      <c r="AB26" s="5">
        <f t="shared" si="31"/>
        <v>0.99892922374429227</v>
      </c>
      <c r="AC26" s="5">
        <f t="shared" si="31"/>
        <v>0.99892922374429227</v>
      </c>
      <c r="AD26" s="5">
        <f t="shared" si="31"/>
        <v>0.99892922374429227</v>
      </c>
      <c r="AE26" s="5">
        <f t="shared" si="31"/>
        <v>0.99892922374429227</v>
      </c>
      <c r="AF26" s="5">
        <f t="shared" si="31"/>
        <v>0.99892922374429227</v>
      </c>
      <c r="AG26" s="5">
        <f t="shared" si="31"/>
        <v>0.99892922374429227</v>
      </c>
      <c r="AH26" s="5">
        <f t="shared" si="31"/>
        <v>0.99892922374429227</v>
      </c>
      <c r="AI26" s="5">
        <f t="shared" si="31"/>
        <v>0.99892922374429227</v>
      </c>
      <c r="AJ26" s="5">
        <f t="shared" si="31"/>
        <v>0.99892922374429227</v>
      </c>
      <c r="AK26" s="5">
        <f t="shared" si="31"/>
        <v>0.99892922374429227</v>
      </c>
      <c r="AL26" s="5">
        <f t="shared" si="31"/>
        <v>0.99892922374429227</v>
      </c>
      <c r="AM26" s="5">
        <f t="shared" si="31"/>
        <v>0.99892922374429227</v>
      </c>
      <c r="AN26" s="5">
        <f t="shared" si="31"/>
        <v>0.99892922374429227</v>
      </c>
      <c r="AO26" s="5">
        <f t="shared" si="31"/>
        <v>0.99892922374429227</v>
      </c>
      <c r="AP26" s="5">
        <f t="shared" si="31"/>
        <v>0.99892922374429227</v>
      </c>
      <c r="AQ26" s="5">
        <f t="shared" si="31"/>
        <v>0.99892922374429227</v>
      </c>
      <c r="AR26" s="5">
        <f t="shared" si="31"/>
        <v>0.99892922374429227</v>
      </c>
      <c r="AS26" s="5">
        <f t="shared" si="31"/>
        <v>0.99892922374429227</v>
      </c>
      <c r="AT26" s="5">
        <f t="shared" si="31"/>
        <v>0.99892922374429227</v>
      </c>
      <c r="AU26" s="5">
        <f t="shared" si="31"/>
        <v>0.99892922374429227</v>
      </c>
      <c r="AV26" s="5">
        <f t="shared" si="31"/>
        <v>0.99892922374429227</v>
      </c>
      <c r="AW26" s="5">
        <f t="shared" si="31"/>
        <v>0.99892922374429227</v>
      </c>
      <c r="AX26" s="5">
        <f t="shared" si="31"/>
        <v>0.99892922374429227</v>
      </c>
      <c r="AY26" s="5">
        <f t="shared" si="31"/>
        <v>0.99892922374429227</v>
      </c>
      <c r="AZ26" s="5">
        <f t="shared" si="31"/>
        <v>0.99892922374429227</v>
      </c>
      <c r="BA26" s="5">
        <f t="shared" si="31"/>
        <v>0.99892922374429227</v>
      </c>
      <c r="BB26" s="5">
        <f t="shared" ref="BB26:BG26" si="32">1-(BB6/BB1)</f>
        <v>0.99892922374429227</v>
      </c>
      <c r="BC26" s="5">
        <f t="shared" si="32"/>
        <v>0.99892922374429227</v>
      </c>
      <c r="BD26" s="5">
        <f t="shared" si="32"/>
        <v>0.99892922374429227</v>
      </c>
      <c r="BE26" s="5">
        <f t="shared" si="32"/>
        <v>0.99892922374429227</v>
      </c>
      <c r="BF26" s="5">
        <f t="shared" si="32"/>
        <v>0.99892922374429227</v>
      </c>
      <c r="BG26" s="5">
        <f t="shared" si="32"/>
        <v>0.99892922374429227</v>
      </c>
      <c r="BH26" s="5">
        <f>1-(BH6/BH1)</f>
        <v>0.99892922374429227</v>
      </c>
      <c r="BI26" s="5">
        <f>1-(BI6/BI1)</f>
        <v>1</v>
      </c>
      <c r="BJ26" s="5">
        <f>1-(BJ6/BJ1)</f>
        <v>1</v>
      </c>
      <c r="BK26" s="5">
        <f>1-(BK6/BK1)</f>
        <v>1</v>
      </c>
    </row>
    <row r="27" spans="1:63" x14ac:dyDescent="0.35">
      <c r="A27" s="8" t="s">
        <v>39</v>
      </c>
      <c r="B27" s="5">
        <f>1-(B7/B1)</f>
        <v>1</v>
      </c>
      <c r="C27" s="5">
        <f t="shared" ref="C27:BA27" si="33">1-(C7/C1)</f>
        <v>1</v>
      </c>
      <c r="D27" s="5">
        <f t="shared" si="33"/>
        <v>1</v>
      </c>
      <c r="E27" s="5">
        <f t="shared" si="33"/>
        <v>1</v>
      </c>
      <c r="F27" s="5">
        <f t="shared" si="33"/>
        <v>1</v>
      </c>
      <c r="G27" s="5">
        <f t="shared" si="33"/>
        <v>1</v>
      </c>
      <c r="H27" s="5">
        <f t="shared" si="33"/>
        <v>1</v>
      </c>
      <c r="I27" s="5">
        <f t="shared" si="33"/>
        <v>1</v>
      </c>
      <c r="J27" s="5">
        <f t="shared" si="33"/>
        <v>1</v>
      </c>
      <c r="K27" s="5">
        <f t="shared" si="33"/>
        <v>1</v>
      </c>
      <c r="L27" s="5">
        <f t="shared" si="33"/>
        <v>1</v>
      </c>
      <c r="M27" s="5">
        <f t="shared" si="33"/>
        <v>1</v>
      </c>
      <c r="N27" s="5">
        <f t="shared" si="33"/>
        <v>1</v>
      </c>
      <c r="O27" s="5">
        <f t="shared" si="33"/>
        <v>1</v>
      </c>
      <c r="P27" s="5">
        <f t="shared" si="33"/>
        <v>1</v>
      </c>
      <c r="Q27" s="5">
        <f t="shared" si="33"/>
        <v>1</v>
      </c>
      <c r="R27" s="5">
        <f t="shared" si="33"/>
        <v>1</v>
      </c>
      <c r="S27" s="5">
        <f t="shared" si="33"/>
        <v>1</v>
      </c>
      <c r="T27" s="5">
        <f t="shared" si="33"/>
        <v>1</v>
      </c>
      <c r="U27" s="5">
        <f t="shared" si="33"/>
        <v>1</v>
      </c>
      <c r="V27" s="5">
        <f t="shared" si="33"/>
        <v>1</v>
      </c>
      <c r="W27" s="5">
        <f t="shared" si="33"/>
        <v>1</v>
      </c>
      <c r="X27" s="5">
        <f t="shared" si="33"/>
        <v>1</v>
      </c>
      <c r="Y27" s="5">
        <f t="shared" si="33"/>
        <v>1</v>
      </c>
      <c r="Z27" s="5">
        <f t="shared" si="33"/>
        <v>1</v>
      </c>
      <c r="AA27" s="5">
        <f t="shared" si="33"/>
        <v>1</v>
      </c>
      <c r="AB27" s="5">
        <f t="shared" si="33"/>
        <v>1</v>
      </c>
      <c r="AC27" s="5">
        <f t="shared" si="33"/>
        <v>1</v>
      </c>
      <c r="AD27" s="5">
        <f t="shared" si="33"/>
        <v>1</v>
      </c>
      <c r="AE27" s="5">
        <f t="shared" si="33"/>
        <v>1</v>
      </c>
      <c r="AF27" s="5">
        <f t="shared" si="33"/>
        <v>1</v>
      </c>
      <c r="AG27" s="5">
        <f t="shared" si="33"/>
        <v>1</v>
      </c>
      <c r="AH27" s="5">
        <f t="shared" si="33"/>
        <v>1</v>
      </c>
      <c r="AI27" s="5">
        <f t="shared" si="33"/>
        <v>1</v>
      </c>
      <c r="AJ27" s="5">
        <f t="shared" si="33"/>
        <v>1</v>
      </c>
      <c r="AK27" s="5">
        <f t="shared" si="33"/>
        <v>1</v>
      </c>
      <c r="AL27" s="5">
        <f t="shared" si="33"/>
        <v>1</v>
      </c>
      <c r="AM27" s="5">
        <f t="shared" si="33"/>
        <v>1</v>
      </c>
      <c r="AN27" s="5">
        <f t="shared" si="33"/>
        <v>1</v>
      </c>
      <c r="AO27" s="5">
        <f t="shared" si="33"/>
        <v>1</v>
      </c>
      <c r="AP27" s="5">
        <f t="shared" si="33"/>
        <v>1</v>
      </c>
      <c r="AQ27" s="5">
        <f t="shared" si="33"/>
        <v>1</v>
      </c>
      <c r="AR27" s="5">
        <f t="shared" si="33"/>
        <v>1</v>
      </c>
      <c r="AS27" s="5">
        <f t="shared" si="33"/>
        <v>1</v>
      </c>
      <c r="AT27" s="5">
        <f t="shared" si="33"/>
        <v>1</v>
      </c>
      <c r="AU27" s="5">
        <f t="shared" si="33"/>
        <v>1</v>
      </c>
      <c r="AV27" s="5">
        <f t="shared" si="33"/>
        <v>1</v>
      </c>
      <c r="AW27" s="5">
        <f t="shared" si="33"/>
        <v>1</v>
      </c>
      <c r="AX27" s="5">
        <f t="shared" si="33"/>
        <v>1</v>
      </c>
      <c r="AY27" s="5">
        <f t="shared" si="33"/>
        <v>1</v>
      </c>
      <c r="AZ27" s="5">
        <f t="shared" si="33"/>
        <v>1</v>
      </c>
      <c r="BA27" s="5">
        <f t="shared" si="33"/>
        <v>1</v>
      </c>
      <c r="BB27" s="5">
        <f t="shared" ref="BB27:BG27" si="34">1-(BB7/BB1)</f>
        <v>1</v>
      </c>
      <c r="BC27" s="5">
        <f t="shared" si="34"/>
        <v>1</v>
      </c>
      <c r="BD27" s="5">
        <f t="shared" si="34"/>
        <v>1</v>
      </c>
      <c r="BE27" s="5">
        <f t="shared" si="34"/>
        <v>1</v>
      </c>
      <c r="BF27" s="5">
        <f t="shared" si="34"/>
        <v>1</v>
      </c>
      <c r="BG27" s="5">
        <f t="shared" si="34"/>
        <v>1</v>
      </c>
      <c r="BH27" s="5">
        <f>1-(BH7/BH1)</f>
        <v>1</v>
      </c>
      <c r="BI27" s="5">
        <f>1-(BI7/BI1)</f>
        <v>1</v>
      </c>
      <c r="BJ27" s="5">
        <f>1-(BJ7/BJ1)</f>
        <v>1</v>
      </c>
      <c r="BK27" s="5">
        <f>1-(BK7/BK1)</f>
        <v>1</v>
      </c>
    </row>
    <row r="28" spans="1:63" x14ac:dyDescent="0.35">
      <c r="A28" s="8" t="s">
        <v>40</v>
      </c>
      <c r="B28" s="5">
        <f>1-(B8/B1)</f>
        <v>1</v>
      </c>
      <c r="C28" s="5">
        <f t="shared" ref="C28:BA28" si="35">1-(C8/C1)</f>
        <v>1</v>
      </c>
      <c r="D28" s="5">
        <f t="shared" si="35"/>
        <v>1</v>
      </c>
      <c r="E28" s="5">
        <f t="shared" si="35"/>
        <v>1</v>
      </c>
      <c r="F28" s="5">
        <f t="shared" si="35"/>
        <v>1</v>
      </c>
      <c r="G28" s="5">
        <f t="shared" si="35"/>
        <v>1</v>
      </c>
      <c r="H28" s="5">
        <f t="shared" si="35"/>
        <v>1</v>
      </c>
      <c r="I28" s="5">
        <f t="shared" si="35"/>
        <v>1</v>
      </c>
      <c r="J28" s="5">
        <f t="shared" si="35"/>
        <v>1</v>
      </c>
      <c r="K28" s="5">
        <f t="shared" si="35"/>
        <v>1</v>
      </c>
      <c r="L28" s="5">
        <f t="shared" si="35"/>
        <v>1</v>
      </c>
      <c r="M28" s="5">
        <f t="shared" si="35"/>
        <v>1</v>
      </c>
      <c r="N28" s="5">
        <f t="shared" si="35"/>
        <v>1</v>
      </c>
      <c r="O28" s="5">
        <f t="shared" si="35"/>
        <v>1</v>
      </c>
      <c r="P28" s="5">
        <f t="shared" si="35"/>
        <v>1</v>
      </c>
      <c r="Q28" s="5">
        <f t="shared" si="35"/>
        <v>1</v>
      </c>
      <c r="R28" s="5">
        <f t="shared" si="35"/>
        <v>1</v>
      </c>
      <c r="S28" s="5">
        <f t="shared" si="35"/>
        <v>1</v>
      </c>
      <c r="T28" s="5">
        <f t="shared" si="35"/>
        <v>1</v>
      </c>
      <c r="U28" s="5">
        <f t="shared" si="35"/>
        <v>1</v>
      </c>
      <c r="V28" s="5">
        <f t="shared" si="35"/>
        <v>1</v>
      </c>
      <c r="W28" s="5">
        <f t="shared" si="35"/>
        <v>1</v>
      </c>
      <c r="X28" s="5">
        <f t="shared" si="35"/>
        <v>1</v>
      </c>
      <c r="Y28" s="5">
        <f t="shared" si="35"/>
        <v>1</v>
      </c>
      <c r="Z28" s="5">
        <f t="shared" si="35"/>
        <v>1</v>
      </c>
      <c r="AA28" s="5">
        <f t="shared" si="35"/>
        <v>1</v>
      </c>
      <c r="AB28" s="5">
        <f t="shared" si="35"/>
        <v>1</v>
      </c>
      <c r="AC28" s="5">
        <f t="shared" si="35"/>
        <v>1</v>
      </c>
      <c r="AD28" s="5">
        <f t="shared" si="35"/>
        <v>1</v>
      </c>
      <c r="AE28" s="5">
        <f t="shared" si="35"/>
        <v>1</v>
      </c>
      <c r="AF28" s="5">
        <f t="shared" si="35"/>
        <v>1</v>
      </c>
      <c r="AG28" s="5">
        <f t="shared" si="35"/>
        <v>1</v>
      </c>
      <c r="AH28" s="5">
        <f t="shared" si="35"/>
        <v>1</v>
      </c>
      <c r="AI28" s="5">
        <f t="shared" si="35"/>
        <v>1</v>
      </c>
      <c r="AJ28" s="5">
        <f t="shared" si="35"/>
        <v>1</v>
      </c>
      <c r="AK28" s="5">
        <f t="shared" si="35"/>
        <v>1</v>
      </c>
      <c r="AL28" s="5">
        <f t="shared" si="35"/>
        <v>1</v>
      </c>
      <c r="AM28" s="5">
        <f t="shared" si="35"/>
        <v>1</v>
      </c>
      <c r="AN28" s="5">
        <f t="shared" si="35"/>
        <v>1</v>
      </c>
      <c r="AO28" s="5">
        <f t="shared" si="35"/>
        <v>1</v>
      </c>
      <c r="AP28" s="5">
        <f t="shared" si="35"/>
        <v>1</v>
      </c>
      <c r="AQ28" s="5">
        <f t="shared" si="35"/>
        <v>1</v>
      </c>
      <c r="AR28" s="5">
        <f t="shared" si="35"/>
        <v>1</v>
      </c>
      <c r="AS28" s="5">
        <f t="shared" si="35"/>
        <v>1</v>
      </c>
      <c r="AT28" s="5">
        <f t="shared" si="35"/>
        <v>1</v>
      </c>
      <c r="AU28" s="5">
        <f t="shared" si="35"/>
        <v>1</v>
      </c>
      <c r="AV28" s="5">
        <f t="shared" si="35"/>
        <v>1</v>
      </c>
      <c r="AW28" s="5">
        <f t="shared" si="35"/>
        <v>1</v>
      </c>
      <c r="AX28" s="5">
        <f t="shared" si="35"/>
        <v>1</v>
      </c>
      <c r="AY28" s="5">
        <f t="shared" si="35"/>
        <v>1</v>
      </c>
      <c r="AZ28" s="5">
        <f t="shared" si="35"/>
        <v>1</v>
      </c>
      <c r="BA28" s="5">
        <f t="shared" si="35"/>
        <v>1</v>
      </c>
      <c r="BB28" s="5">
        <f t="shared" ref="BB28:BG28" si="36">1-(BB8/BB1)</f>
        <v>1</v>
      </c>
      <c r="BC28" s="5">
        <f t="shared" si="36"/>
        <v>1</v>
      </c>
      <c r="BD28" s="5">
        <f t="shared" si="36"/>
        <v>1</v>
      </c>
      <c r="BE28" s="5">
        <f t="shared" si="36"/>
        <v>1</v>
      </c>
      <c r="BF28" s="5">
        <f t="shared" si="36"/>
        <v>1</v>
      </c>
      <c r="BG28" s="5">
        <f t="shared" si="36"/>
        <v>1</v>
      </c>
      <c r="BH28" s="5">
        <f>1-(BH8/BH1)</f>
        <v>1</v>
      </c>
      <c r="BI28" s="5">
        <f>1-(BI8/BI1)</f>
        <v>1</v>
      </c>
      <c r="BJ28" s="5">
        <f>1-(BJ8/BJ1)</f>
        <v>1</v>
      </c>
      <c r="BK28" s="5">
        <f>1-(BK8/BK1)</f>
        <v>1</v>
      </c>
    </row>
    <row r="29" spans="1:63" x14ac:dyDescent="0.35">
      <c r="A29" s="6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1:63" x14ac:dyDescent="0.35">
      <c r="A30" s="8" t="s">
        <v>48</v>
      </c>
      <c r="B30" s="5">
        <f>1-(B10/B1)</f>
        <v>1</v>
      </c>
      <c r="C30" s="5">
        <f t="shared" ref="C30:BA30" si="37">1-(C10/C1)</f>
        <v>1</v>
      </c>
      <c r="D30" s="5">
        <f t="shared" si="37"/>
        <v>1</v>
      </c>
      <c r="E30" s="5">
        <f t="shared" si="37"/>
        <v>1</v>
      </c>
      <c r="F30" s="5">
        <f t="shared" si="37"/>
        <v>1</v>
      </c>
      <c r="G30" s="5">
        <f t="shared" si="37"/>
        <v>1</v>
      </c>
      <c r="H30" s="5">
        <f t="shared" si="37"/>
        <v>1</v>
      </c>
      <c r="I30" s="5">
        <f t="shared" si="37"/>
        <v>1</v>
      </c>
      <c r="J30" s="5">
        <f t="shared" si="37"/>
        <v>1</v>
      </c>
      <c r="K30" s="5">
        <f t="shared" si="37"/>
        <v>1</v>
      </c>
      <c r="L30" s="5">
        <f t="shared" si="37"/>
        <v>1</v>
      </c>
      <c r="M30" s="5">
        <f t="shared" si="37"/>
        <v>1</v>
      </c>
      <c r="N30" s="5">
        <f t="shared" si="37"/>
        <v>1</v>
      </c>
      <c r="O30" s="5">
        <f t="shared" si="37"/>
        <v>1</v>
      </c>
      <c r="P30" s="5">
        <f t="shared" si="37"/>
        <v>1</v>
      </c>
      <c r="Q30" s="5">
        <f t="shared" si="37"/>
        <v>1</v>
      </c>
      <c r="R30" s="5">
        <f t="shared" si="37"/>
        <v>1</v>
      </c>
      <c r="S30" s="5">
        <f t="shared" si="37"/>
        <v>1</v>
      </c>
      <c r="T30" s="5">
        <f t="shared" si="37"/>
        <v>1</v>
      </c>
      <c r="U30" s="5">
        <f t="shared" si="37"/>
        <v>1</v>
      </c>
      <c r="V30" s="5">
        <f t="shared" si="37"/>
        <v>1</v>
      </c>
      <c r="W30" s="5">
        <f t="shared" si="37"/>
        <v>1</v>
      </c>
      <c r="X30" s="5">
        <f t="shared" si="37"/>
        <v>1</v>
      </c>
      <c r="Y30" s="5">
        <f t="shared" si="37"/>
        <v>1</v>
      </c>
      <c r="Z30" s="5">
        <f t="shared" si="37"/>
        <v>1</v>
      </c>
      <c r="AA30" s="5">
        <f t="shared" si="37"/>
        <v>1</v>
      </c>
      <c r="AB30" s="5">
        <f t="shared" si="37"/>
        <v>1</v>
      </c>
      <c r="AC30" s="5">
        <f t="shared" si="37"/>
        <v>1</v>
      </c>
      <c r="AD30" s="5">
        <f t="shared" si="37"/>
        <v>1</v>
      </c>
      <c r="AE30" s="5">
        <f t="shared" si="37"/>
        <v>1</v>
      </c>
      <c r="AF30" s="5">
        <f t="shared" si="37"/>
        <v>1</v>
      </c>
      <c r="AG30" s="5">
        <f t="shared" si="37"/>
        <v>1</v>
      </c>
      <c r="AH30" s="5">
        <f t="shared" si="37"/>
        <v>1</v>
      </c>
      <c r="AI30" s="5">
        <f t="shared" si="37"/>
        <v>1</v>
      </c>
      <c r="AJ30" s="5">
        <f t="shared" si="37"/>
        <v>1</v>
      </c>
      <c r="AK30" s="5">
        <f t="shared" si="37"/>
        <v>1</v>
      </c>
      <c r="AL30" s="5">
        <f t="shared" si="37"/>
        <v>1</v>
      </c>
      <c r="AM30" s="5">
        <f t="shared" si="37"/>
        <v>1</v>
      </c>
      <c r="AN30" s="5">
        <f t="shared" si="37"/>
        <v>1</v>
      </c>
      <c r="AO30" s="5">
        <f t="shared" si="37"/>
        <v>1</v>
      </c>
      <c r="AP30" s="5">
        <f t="shared" si="37"/>
        <v>1</v>
      </c>
      <c r="AQ30" s="5">
        <f t="shared" si="37"/>
        <v>1</v>
      </c>
      <c r="AR30" s="5">
        <f t="shared" si="37"/>
        <v>1</v>
      </c>
      <c r="AS30" s="5">
        <f t="shared" si="37"/>
        <v>1</v>
      </c>
      <c r="AT30" s="5">
        <f t="shared" si="37"/>
        <v>1</v>
      </c>
      <c r="AU30" s="5">
        <f t="shared" si="37"/>
        <v>1</v>
      </c>
      <c r="AV30" s="5">
        <f t="shared" si="37"/>
        <v>1</v>
      </c>
      <c r="AW30" s="5">
        <f t="shared" si="37"/>
        <v>1</v>
      </c>
      <c r="AX30" s="5">
        <f t="shared" si="37"/>
        <v>1</v>
      </c>
      <c r="AY30" s="5">
        <f t="shared" si="37"/>
        <v>1</v>
      </c>
      <c r="AZ30" s="5">
        <f t="shared" si="37"/>
        <v>1</v>
      </c>
      <c r="BA30" s="5">
        <f t="shared" si="37"/>
        <v>1</v>
      </c>
      <c r="BB30" s="5">
        <f t="shared" ref="BB30:BG30" si="38">1-(BB10/BB1)</f>
        <v>1</v>
      </c>
      <c r="BC30" s="5">
        <f t="shared" si="38"/>
        <v>1</v>
      </c>
      <c r="BD30" s="5">
        <f t="shared" si="38"/>
        <v>1</v>
      </c>
      <c r="BE30" s="5">
        <f t="shared" si="38"/>
        <v>1</v>
      </c>
      <c r="BF30" s="5">
        <f t="shared" si="38"/>
        <v>1</v>
      </c>
      <c r="BG30" s="5">
        <f t="shared" si="38"/>
        <v>1</v>
      </c>
      <c r="BH30" s="5">
        <f>1-(BH10/BH1)</f>
        <v>0.99968036529680371</v>
      </c>
      <c r="BI30" s="5">
        <f>1-(BI10/BI1)</f>
        <v>1</v>
      </c>
      <c r="BJ30" s="5">
        <f>1-(BJ10/BJ1)</f>
        <v>1</v>
      </c>
      <c r="BK30" s="5">
        <f>1-(BK10/BK1)</f>
        <v>1</v>
      </c>
    </row>
    <row r="31" spans="1:63" x14ac:dyDescent="0.35">
      <c r="A31" s="8" t="s">
        <v>49</v>
      </c>
      <c r="B31" s="5">
        <f>1-(B11/B1)</f>
        <v>0.99984061930783241</v>
      </c>
      <c r="C31" s="5">
        <f t="shared" ref="C31:BA31" si="39">1-(C11/C1)</f>
        <v>0.99984061930783241</v>
      </c>
      <c r="D31" s="5">
        <f t="shared" si="39"/>
        <v>0.99984061930783241</v>
      </c>
      <c r="E31" s="5">
        <f t="shared" si="39"/>
        <v>0.99984061930783241</v>
      </c>
      <c r="F31" s="5">
        <f t="shared" si="39"/>
        <v>0.99984061930783241</v>
      </c>
      <c r="G31" s="5">
        <f t="shared" si="39"/>
        <v>0.99984061930783241</v>
      </c>
      <c r="H31" s="5">
        <f t="shared" si="39"/>
        <v>0.99984061930783241</v>
      </c>
      <c r="I31" s="5">
        <f t="shared" si="39"/>
        <v>0.99984061930783241</v>
      </c>
      <c r="J31" s="5">
        <f t="shared" si="39"/>
        <v>0.99984061930783241</v>
      </c>
      <c r="K31" s="5">
        <f t="shared" si="39"/>
        <v>0.9998401826484018</v>
      </c>
      <c r="L31" s="5">
        <f t="shared" si="39"/>
        <v>0.9998401826484018</v>
      </c>
      <c r="M31" s="5">
        <f t="shared" si="39"/>
        <v>0.9998401826484018</v>
      </c>
      <c r="N31" s="5">
        <f t="shared" si="39"/>
        <v>0.9998401826484018</v>
      </c>
      <c r="O31" s="5">
        <f t="shared" si="39"/>
        <v>0.9998401826484018</v>
      </c>
      <c r="P31" s="5">
        <f t="shared" si="39"/>
        <v>0.9998401826484018</v>
      </c>
      <c r="Q31" s="5">
        <f t="shared" si="39"/>
        <v>0.9998401826484018</v>
      </c>
      <c r="R31" s="5">
        <f t="shared" si="39"/>
        <v>0.9998401826484018</v>
      </c>
      <c r="S31" s="5">
        <f t="shared" si="39"/>
        <v>0.9998401826484018</v>
      </c>
      <c r="T31" s="5">
        <f t="shared" si="39"/>
        <v>0.9998401826484018</v>
      </c>
      <c r="U31" s="5">
        <f t="shared" si="39"/>
        <v>0.9998401826484018</v>
      </c>
      <c r="V31" s="5">
        <f t="shared" si="39"/>
        <v>0.9998401826484018</v>
      </c>
      <c r="W31" s="5">
        <f t="shared" si="39"/>
        <v>0.9998401826484018</v>
      </c>
      <c r="X31" s="5">
        <f t="shared" si="39"/>
        <v>0.9998401826484018</v>
      </c>
      <c r="Y31" s="5">
        <f t="shared" si="39"/>
        <v>0.9998401826484018</v>
      </c>
      <c r="Z31" s="5">
        <f t="shared" si="39"/>
        <v>0.9998401826484018</v>
      </c>
      <c r="AA31" s="5">
        <f t="shared" si="39"/>
        <v>0.9998401826484018</v>
      </c>
      <c r="AB31" s="5">
        <f t="shared" si="39"/>
        <v>0.9998401826484018</v>
      </c>
      <c r="AC31" s="5">
        <f t="shared" si="39"/>
        <v>0.9998401826484018</v>
      </c>
      <c r="AD31" s="5">
        <f t="shared" si="39"/>
        <v>0.9998401826484018</v>
      </c>
      <c r="AE31" s="5">
        <f t="shared" si="39"/>
        <v>0.9998401826484018</v>
      </c>
      <c r="AF31" s="5">
        <f t="shared" si="39"/>
        <v>0.9998401826484018</v>
      </c>
      <c r="AG31" s="5">
        <f t="shared" si="39"/>
        <v>0.9998401826484018</v>
      </c>
      <c r="AH31" s="5">
        <f t="shared" si="39"/>
        <v>0.9998401826484018</v>
      </c>
      <c r="AI31" s="5">
        <f t="shared" si="39"/>
        <v>0.9998401826484018</v>
      </c>
      <c r="AJ31" s="5">
        <f t="shared" si="39"/>
        <v>0.9998401826484018</v>
      </c>
      <c r="AK31" s="5">
        <f t="shared" si="39"/>
        <v>0.9998401826484018</v>
      </c>
      <c r="AL31" s="5">
        <f t="shared" si="39"/>
        <v>0.9998401826484018</v>
      </c>
      <c r="AM31" s="5">
        <f t="shared" si="39"/>
        <v>1</v>
      </c>
      <c r="AN31" s="5">
        <f t="shared" si="39"/>
        <v>1</v>
      </c>
      <c r="AO31" s="5">
        <f t="shared" si="39"/>
        <v>1</v>
      </c>
      <c r="AP31" s="5">
        <f t="shared" si="39"/>
        <v>1</v>
      </c>
      <c r="AQ31" s="5">
        <f t="shared" si="39"/>
        <v>1</v>
      </c>
      <c r="AR31" s="5">
        <f t="shared" si="39"/>
        <v>1</v>
      </c>
      <c r="AS31" s="5">
        <f t="shared" si="39"/>
        <v>1</v>
      </c>
      <c r="AT31" s="5">
        <f t="shared" si="39"/>
        <v>1</v>
      </c>
      <c r="AU31" s="5">
        <f t="shared" si="39"/>
        <v>1</v>
      </c>
      <c r="AV31" s="5">
        <f t="shared" si="39"/>
        <v>1</v>
      </c>
      <c r="AW31" s="5">
        <f t="shared" si="39"/>
        <v>1</v>
      </c>
      <c r="AX31" s="5">
        <f t="shared" si="39"/>
        <v>1</v>
      </c>
      <c r="AY31" s="5">
        <f t="shared" si="39"/>
        <v>0.99931506849315066</v>
      </c>
      <c r="AZ31" s="5">
        <f t="shared" si="39"/>
        <v>0.99931506849315066</v>
      </c>
      <c r="BA31" s="5">
        <f t="shared" si="39"/>
        <v>0.99931506849315066</v>
      </c>
      <c r="BB31" s="5">
        <f t="shared" ref="BB31:BG31" si="40">1-(BB11/BB1)</f>
        <v>0.99931506849315066</v>
      </c>
      <c r="BC31" s="5">
        <f t="shared" si="40"/>
        <v>0.99931506849315066</v>
      </c>
      <c r="BD31" s="5">
        <f t="shared" si="40"/>
        <v>0.99931506849315066</v>
      </c>
      <c r="BE31" s="5">
        <f t="shared" si="40"/>
        <v>0.99931506849315066</v>
      </c>
      <c r="BF31" s="5">
        <f t="shared" si="40"/>
        <v>0.99931506849315066</v>
      </c>
      <c r="BG31" s="5">
        <f t="shared" si="40"/>
        <v>0.99931506849315066</v>
      </c>
      <c r="BH31" s="5">
        <f>1-(BH11/BH1)</f>
        <v>0.99931506849315066</v>
      </c>
      <c r="BI31" s="5">
        <f>1-(BI11/BI1)</f>
        <v>1</v>
      </c>
      <c r="BJ31" s="5">
        <f>1-(BJ11/BJ1)</f>
        <v>1</v>
      </c>
      <c r="BK31" s="5">
        <f>1-(BK11/BK1)</f>
        <v>1</v>
      </c>
    </row>
    <row r="32" spans="1:63" x14ac:dyDescent="0.35">
      <c r="A32" s="8" t="s">
        <v>50</v>
      </c>
      <c r="B32" s="5">
        <f>1-(B12/B1)</f>
        <v>1</v>
      </c>
      <c r="C32" s="5">
        <f t="shared" ref="C32:BA32" si="41">1-(C12/C1)</f>
        <v>1</v>
      </c>
      <c r="D32" s="5">
        <f t="shared" si="41"/>
        <v>1</v>
      </c>
      <c r="E32" s="5">
        <f t="shared" si="41"/>
        <v>1</v>
      </c>
      <c r="F32" s="5">
        <f t="shared" si="41"/>
        <v>1</v>
      </c>
      <c r="G32" s="5">
        <f t="shared" si="41"/>
        <v>1</v>
      </c>
      <c r="H32" s="5">
        <f t="shared" si="41"/>
        <v>1</v>
      </c>
      <c r="I32" s="5">
        <f t="shared" si="41"/>
        <v>1</v>
      </c>
      <c r="J32" s="5">
        <f t="shared" si="41"/>
        <v>1</v>
      </c>
      <c r="K32" s="5">
        <f t="shared" si="41"/>
        <v>1</v>
      </c>
      <c r="L32" s="5">
        <f t="shared" si="41"/>
        <v>1</v>
      </c>
      <c r="M32" s="5">
        <f t="shared" si="41"/>
        <v>1</v>
      </c>
      <c r="N32" s="5">
        <f t="shared" si="41"/>
        <v>1</v>
      </c>
      <c r="O32" s="5">
        <f t="shared" si="41"/>
        <v>1</v>
      </c>
      <c r="P32" s="5">
        <f t="shared" si="41"/>
        <v>1</v>
      </c>
      <c r="Q32" s="5">
        <f t="shared" si="41"/>
        <v>1</v>
      </c>
      <c r="R32" s="5">
        <f t="shared" si="41"/>
        <v>1</v>
      </c>
      <c r="S32" s="5">
        <f t="shared" si="41"/>
        <v>1</v>
      </c>
      <c r="T32" s="5">
        <f t="shared" si="41"/>
        <v>1</v>
      </c>
      <c r="U32" s="5">
        <f t="shared" si="41"/>
        <v>1</v>
      </c>
      <c r="V32" s="5">
        <f t="shared" si="41"/>
        <v>1</v>
      </c>
      <c r="W32" s="5">
        <f t="shared" si="41"/>
        <v>1</v>
      </c>
      <c r="X32" s="5">
        <f t="shared" si="41"/>
        <v>1</v>
      </c>
      <c r="Y32" s="5">
        <f t="shared" si="41"/>
        <v>1</v>
      </c>
      <c r="Z32" s="5">
        <f t="shared" si="41"/>
        <v>1</v>
      </c>
      <c r="AA32" s="5">
        <f t="shared" si="41"/>
        <v>1</v>
      </c>
      <c r="AB32" s="5">
        <f t="shared" si="41"/>
        <v>1</v>
      </c>
      <c r="AC32" s="5">
        <f t="shared" si="41"/>
        <v>1</v>
      </c>
      <c r="AD32" s="5">
        <f t="shared" si="41"/>
        <v>1</v>
      </c>
      <c r="AE32" s="5">
        <f t="shared" si="41"/>
        <v>1</v>
      </c>
      <c r="AF32" s="5">
        <f t="shared" si="41"/>
        <v>1</v>
      </c>
      <c r="AG32" s="5">
        <f t="shared" si="41"/>
        <v>1</v>
      </c>
      <c r="AH32" s="5">
        <f t="shared" si="41"/>
        <v>1</v>
      </c>
      <c r="AI32" s="5">
        <f t="shared" si="41"/>
        <v>1</v>
      </c>
      <c r="AJ32" s="5">
        <f t="shared" si="41"/>
        <v>1</v>
      </c>
      <c r="AK32" s="5">
        <f t="shared" si="41"/>
        <v>1</v>
      </c>
      <c r="AL32" s="5">
        <f t="shared" si="41"/>
        <v>1</v>
      </c>
      <c r="AM32" s="5">
        <f t="shared" si="41"/>
        <v>1</v>
      </c>
      <c r="AN32" s="5">
        <f t="shared" si="41"/>
        <v>1</v>
      </c>
      <c r="AO32" s="5">
        <f t="shared" si="41"/>
        <v>1</v>
      </c>
      <c r="AP32" s="5">
        <f t="shared" si="41"/>
        <v>1</v>
      </c>
      <c r="AQ32" s="5">
        <f t="shared" si="41"/>
        <v>1</v>
      </c>
      <c r="AR32" s="5">
        <f t="shared" si="41"/>
        <v>1</v>
      </c>
      <c r="AS32" s="5">
        <f t="shared" si="41"/>
        <v>1</v>
      </c>
      <c r="AT32" s="5">
        <f t="shared" si="41"/>
        <v>1</v>
      </c>
      <c r="AU32" s="5">
        <f t="shared" si="41"/>
        <v>1</v>
      </c>
      <c r="AV32" s="5">
        <f t="shared" si="41"/>
        <v>1</v>
      </c>
      <c r="AW32" s="5">
        <f t="shared" si="41"/>
        <v>1</v>
      </c>
      <c r="AX32" s="5">
        <f t="shared" si="41"/>
        <v>1</v>
      </c>
      <c r="AY32" s="5">
        <f t="shared" si="41"/>
        <v>1</v>
      </c>
      <c r="AZ32" s="5">
        <f t="shared" si="41"/>
        <v>1</v>
      </c>
      <c r="BA32" s="5">
        <f t="shared" si="41"/>
        <v>1</v>
      </c>
      <c r="BB32" s="5">
        <f t="shared" ref="BB32:BG32" si="42">1-(BB12/BB1)</f>
        <v>1</v>
      </c>
      <c r="BC32" s="5">
        <f t="shared" si="42"/>
        <v>1</v>
      </c>
      <c r="BD32" s="5">
        <f t="shared" si="42"/>
        <v>1</v>
      </c>
      <c r="BE32" s="5">
        <f t="shared" si="42"/>
        <v>1</v>
      </c>
      <c r="BF32" s="5">
        <f t="shared" si="42"/>
        <v>1</v>
      </c>
      <c r="BG32" s="5">
        <f t="shared" si="42"/>
        <v>1</v>
      </c>
      <c r="BH32" s="5">
        <f>1-(BH12/BH1)</f>
        <v>1</v>
      </c>
      <c r="BI32" s="5">
        <f>1-(BI12/BI1)</f>
        <v>1</v>
      </c>
      <c r="BJ32" s="5">
        <f>1-(BJ12/BJ1)</f>
        <v>1</v>
      </c>
      <c r="BK32" s="5">
        <f>1-(BK12/BK1)</f>
        <v>1</v>
      </c>
    </row>
    <row r="33" spans="1:63" x14ac:dyDescent="0.35">
      <c r="A33" s="8" t="s">
        <v>51</v>
      </c>
      <c r="B33" s="5">
        <f>1-(B13/B1)</f>
        <v>1</v>
      </c>
      <c r="C33" s="5">
        <f t="shared" ref="C33:BA33" si="43">1-(C13/C1)</f>
        <v>1</v>
      </c>
      <c r="D33" s="5">
        <f t="shared" si="43"/>
        <v>1</v>
      </c>
      <c r="E33" s="5">
        <f t="shared" si="43"/>
        <v>1</v>
      </c>
      <c r="F33" s="5">
        <f t="shared" si="43"/>
        <v>1</v>
      </c>
      <c r="G33" s="5">
        <f t="shared" si="43"/>
        <v>1</v>
      </c>
      <c r="H33" s="5">
        <f t="shared" si="43"/>
        <v>1</v>
      </c>
      <c r="I33" s="5">
        <f t="shared" si="43"/>
        <v>1</v>
      </c>
      <c r="J33" s="5">
        <f t="shared" si="43"/>
        <v>1</v>
      </c>
      <c r="K33" s="5">
        <f t="shared" si="43"/>
        <v>1</v>
      </c>
      <c r="L33" s="5">
        <f t="shared" si="43"/>
        <v>1</v>
      </c>
      <c r="M33" s="5">
        <f t="shared" si="43"/>
        <v>0.99892922374429227</v>
      </c>
      <c r="N33" s="5">
        <f t="shared" si="43"/>
        <v>0.99892922374429227</v>
      </c>
      <c r="O33" s="5">
        <f t="shared" si="43"/>
        <v>0.99892922374429227</v>
      </c>
      <c r="P33" s="5">
        <f t="shared" si="43"/>
        <v>0.99892922374429227</v>
      </c>
      <c r="Q33" s="5">
        <f t="shared" si="43"/>
        <v>0.99892922374429227</v>
      </c>
      <c r="R33" s="5">
        <f t="shared" si="43"/>
        <v>0.99892922374429227</v>
      </c>
      <c r="S33" s="5">
        <f t="shared" si="43"/>
        <v>0.99892922374429227</v>
      </c>
      <c r="T33" s="5">
        <f t="shared" si="43"/>
        <v>0.99892922374429227</v>
      </c>
      <c r="U33" s="5">
        <f t="shared" si="43"/>
        <v>0.99892922374429227</v>
      </c>
      <c r="V33" s="5">
        <f t="shared" si="43"/>
        <v>0.99892922374429227</v>
      </c>
      <c r="W33" s="5">
        <f t="shared" si="43"/>
        <v>0.99892922374429227</v>
      </c>
      <c r="X33" s="5">
        <f t="shared" si="43"/>
        <v>0.99892922374429227</v>
      </c>
      <c r="Y33" s="5">
        <f t="shared" si="43"/>
        <v>0.99892922374429227</v>
      </c>
      <c r="Z33" s="5">
        <f t="shared" si="43"/>
        <v>0.99892922374429227</v>
      </c>
      <c r="AA33" s="5">
        <f t="shared" si="43"/>
        <v>0.99892922374429227</v>
      </c>
      <c r="AB33" s="5">
        <f t="shared" si="43"/>
        <v>0.99892922374429227</v>
      </c>
      <c r="AC33" s="5">
        <f t="shared" si="43"/>
        <v>0.99892922374429227</v>
      </c>
      <c r="AD33" s="5">
        <f t="shared" si="43"/>
        <v>0.99892922374429227</v>
      </c>
      <c r="AE33" s="5">
        <f t="shared" si="43"/>
        <v>0.99892922374429227</v>
      </c>
      <c r="AF33" s="5">
        <f t="shared" si="43"/>
        <v>0.99892922374429227</v>
      </c>
      <c r="AG33" s="5">
        <f t="shared" si="43"/>
        <v>0.99892922374429227</v>
      </c>
      <c r="AH33" s="5">
        <f t="shared" si="43"/>
        <v>0.99892922374429227</v>
      </c>
      <c r="AI33" s="5">
        <f t="shared" si="43"/>
        <v>0.99892922374429227</v>
      </c>
      <c r="AJ33" s="5">
        <f t="shared" si="43"/>
        <v>0.99892922374429227</v>
      </c>
      <c r="AK33" s="5">
        <f t="shared" si="43"/>
        <v>0.99892922374429227</v>
      </c>
      <c r="AL33" s="5">
        <f t="shared" si="43"/>
        <v>0.99892922374429227</v>
      </c>
      <c r="AM33" s="5">
        <f t="shared" si="43"/>
        <v>0.99892922374429227</v>
      </c>
      <c r="AN33" s="5">
        <f t="shared" si="43"/>
        <v>0.99892922374429227</v>
      </c>
      <c r="AO33" s="5">
        <f t="shared" si="43"/>
        <v>0.99892922374429227</v>
      </c>
      <c r="AP33" s="5">
        <f t="shared" si="43"/>
        <v>0.99892922374429227</v>
      </c>
      <c r="AQ33" s="5">
        <f t="shared" si="43"/>
        <v>0.99892922374429227</v>
      </c>
      <c r="AR33" s="5">
        <f t="shared" si="43"/>
        <v>0.99892922374429227</v>
      </c>
      <c r="AS33" s="5">
        <f t="shared" si="43"/>
        <v>0.99892922374429227</v>
      </c>
      <c r="AT33" s="5">
        <f t="shared" si="43"/>
        <v>0.99892922374429227</v>
      </c>
      <c r="AU33" s="5">
        <f t="shared" si="43"/>
        <v>0.99892922374429227</v>
      </c>
      <c r="AV33" s="5">
        <f t="shared" si="43"/>
        <v>0.99892922374429227</v>
      </c>
      <c r="AW33" s="5">
        <f t="shared" si="43"/>
        <v>0.99892922374429227</v>
      </c>
      <c r="AX33" s="5">
        <f t="shared" si="43"/>
        <v>0.99892922374429227</v>
      </c>
      <c r="AY33" s="5">
        <f t="shared" si="43"/>
        <v>0.99892922374429227</v>
      </c>
      <c r="AZ33" s="5">
        <f t="shared" si="43"/>
        <v>0.99892922374429227</v>
      </c>
      <c r="BA33" s="5">
        <f t="shared" si="43"/>
        <v>0.99892922374429227</v>
      </c>
      <c r="BB33" s="5">
        <f t="shared" ref="BB33:BG33" si="44">1-(BB13/BB1)</f>
        <v>0.99892922374429227</v>
      </c>
      <c r="BC33" s="5">
        <f t="shared" si="44"/>
        <v>0.99892922374429227</v>
      </c>
      <c r="BD33" s="5">
        <f t="shared" si="44"/>
        <v>0.99892922374429227</v>
      </c>
      <c r="BE33" s="5">
        <f t="shared" si="44"/>
        <v>0.99892922374429227</v>
      </c>
      <c r="BF33" s="5">
        <f t="shared" si="44"/>
        <v>0.99892922374429227</v>
      </c>
      <c r="BG33" s="5">
        <f t="shared" si="44"/>
        <v>0.99892922374429227</v>
      </c>
      <c r="BH33" s="5">
        <f>1-(BH13/BH1)</f>
        <v>0.99892922374429227</v>
      </c>
      <c r="BI33" s="5">
        <f>1-(BI13/BI1)</f>
        <v>1</v>
      </c>
      <c r="BJ33" s="5">
        <f>1-(BJ13/BJ1)</f>
        <v>1</v>
      </c>
      <c r="BK33" s="5">
        <f>1-(BK13/BK1)</f>
        <v>1</v>
      </c>
    </row>
    <row r="34" spans="1:63" x14ac:dyDescent="0.35">
      <c r="A34" s="8" t="s">
        <v>52</v>
      </c>
      <c r="B34" s="5">
        <f>1-(B14/B1)</f>
        <v>1</v>
      </c>
      <c r="C34" s="5">
        <f t="shared" ref="C34:BA34" si="45">1-(C14/C1)</f>
        <v>1</v>
      </c>
      <c r="D34" s="5">
        <f t="shared" si="45"/>
        <v>1</v>
      </c>
      <c r="E34" s="5">
        <f t="shared" si="45"/>
        <v>1</v>
      </c>
      <c r="F34" s="5">
        <f t="shared" si="45"/>
        <v>1</v>
      </c>
      <c r="G34" s="5">
        <f t="shared" si="45"/>
        <v>1</v>
      </c>
      <c r="H34" s="5">
        <f t="shared" si="45"/>
        <v>1</v>
      </c>
      <c r="I34" s="5">
        <f t="shared" si="45"/>
        <v>1</v>
      </c>
      <c r="J34" s="5">
        <f t="shared" si="45"/>
        <v>1</v>
      </c>
      <c r="K34" s="5">
        <f t="shared" si="45"/>
        <v>1</v>
      </c>
      <c r="L34" s="5">
        <f t="shared" si="45"/>
        <v>1</v>
      </c>
      <c r="M34" s="5">
        <f t="shared" si="45"/>
        <v>1</v>
      </c>
      <c r="N34" s="5">
        <f t="shared" si="45"/>
        <v>1</v>
      </c>
      <c r="O34" s="5">
        <f t="shared" si="45"/>
        <v>0.99965182648401829</v>
      </c>
      <c r="P34" s="5">
        <f t="shared" si="45"/>
        <v>0.99965182648401829</v>
      </c>
      <c r="Q34" s="5">
        <f t="shared" si="45"/>
        <v>0.99965182648401829</v>
      </c>
      <c r="R34" s="5">
        <f t="shared" si="45"/>
        <v>0.99965182648401829</v>
      </c>
      <c r="S34" s="5">
        <f t="shared" si="45"/>
        <v>0.99965182648401829</v>
      </c>
      <c r="T34" s="5">
        <f t="shared" si="45"/>
        <v>0.99965182648401829</v>
      </c>
      <c r="U34" s="5">
        <f t="shared" si="45"/>
        <v>0.99965182648401829</v>
      </c>
      <c r="V34" s="5">
        <f t="shared" si="45"/>
        <v>0.99965182648401829</v>
      </c>
      <c r="W34" s="5">
        <f t="shared" si="45"/>
        <v>0.99965182648401829</v>
      </c>
      <c r="X34" s="5">
        <f t="shared" si="45"/>
        <v>0.99965182648401829</v>
      </c>
      <c r="Y34" s="5">
        <f t="shared" si="45"/>
        <v>0.99965182648401829</v>
      </c>
      <c r="Z34" s="5">
        <f t="shared" si="45"/>
        <v>0.99965182648401829</v>
      </c>
      <c r="AA34" s="5">
        <f t="shared" si="45"/>
        <v>0.99965182648401829</v>
      </c>
      <c r="AB34" s="5">
        <f t="shared" si="45"/>
        <v>0.99965182648401829</v>
      </c>
      <c r="AC34" s="5">
        <f t="shared" si="45"/>
        <v>0.99965182648401829</v>
      </c>
      <c r="AD34" s="5">
        <f t="shared" si="45"/>
        <v>0.99965182648401829</v>
      </c>
      <c r="AE34" s="5">
        <f t="shared" si="45"/>
        <v>0.99965182648401829</v>
      </c>
      <c r="AF34" s="5">
        <f t="shared" si="45"/>
        <v>0.99965182648401829</v>
      </c>
      <c r="AG34" s="5">
        <f t="shared" si="45"/>
        <v>0.99965182648401829</v>
      </c>
      <c r="AH34" s="5">
        <f t="shared" si="45"/>
        <v>0.99965182648401829</v>
      </c>
      <c r="AI34" s="5">
        <f t="shared" si="45"/>
        <v>0.99965182648401829</v>
      </c>
      <c r="AJ34" s="5">
        <f t="shared" si="45"/>
        <v>0.99965182648401829</v>
      </c>
      <c r="AK34" s="5">
        <f t="shared" si="45"/>
        <v>0.99965182648401829</v>
      </c>
      <c r="AL34" s="5">
        <f t="shared" si="45"/>
        <v>0.99965182648401829</v>
      </c>
      <c r="AM34" s="5">
        <f t="shared" si="45"/>
        <v>0.99965182648401829</v>
      </c>
      <c r="AN34" s="5">
        <f t="shared" si="45"/>
        <v>0.99965182648401829</v>
      </c>
      <c r="AO34" s="5">
        <f t="shared" si="45"/>
        <v>0.99965182648401829</v>
      </c>
      <c r="AP34" s="5">
        <f t="shared" si="45"/>
        <v>0.99965182648401829</v>
      </c>
      <c r="AQ34" s="5">
        <f t="shared" si="45"/>
        <v>0.99965182648401829</v>
      </c>
      <c r="AR34" s="5">
        <f t="shared" si="45"/>
        <v>0.99965182648401829</v>
      </c>
      <c r="AS34" s="5">
        <f t="shared" si="45"/>
        <v>0.99965182648401829</v>
      </c>
      <c r="AT34" s="5">
        <f t="shared" si="45"/>
        <v>0.99965182648401829</v>
      </c>
      <c r="AU34" s="5">
        <f t="shared" si="45"/>
        <v>0.99965182648401829</v>
      </c>
      <c r="AV34" s="5">
        <f t="shared" si="45"/>
        <v>0.99965182648401829</v>
      </c>
      <c r="AW34" s="5">
        <f t="shared" si="45"/>
        <v>0.99965182648401829</v>
      </c>
      <c r="AX34" s="5">
        <f t="shared" si="45"/>
        <v>0.99965182648401829</v>
      </c>
      <c r="AY34" s="5">
        <f t="shared" si="45"/>
        <v>0.99965182648401829</v>
      </c>
      <c r="AZ34" s="5">
        <f t="shared" si="45"/>
        <v>0.99965182648401829</v>
      </c>
      <c r="BA34" s="5">
        <f t="shared" si="45"/>
        <v>0.99965182648401829</v>
      </c>
      <c r="BB34" s="5">
        <f t="shared" ref="BB34:BG34" si="46">1-(BB14/BB1)</f>
        <v>0.99965182648401829</v>
      </c>
      <c r="BC34" s="5">
        <f t="shared" si="46"/>
        <v>0.99965182648401829</v>
      </c>
      <c r="BD34" s="5">
        <f t="shared" si="46"/>
        <v>0.99965182648401829</v>
      </c>
      <c r="BE34" s="5">
        <f t="shared" si="46"/>
        <v>0.99965182648401829</v>
      </c>
      <c r="BF34" s="5">
        <f t="shared" si="46"/>
        <v>0.99965182648401829</v>
      </c>
      <c r="BG34" s="5">
        <f t="shared" si="46"/>
        <v>0.99965182648401829</v>
      </c>
      <c r="BH34" s="5">
        <f>1-(BH14/BH1)</f>
        <v>0.99965182648401829</v>
      </c>
      <c r="BI34" s="5">
        <f>1-(BI14/BI1)</f>
        <v>1</v>
      </c>
      <c r="BJ34" s="5">
        <f>1-(BJ14/BJ1)</f>
        <v>1</v>
      </c>
      <c r="BK34" s="5">
        <f>1-(BK14/BK1)</f>
        <v>1</v>
      </c>
    </row>
    <row r="36" spans="1:63" x14ac:dyDescent="0.35">
      <c r="A36" s="2" t="s">
        <v>105</v>
      </c>
    </row>
    <row r="39" spans="1:63" x14ac:dyDescent="0.35">
      <c r="A39" s="74" t="s">
        <v>106</v>
      </c>
      <c r="G39" s="67" t="s">
        <v>107</v>
      </c>
    </row>
    <row r="40" spans="1:63" x14ac:dyDescent="0.35">
      <c r="A40" s="74" t="s">
        <v>108</v>
      </c>
    </row>
    <row r="41" spans="1:63" x14ac:dyDescent="0.35">
      <c r="A41" s="74" t="s">
        <v>109</v>
      </c>
    </row>
    <row r="42" spans="1:63" x14ac:dyDescent="0.35">
      <c r="A42" s="74" t="s">
        <v>246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</row>
    <row r="43" spans="1:63" x14ac:dyDescent="0.35">
      <c r="A43" s="74" t="s">
        <v>111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</row>
  </sheetData>
  <conditionalFormatting sqref="B24:L24 O24:AS24 BE24 BG24 B25:M25 O25:BG25 B26:L26 B27:BG28">
    <cfRule type="cellIs" dxfId="65" priority="55" stopIfTrue="1" operator="lessThan">
      <formula>0.9989</formula>
    </cfRule>
    <cfRule type="cellIs" dxfId="64" priority="56" stopIfTrue="1" operator="between">
      <formula>0.9989</formula>
      <formula>0.9993</formula>
    </cfRule>
    <cfRule type="cellIs" dxfId="63" priority="57" operator="greaterThanOrEqual">
      <formula>0.9994</formula>
    </cfRule>
    <cfRule type="cellIs" dxfId="62" priority="58" operator="greaterThan">
      <formula>0.9999</formula>
    </cfRule>
  </conditionalFormatting>
  <conditionalFormatting sqref="B30:BG34">
    <cfRule type="cellIs" dxfId="61" priority="9" stopIfTrue="1" operator="lessThan">
      <formula>0.999</formula>
    </cfRule>
    <cfRule type="cellIs" dxfId="60" priority="10" stopIfTrue="1" operator="between">
      <formula>0.9989</formula>
      <formula>0.9993</formula>
    </cfRule>
    <cfRule type="cellIs" dxfId="59" priority="11" operator="greaterThanOrEqual">
      <formula>0.9994</formula>
    </cfRule>
    <cfRule type="cellIs" dxfId="58" priority="12" operator="greaterThan">
      <formula>0.9999</formula>
    </cfRule>
  </conditionalFormatting>
  <conditionalFormatting sqref="B4:BH8">
    <cfRule type="containsBlanks" dxfId="57" priority="3">
      <formula>LEN(TRIM(B4))=0</formula>
    </cfRule>
    <cfRule type="cellIs" dxfId="56" priority="4" operator="greaterThan">
      <formula>0</formula>
    </cfRule>
  </conditionalFormatting>
  <conditionalFormatting sqref="B10:BH14">
    <cfRule type="containsBlanks" dxfId="55" priority="1">
      <formula>LEN(TRIM(B10))=0</formula>
    </cfRule>
    <cfRule type="cellIs" dxfId="54" priority="2" operator="greaterThan">
      <formula>0</formula>
    </cfRule>
  </conditionalFormatting>
  <conditionalFormatting sqref="M24">
    <cfRule type="cellIs" dxfId="53" priority="45" stopIfTrue="1" operator="lessThan">
      <formula>0.999</formula>
    </cfRule>
    <cfRule type="cellIs" dxfId="52" priority="46" stopIfTrue="1" operator="between">
      <formula>0.9989</formula>
      <formula>0.9993</formula>
    </cfRule>
    <cfRule type="cellIs" dxfId="51" priority="47" operator="greaterThanOrEqual">
      <formula>0.9994</formula>
    </cfRule>
    <cfRule type="cellIs" dxfId="50" priority="48" operator="greaterThan">
      <formula>0.9999</formula>
    </cfRule>
  </conditionalFormatting>
  <conditionalFormatting sqref="M26">
    <cfRule type="cellIs" dxfId="49" priority="41" stopIfTrue="1" operator="lessThan">
      <formula>0.999</formula>
    </cfRule>
    <cfRule type="cellIs" dxfId="48" priority="42" stopIfTrue="1" operator="between">
      <formula>0.9989</formula>
      <formula>0.9993</formula>
    </cfRule>
    <cfRule type="cellIs" dxfId="47" priority="43" operator="greaterThanOrEqual">
      <formula>0.9994</formula>
    </cfRule>
    <cfRule type="cellIs" dxfId="46" priority="44" operator="greaterThan">
      <formula>0.9999</formula>
    </cfRule>
  </conditionalFormatting>
  <conditionalFormatting sqref="N24:N26">
    <cfRule type="cellIs" dxfId="45" priority="37" stopIfTrue="1" operator="lessThan">
      <formula>0.999</formula>
    </cfRule>
    <cfRule type="cellIs" dxfId="44" priority="38" stopIfTrue="1" operator="between">
      <formula>0.9989</formula>
      <formula>0.9993</formula>
    </cfRule>
    <cfRule type="cellIs" dxfId="43" priority="39" operator="greaterThanOrEqual">
      <formula>0.9994</formula>
    </cfRule>
    <cfRule type="cellIs" dxfId="42" priority="40" operator="greaterThan">
      <formula>0.9999</formula>
    </cfRule>
  </conditionalFormatting>
  <conditionalFormatting sqref="O26:BG26">
    <cfRule type="cellIs" dxfId="41" priority="33" stopIfTrue="1" operator="lessThan">
      <formula>0.999</formula>
    </cfRule>
    <cfRule type="cellIs" dxfId="40" priority="34" stopIfTrue="1" operator="between">
      <formula>0.9989</formula>
      <formula>0.9993</formula>
    </cfRule>
    <cfRule type="cellIs" dxfId="39" priority="35" operator="greaterThanOrEqual">
      <formula>0.9994</formula>
    </cfRule>
    <cfRule type="cellIs" dxfId="38" priority="36" operator="greaterThan">
      <formula>0.9999</formula>
    </cfRule>
  </conditionalFormatting>
  <conditionalFormatting sqref="AT24:BD24 BF24">
    <cfRule type="cellIs" dxfId="37" priority="13" stopIfTrue="1" operator="lessThan">
      <formula>0.999</formula>
    </cfRule>
    <cfRule type="cellIs" dxfId="36" priority="14" stopIfTrue="1" operator="between">
      <formula>0.9989</formula>
      <formula>0.9993</formula>
    </cfRule>
    <cfRule type="cellIs" dxfId="35" priority="15" operator="greaterThanOrEqual">
      <formula>0.9994</formula>
    </cfRule>
    <cfRule type="cellIs" dxfId="34" priority="16" operator="greaterThan">
      <formula>0.9999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209D-D622-4DDE-9E90-C6E4404C8213}">
  <sheetPr codeName="Sheet10">
    <tabColor theme="9" tint="-0.249977111117893"/>
  </sheetPr>
  <dimension ref="A1:Y761"/>
  <sheetViews>
    <sheetView topLeftCell="A740" zoomScale="90" zoomScaleNormal="90" workbookViewId="0">
      <selection activeCell="G765" sqref="G765"/>
    </sheetView>
  </sheetViews>
  <sheetFormatPr defaultRowHeight="14.5" x14ac:dyDescent="0.35"/>
  <cols>
    <col min="1" max="1" width="16.81640625" customWidth="1"/>
    <col min="2" max="2" width="5.7265625" customWidth="1"/>
    <col min="3" max="3" width="13.26953125" customWidth="1"/>
    <col min="4" max="4" width="11.54296875" customWidth="1"/>
    <col min="5" max="5" width="10.26953125" customWidth="1"/>
    <col min="7" max="7" width="17.26953125" customWidth="1"/>
    <col min="8" max="8" width="3.453125" style="27" customWidth="1"/>
    <col min="9" max="9" width="13.26953125" customWidth="1"/>
    <col min="10" max="10" width="16" customWidth="1"/>
    <col min="11" max="11" width="10.26953125" customWidth="1"/>
    <col min="12" max="12" width="9.1796875" customWidth="1"/>
    <col min="13" max="13" width="17.26953125" customWidth="1"/>
    <col min="14" max="14" width="3.453125" style="27" customWidth="1"/>
    <col min="15" max="15" width="14.7265625" customWidth="1"/>
    <col min="16" max="16" width="12.7265625" customWidth="1"/>
    <col min="17" max="17" width="11" customWidth="1"/>
    <col min="18" max="18" width="10.1796875" customWidth="1"/>
    <col min="19" max="19" width="17.26953125" customWidth="1"/>
    <col min="20" max="20" width="3.453125" style="28" customWidth="1"/>
    <col min="21" max="21" width="14.7265625" customWidth="1"/>
    <col min="22" max="22" width="21.7265625" customWidth="1"/>
    <col min="23" max="23" width="11.453125" customWidth="1"/>
    <col min="24" max="24" width="10.26953125" customWidth="1"/>
    <col min="25" max="25" width="17.26953125" customWidth="1"/>
  </cols>
  <sheetData>
    <row r="1" spans="1:25" s="28" customFormat="1" x14ac:dyDescent="0.35">
      <c r="A1" s="29" t="s">
        <v>113</v>
      </c>
      <c r="H1" s="27"/>
      <c r="N1" s="27"/>
    </row>
    <row r="2" spans="1:25" x14ac:dyDescent="0.35">
      <c r="A2" s="20" t="s">
        <v>114</v>
      </c>
      <c r="B2" s="20"/>
      <c r="C2" s="56" t="s">
        <v>115</v>
      </c>
      <c r="D2" s="11"/>
      <c r="E2" s="11"/>
      <c r="F2" s="11"/>
      <c r="G2" s="30" t="s">
        <v>115</v>
      </c>
      <c r="I2" s="56" t="s">
        <v>115</v>
      </c>
      <c r="J2" s="11"/>
      <c r="K2" s="11"/>
      <c r="L2" s="11"/>
      <c r="M2" s="30" t="s">
        <v>115</v>
      </c>
      <c r="O2" s="55" t="s">
        <v>116</v>
      </c>
      <c r="P2" s="34"/>
      <c r="Q2" s="34"/>
      <c r="R2" s="34"/>
      <c r="S2" s="35" t="s">
        <v>116</v>
      </c>
      <c r="U2" s="57" t="s">
        <v>117</v>
      </c>
      <c r="V2" s="42"/>
      <c r="W2" s="42"/>
      <c r="X2" s="42"/>
      <c r="Y2" s="43" t="s">
        <v>117</v>
      </c>
    </row>
    <row r="3" spans="1:25" ht="15" thickBot="1" x14ac:dyDescent="0.4">
      <c r="A3" s="2"/>
      <c r="B3" s="2"/>
      <c r="C3" s="2"/>
      <c r="D3" s="18" t="s">
        <v>118</v>
      </c>
      <c r="E3" s="19" t="s">
        <v>119</v>
      </c>
      <c r="F3" s="18" t="s">
        <v>120</v>
      </c>
      <c r="G3" s="12" t="s">
        <v>121</v>
      </c>
      <c r="I3" s="2"/>
      <c r="J3" s="18" t="s">
        <v>118</v>
      </c>
      <c r="K3" s="19" t="s">
        <v>119</v>
      </c>
      <c r="L3" s="18" t="s">
        <v>120</v>
      </c>
      <c r="M3" s="12" t="s">
        <v>121</v>
      </c>
      <c r="O3" s="34"/>
      <c r="P3" s="18" t="s">
        <v>118</v>
      </c>
      <c r="Q3" s="19" t="s">
        <v>119</v>
      </c>
      <c r="R3" s="18" t="s">
        <v>120</v>
      </c>
      <c r="S3" s="39" t="s">
        <v>121</v>
      </c>
      <c r="U3" s="42"/>
      <c r="V3" s="18" t="s">
        <v>118</v>
      </c>
      <c r="W3" s="19" t="s">
        <v>119</v>
      </c>
      <c r="X3" s="18" t="s">
        <v>120</v>
      </c>
      <c r="Y3" s="47" t="s">
        <v>121</v>
      </c>
    </row>
    <row r="4" spans="1:25" ht="15" thickTop="1" x14ac:dyDescent="0.35">
      <c r="A4" s="22" t="s">
        <v>122</v>
      </c>
      <c r="B4" s="2"/>
      <c r="C4" s="21" t="s">
        <v>25</v>
      </c>
      <c r="D4" s="25">
        <v>1282274</v>
      </c>
      <c r="E4" s="14">
        <f>D4/D10</f>
        <v>0.74422089699502314</v>
      </c>
      <c r="F4">
        <v>100</v>
      </c>
      <c r="G4" s="15">
        <f t="shared" ref="G4:G9" si="0">E4*F4</f>
        <v>74.422089699502308</v>
      </c>
      <c r="I4" s="21" t="s">
        <v>25</v>
      </c>
      <c r="J4" s="25"/>
      <c r="K4" s="14" t="e">
        <f>J4/J10</f>
        <v>#DIV/0!</v>
      </c>
      <c r="L4">
        <v>100</v>
      </c>
      <c r="M4" s="15" t="e">
        <f t="shared" ref="M4:M9" si="1">K4*L4</f>
        <v>#DIV/0!</v>
      </c>
      <c r="O4" s="38" t="s">
        <v>25</v>
      </c>
      <c r="P4" s="13">
        <v>41804</v>
      </c>
      <c r="Q4" s="14">
        <f>P4/P9</f>
        <v>0.26648647614919263</v>
      </c>
      <c r="R4">
        <v>99.96</v>
      </c>
      <c r="S4" s="40">
        <f t="shared" ref="S4:S7" si="2">Q4*R4</f>
        <v>26.637988155873295</v>
      </c>
      <c r="U4" s="46" t="s">
        <v>25</v>
      </c>
      <c r="V4" s="52">
        <v>3146694000</v>
      </c>
      <c r="W4" s="14">
        <f>V4/V8</f>
        <v>0.63344045362531465</v>
      </c>
      <c r="X4">
        <v>100</v>
      </c>
      <c r="Y4" s="48">
        <f t="shared" ref="Y4:Y5" si="3">W4*X4</f>
        <v>63.344045362531467</v>
      </c>
    </row>
    <row r="5" spans="1:25" x14ac:dyDescent="0.35">
      <c r="A5" s="23">
        <v>1278735</v>
      </c>
      <c r="B5" s="2"/>
      <c r="C5" s="21" t="s">
        <v>29</v>
      </c>
      <c r="D5" s="13">
        <v>134179</v>
      </c>
      <c r="E5" s="14">
        <f>D5/D10</f>
        <v>7.7876347596453802E-2</v>
      </c>
      <c r="F5">
        <v>99.96</v>
      </c>
      <c r="G5" s="15">
        <f t="shared" si="0"/>
        <v>7.7845197057415216</v>
      </c>
      <c r="I5" s="21" t="s">
        <v>29</v>
      </c>
      <c r="J5" s="13"/>
      <c r="K5" s="14" t="e">
        <f>J5/J10</f>
        <v>#DIV/0!</v>
      </c>
      <c r="L5">
        <v>99.96</v>
      </c>
      <c r="M5" s="15" t="e">
        <f t="shared" si="1"/>
        <v>#DIV/0!</v>
      </c>
      <c r="O5" s="38" t="s">
        <v>29</v>
      </c>
      <c r="P5" s="13">
        <v>1724</v>
      </c>
      <c r="Q5" s="14">
        <f>P5/P9</f>
        <v>1.0989921655372886E-2</v>
      </c>
      <c r="R5">
        <v>99.92</v>
      </c>
      <c r="S5" s="40">
        <f t="shared" si="2"/>
        <v>1.0981129718048588</v>
      </c>
      <c r="U5" s="46" t="s">
        <v>29</v>
      </c>
      <c r="V5" s="52">
        <v>10526000</v>
      </c>
      <c r="W5" s="14">
        <f>V5/V8</f>
        <v>2.1189204335915921E-3</v>
      </c>
      <c r="X5">
        <v>99.96</v>
      </c>
      <c r="Y5" s="48">
        <f t="shared" si="3"/>
        <v>0.21180728654181555</v>
      </c>
    </row>
    <row r="6" spans="1:25" x14ac:dyDescent="0.35">
      <c r="A6" s="23">
        <v>12</v>
      </c>
      <c r="B6" s="2"/>
      <c r="C6" s="21" t="s">
        <v>30</v>
      </c>
      <c r="D6" s="13">
        <v>6691</v>
      </c>
      <c r="E6" s="14">
        <f>D6/D10</f>
        <v>3.8833993528635063E-3</v>
      </c>
      <c r="F6">
        <v>100</v>
      </c>
      <c r="G6" s="15">
        <f t="shared" si="0"/>
        <v>0.38833993528635063</v>
      </c>
      <c r="I6" s="21" t="s">
        <v>30</v>
      </c>
      <c r="J6" s="13"/>
      <c r="K6" s="14" t="e">
        <f>J6/J10</f>
        <v>#DIV/0!</v>
      </c>
      <c r="L6">
        <v>100</v>
      </c>
      <c r="M6" s="15" t="e">
        <f t="shared" si="1"/>
        <v>#DIV/0!</v>
      </c>
      <c r="O6" s="38" t="s">
        <v>30</v>
      </c>
      <c r="P6" s="13">
        <v>107142</v>
      </c>
      <c r="Q6" s="14">
        <f>P6/P9</f>
        <v>0.68299430742457179</v>
      </c>
      <c r="R6">
        <v>99.96</v>
      </c>
      <c r="S6" s="40">
        <f t="shared" si="2"/>
        <v>68.272110970160185</v>
      </c>
      <c r="U6" s="46" t="s">
        <v>31</v>
      </c>
      <c r="V6" s="52">
        <v>1806461000</v>
      </c>
      <c r="W6" s="14">
        <f>V6/V8</f>
        <v>0.36364688631828818</v>
      </c>
      <c r="X6">
        <v>100</v>
      </c>
      <c r="Y6" s="48">
        <f>W6*X6</f>
        <v>36.36468863182882</v>
      </c>
    </row>
    <row r="7" spans="1:25" x14ac:dyDescent="0.35">
      <c r="A7" s="23">
        <v>3527</v>
      </c>
      <c r="B7" s="2"/>
      <c r="C7" s="21" t="s">
        <v>31</v>
      </c>
      <c r="D7" s="13">
        <v>208253</v>
      </c>
      <c r="E7" s="14">
        <f>D7/D10</f>
        <v>0.12086826564517768</v>
      </c>
      <c r="F7">
        <v>100</v>
      </c>
      <c r="G7" s="15">
        <f t="shared" si="0"/>
        <v>12.086826564517768</v>
      </c>
      <c r="I7" s="21" t="s">
        <v>31</v>
      </c>
      <c r="J7" s="13"/>
      <c r="K7" s="14" t="e">
        <f>J7/J10</f>
        <v>#DIV/0!</v>
      </c>
      <c r="L7">
        <v>100</v>
      </c>
      <c r="M7" s="15" t="e">
        <f t="shared" si="1"/>
        <v>#DIV/0!</v>
      </c>
      <c r="O7" s="38" t="s">
        <v>31</v>
      </c>
      <c r="P7" s="13">
        <v>5866</v>
      </c>
      <c r="Q7" s="14">
        <f>P7/P9</f>
        <v>3.7393782152214242E-2</v>
      </c>
      <c r="R7">
        <v>100</v>
      </c>
      <c r="S7" s="40">
        <f t="shared" si="2"/>
        <v>3.7393782152214241</v>
      </c>
      <c r="U7" s="46" t="s">
        <v>33</v>
      </c>
      <c r="V7" s="52">
        <v>3943000</v>
      </c>
      <c r="W7" s="14">
        <f>V7/V8</f>
        <v>7.9373962280559075E-4</v>
      </c>
      <c r="X7">
        <v>99.84</v>
      </c>
      <c r="Y7" s="48">
        <f>W7*X7</f>
        <v>7.9246963940910187E-2</v>
      </c>
    </row>
    <row r="8" spans="1:25" ht="15" thickBot="1" x14ac:dyDescent="0.4">
      <c r="A8" s="24">
        <f>SUM(A5:A7)</f>
        <v>1282274</v>
      </c>
      <c r="B8" s="2"/>
      <c r="C8" s="21" t="s">
        <v>32</v>
      </c>
      <c r="D8">
        <v>176</v>
      </c>
      <c r="E8" s="14">
        <f>D8/D10</f>
        <v>1.0214889943266733E-4</v>
      </c>
      <c r="F8">
        <v>100</v>
      </c>
      <c r="G8" s="15">
        <f t="shared" si="0"/>
        <v>1.0214889943266733E-2</v>
      </c>
      <c r="I8" s="21" t="s">
        <v>32</v>
      </c>
      <c r="K8" s="14" t="e">
        <f>J8/J10</f>
        <v>#DIV/0!</v>
      </c>
      <c r="L8">
        <v>100</v>
      </c>
      <c r="M8" s="15" t="e">
        <f t="shared" si="1"/>
        <v>#DIV/0!</v>
      </c>
      <c r="O8" s="38" t="s">
        <v>33</v>
      </c>
      <c r="P8" s="13">
        <v>335</v>
      </c>
      <c r="Q8" s="14">
        <f>P8/P9</f>
        <v>2.1355126186484437E-3</v>
      </c>
      <c r="R8">
        <v>99.8</v>
      </c>
      <c r="S8" s="40">
        <f>Q8*R8</f>
        <v>0.21312415934111467</v>
      </c>
      <c r="U8" s="46"/>
      <c r="V8" s="53">
        <f>SUM(V4:V7)</f>
        <v>4967624000</v>
      </c>
      <c r="W8" s="32">
        <f>SUM(W4:W7)</f>
        <v>1</v>
      </c>
      <c r="X8" s="33">
        <f>AVERAGE(X4:X7)</f>
        <v>99.949999999999989</v>
      </c>
      <c r="Y8" s="58">
        <f>SUM(Y4:Y7)</f>
        <v>99.999788244843003</v>
      </c>
    </row>
    <row r="9" spans="1:25" ht="15.5" thickTop="1" thickBot="1" x14ac:dyDescent="0.4">
      <c r="B9" s="2"/>
      <c r="C9" s="21" t="s">
        <v>33</v>
      </c>
      <c r="D9" s="13">
        <v>91402</v>
      </c>
      <c r="E9" s="16">
        <f>D9/D10</f>
        <v>5.3048941511049205E-2</v>
      </c>
      <c r="F9" s="17">
        <v>99.84</v>
      </c>
      <c r="G9" s="15">
        <f t="shared" si="0"/>
        <v>5.2964063204631531</v>
      </c>
      <c r="I9" s="21" t="s">
        <v>33</v>
      </c>
      <c r="J9" s="13"/>
      <c r="K9" s="16" t="e">
        <f>J9/J10</f>
        <v>#DIV/0!</v>
      </c>
      <c r="L9" s="17">
        <v>99.84</v>
      </c>
      <c r="M9" s="15" t="e">
        <f t="shared" si="1"/>
        <v>#DIV/0!</v>
      </c>
      <c r="O9" s="38"/>
      <c r="P9" s="31">
        <f>SUM(P4:P8)</f>
        <v>156871</v>
      </c>
      <c r="Q9" s="32">
        <f>SUM(Q4:Q8)</f>
        <v>0.99999999999999989</v>
      </c>
      <c r="R9" s="33">
        <f>AVERAGE(R4:R8)</f>
        <v>99.927999999999997</v>
      </c>
      <c r="S9" s="41">
        <f>SUM(S4:S8)</f>
        <v>99.96071447240088</v>
      </c>
      <c r="U9" s="46"/>
      <c r="V9" s="42"/>
      <c r="W9" s="42"/>
      <c r="X9" s="42"/>
      <c r="Y9" s="48"/>
    </row>
    <row r="10" spans="1:25" ht="15" thickBot="1" x14ac:dyDescent="0.4">
      <c r="A10" s="10"/>
      <c r="B10" s="10"/>
      <c r="C10" s="10"/>
      <c r="D10" s="49">
        <f>SUM(D4:D9)</f>
        <v>1722975</v>
      </c>
      <c r="E10" s="50">
        <f>SUM(E4:E9)</f>
        <v>1</v>
      </c>
      <c r="F10" s="51">
        <f>AVERAGE(F4:F9)</f>
        <v>99.966666666666654</v>
      </c>
      <c r="G10" s="26">
        <f>SUM(G4:G9)</f>
        <v>99.988397115454362</v>
      </c>
      <c r="I10" s="10"/>
      <c r="J10" s="49">
        <f>SUM(J4:J9)</f>
        <v>0</v>
      </c>
      <c r="K10" s="50" t="e">
        <f>SUM(K4:K9)</f>
        <v>#DIV/0!</v>
      </c>
      <c r="L10" s="51">
        <f>AVERAGE(L4:L9)</f>
        <v>99.966666666666654</v>
      </c>
      <c r="M10" s="26" t="e">
        <f>SUM(M4:M9)</f>
        <v>#DIV/0!</v>
      </c>
      <c r="O10" s="34"/>
      <c r="P10" s="34"/>
      <c r="Q10" s="34"/>
      <c r="R10" s="36"/>
      <c r="S10" s="37"/>
      <c r="U10" s="42"/>
      <c r="V10" s="42"/>
      <c r="W10" s="42"/>
      <c r="X10" s="44"/>
      <c r="Y10" s="45"/>
    </row>
    <row r="11" spans="1:25" s="28" customFormat="1" ht="15" thickTop="1" x14ac:dyDescent="0.35">
      <c r="A11" s="29" t="s">
        <v>123</v>
      </c>
      <c r="H11" s="27"/>
      <c r="N11" s="27"/>
    </row>
    <row r="12" spans="1:25" x14ac:dyDescent="0.35">
      <c r="A12" s="20" t="s">
        <v>124</v>
      </c>
      <c r="B12" s="20"/>
      <c r="C12" s="56" t="s">
        <v>115</v>
      </c>
      <c r="D12" s="11"/>
      <c r="E12" s="11"/>
      <c r="F12" s="11"/>
      <c r="G12" s="30" t="s">
        <v>115</v>
      </c>
      <c r="I12" s="56" t="s">
        <v>115</v>
      </c>
      <c r="J12" s="11"/>
      <c r="K12" s="11"/>
      <c r="L12" s="11"/>
      <c r="M12" s="30" t="s">
        <v>115</v>
      </c>
      <c r="O12" s="55" t="s">
        <v>116</v>
      </c>
      <c r="P12" s="34"/>
      <c r="Q12" s="34"/>
      <c r="R12" s="34"/>
      <c r="S12" s="35" t="s">
        <v>116</v>
      </c>
      <c r="U12" s="57" t="s">
        <v>117</v>
      </c>
      <c r="V12" s="42"/>
      <c r="W12" s="42"/>
      <c r="X12" s="42"/>
      <c r="Y12" s="43" t="s">
        <v>117</v>
      </c>
    </row>
    <row r="13" spans="1:25" ht="15" thickBot="1" x14ac:dyDescent="0.4">
      <c r="A13" s="2"/>
      <c r="B13" s="2"/>
      <c r="C13" s="2"/>
      <c r="D13" s="18" t="s">
        <v>118</v>
      </c>
      <c r="E13" s="19" t="s">
        <v>119</v>
      </c>
      <c r="F13" s="18" t="s">
        <v>120</v>
      </c>
      <c r="G13" s="12" t="s">
        <v>121</v>
      </c>
      <c r="I13" s="2"/>
      <c r="J13" s="18" t="s">
        <v>118</v>
      </c>
      <c r="K13" s="19" t="s">
        <v>119</v>
      </c>
      <c r="L13" s="18" t="s">
        <v>120</v>
      </c>
      <c r="M13" s="12" t="s">
        <v>121</v>
      </c>
      <c r="O13" s="34"/>
      <c r="P13" s="18" t="s">
        <v>118</v>
      </c>
      <c r="Q13" s="19" t="s">
        <v>119</v>
      </c>
      <c r="R13" s="18" t="s">
        <v>120</v>
      </c>
      <c r="S13" s="39" t="s">
        <v>121</v>
      </c>
      <c r="U13" s="42"/>
      <c r="V13" s="18" t="s">
        <v>118</v>
      </c>
      <c r="W13" s="19" t="s">
        <v>119</v>
      </c>
      <c r="X13" s="18" t="s">
        <v>120</v>
      </c>
      <c r="Y13" s="47" t="s">
        <v>121</v>
      </c>
    </row>
    <row r="14" spans="1:25" ht="15" thickTop="1" x14ac:dyDescent="0.35">
      <c r="A14" s="22" t="s">
        <v>122</v>
      </c>
      <c r="B14" s="2"/>
      <c r="C14" s="21" t="s">
        <v>25</v>
      </c>
      <c r="D14" s="25">
        <v>1283052</v>
      </c>
      <c r="E14" s="14">
        <f>D14/D20</f>
        <v>0.74431993205672842</v>
      </c>
      <c r="F14">
        <v>100</v>
      </c>
      <c r="G14" s="15">
        <f t="shared" ref="G14:G19" si="4">E14*F14</f>
        <v>74.431993205672839</v>
      </c>
      <c r="I14" s="21" t="s">
        <v>25</v>
      </c>
      <c r="J14" s="25"/>
      <c r="K14" s="14" t="e">
        <f>J14/J20</f>
        <v>#DIV/0!</v>
      </c>
      <c r="L14">
        <v>100</v>
      </c>
      <c r="M14" s="15" t="e">
        <f t="shared" ref="M14:M19" si="5">K14*L14</f>
        <v>#DIV/0!</v>
      </c>
      <c r="O14" s="38" t="s">
        <v>25</v>
      </c>
      <c r="P14" s="13">
        <v>47420</v>
      </c>
      <c r="Q14" s="14">
        <f>P14/P19</f>
        <v>0.3423455943399632</v>
      </c>
      <c r="R14">
        <v>99.96</v>
      </c>
      <c r="S14" s="40">
        <f t="shared" ref="S14:S17" si="6">Q14*R14</f>
        <v>34.220865610222717</v>
      </c>
      <c r="U14" s="46" t="s">
        <v>25</v>
      </c>
      <c r="V14" s="52">
        <v>4132801000</v>
      </c>
      <c r="W14" s="14">
        <f>V14/V18</f>
        <v>0.6890087066352083</v>
      </c>
      <c r="X14">
        <v>100</v>
      </c>
      <c r="Y14" s="48">
        <f t="shared" ref="Y14:Y15" si="7">W14*X14</f>
        <v>68.900870663520834</v>
      </c>
    </row>
    <row r="15" spans="1:25" x14ac:dyDescent="0.35">
      <c r="A15" s="23">
        <v>1279513</v>
      </c>
      <c r="B15" s="2"/>
      <c r="C15" s="21" t="s">
        <v>29</v>
      </c>
      <c r="D15" s="13">
        <v>134218</v>
      </c>
      <c r="E15" s="14">
        <f>D15/D20</f>
        <v>7.7862107413253695E-2</v>
      </c>
      <c r="F15">
        <v>99.96</v>
      </c>
      <c r="G15" s="15">
        <f t="shared" si="4"/>
        <v>7.7830962570288387</v>
      </c>
      <c r="I15" s="21" t="s">
        <v>29</v>
      </c>
      <c r="J15" s="13"/>
      <c r="K15" s="14" t="e">
        <f>J15/J20</f>
        <v>#DIV/0!</v>
      </c>
      <c r="L15">
        <v>99.96</v>
      </c>
      <c r="M15" s="15" t="e">
        <f t="shared" si="5"/>
        <v>#DIV/0!</v>
      </c>
      <c r="O15" s="38" t="s">
        <v>29</v>
      </c>
      <c r="P15" s="13">
        <v>1239</v>
      </c>
      <c r="Q15" s="14">
        <f>P15/P19</f>
        <v>8.9448796159260734E-3</v>
      </c>
      <c r="R15">
        <v>99.92</v>
      </c>
      <c r="S15" s="40">
        <f t="shared" si="6"/>
        <v>0.89377237122333331</v>
      </c>
      <c r="U15" s="46" t="s">
        <v>29</v>
      </c>
      <c r="V15" s="52">
        <v>23817000</v>
      </c>
      <c r="W15" s="14">
        <f>V15/V18</f>
        <v>3.9707017990778543E-3</v>
      </c>
      <c r="X15">
        <v>99.96</v>
      </c>
      <c r="Y15" s="48">
        <f t="shared" si="7"/>
        <v>0.39691135183582227</v>
      </c>
    </row>
    <row r="16" spans="1:25" x14ac:dyDescent="0.35">
      <c r="A16" s="23">
        <v>12</v>
      </c>
      <c r="B16" s="2"/>
      <c r="C16" s="21" t="s">
        <v>30</v>
      </c>
      <c r="D16" s="13">
        <v>6691</v>
      </c>
      <c r="E16" s="14">
        <f>D16/D20</f>
        <v>3.8815610477140211E-3</v>
      </c>
      <c r="F16">
        <v>100</v>
      </c>
      <c r="G16" s="15">
        <f t="shared" si="4"/>
        <v>0.38815610477140211</v>
      </c>
      <c r="I16" s="21" t="s">
        <v>30</v>
      </c>
      <c r="J16" s="13"/>
      <c r="K16" s="14" t="e">
        <f>J16/J20</f>
        <v>#DIV/0!</v>
      </c>
      <c r="L16">
        <v>100</v>
      </c>
      <c r="M16" s="15" t="e">
        <f t="shared" si="5"/>
        <v>#DIV/0!</v>
      </c>
      <c r="O16" s="38" t="s">
        <v>30</v>
      </c>
      <c r="P16" s="13">
        <v>80093</v>
      </c>
      <c r="Q16" s="14">
        <f>P16/P19</f>
        <v>0.5782261848897231</v>
      </c>
      <c r="R16">
        <v>99.96</v>
      </c>
      <c r="S16" s="40">
        <f t="shared" si="6"/>
        <v>57.799489441576718</v>
      </c>
      <c r="U16" s="46" t="s">
        <v>31</v>
      </c>
      <c r="V16" s="52">
        <v>1838588000</v>
      </c>
      <c r="W16" s="14">
        <f>V16/V18</f>
        <v>0.30652410796334356</v>
      </c>
      <c r="X16">
        <v>100</v>
      </c>
      <c r="Y16" s="48">
        <f>W16*X16</f>
        <v>30.652410796334355</v>
      </c>
    </row>
    <row r="17" spans="1:25" x14ac:dyDescent="0.35">
      <c r="A17" s="23">
        <v>3527</v>
      </c>
      <c r="B17" s="2"/>
      <c r="C17" s="21" t="s">
        <v>31</v>
      </c>
      <c r="D17" s="13">
        <v>208239</v>
      </c>
      <c r="E17" s="14">
        <f>D17/D20</f>
        <v>0.12080292796516515</v>
      </c>
      <c r="F17">
        <v>100</v>
      </c>
      <c r="G17" s="15">
        <f t="shared" si="4"/>
        <v>12.080292796516515</v>
      </c>
      <c r="I17" s="21" t="s">
        <v>31</v>
      </c>
      <c r="J17" s="13"/>
      <c r="K17" s="14" t="e">
        <f>J17/J20</f>
        <v>#DIV/0!</v>
      </c>
      <c r="L17">
        <v>100</v>
      </c>
      <c r="M17" s="15" t="e">
        <f t="shared" si="5"/>
        <v>#DIV/0!</v>
      </c>
      <c r="O17" s="38" t="s">
        <v>31</v>
      </c>
      <c r="P17" s="13">
        <v>9404</v>
      </c>
      <c r="Q17" s="14">
        <f>P17/P19</f>
        <v>6.7891564090531709E-2</v>
      </c>
      <c r="R17">
        <v>100</v>
      </c>
      <c r="S17" s="40">
        <f t="shared" si="6"/>
        <v>6.7891564090531711</v>
      </c>
      <c r="U17" s="46" t="s">
        <v>33</v>
      </c>
      <c r="V17" s="52">
        <v>2978000</v>
      </c>
      <c r="W17" s="14">
        <f>V17/V18</f>
        <v>4.964836023703174E-4</v>
      </c>
      <c r="X17">
        <v>99.84</v>
      </c>
      <c r="Y17" s="48">
        <f>W17*X17</f>
        <v>4.9568922860652488E-2</v>
      </c>
    </row>
    <row r="18" spans="1:25" ht="15" thickBot="1" x14ac:dyDescent="0.4">
      <c r="A18" s="24">
        <f>SUM(A15:A17)</f>
        <v>1283052</v>
      </c>
      <c r="B18" s="2"/>
      <c r="C18" s="21" t="s">
        <v>32</v>
      </c>
      <c r="D18">
        <v>176</v>
      </c>
      <c r="E18" s="14">
        <f>D18/D20</f>
        <v>1.0210054467159881E-4</v>
      </c>
      <c r="F18">
        <v>100</v>
      </c>
      <c r="G18" s="15">
        <f t="shared" si="4"/>
        <v>1.0210054467159882E-2</v>
      </c>
      <c r="I18" s="21" t="s">
        <v>32</v>
      </c>
      <c r="K18" s="14" t="e">
        <f>J18/J20</f>
        <v>#DIV/0!</v>
      </c>
      <c r="L18">
        <v>100</v>
      </c>
      <c r="M18" s="15" t="e">
        <f t="shared" si="5"/>
        <v>#DIV/0!</v>
      </c>
      <c r="O18" s="38" t="s">
        <v>33</v>
      </c>
      <c r="P18" s="13">
        <v>359</v>
      </c>
      <c r="Q18" s="14">
        <f>P18/P19</f>
        <v>2.5917770638559001E-3</v>
      </c>
      <c r="R18">
        <v>99.8</v>
      </c>
      <c r="S18" s="40">
        <f>Q18*R18</f>
        <v>0.25865935097281884</v>
      </c>
      <c r="U18" s="46"/>
      <c r="V18" s="53">
        <f>SUM(V14:V17)</f>
        <v>5998184000</v>
      </c>
      <c r="W18" s="32">
        <f>SUM(W14:W17)</f>
        <v>1.0000000000000002</v>
      </c>
      <c r="X18" s="33">
        <f>AVERAGE(X14:X17)</f>
        <v>99.949999999999989</v>
      </c>
      <c r="Y18" s="58">
        <f>SUM(Y14:Y17)</f>
        <v>99.999761734551669</v>
      </c>
    </row>
    <row r="19" spans="1:25" ht="15.5" thickTop="1" thickBot="1" x14ac:dyDescent="0.4">
      <c r="B19" s="2"/>
      <c r="C19" s="21" t="s">
        <v>33</v>
      </c>
      <c r="D19" s="13">
        <v>91415</v>
      </c>
      <c r="E19" s="16">
        <f>D19/D20</f>
        <v>5.303137097246708E-2</v>
      </c>
      <c r="F19" s="17">
        <v>99.84</v>
      </c>
      <c r="G19" s="15">
        <f t="shared" si="4"/>
        <v>5.2946520778911133</v>
      </c>
      <c r="I19" s="21" t="s">
        <v>33</v>
      </c>
      <c r="J19" s="13"/>
      <c r="K19" s="16" t="e">
        <f>J19/J20</f>
        <v>#DIV/0!</v>
      </c>
      <c r="L19" s="17">
        <v>99.84</v>
      </c>
      <c r="M19" s="15" t="e">
        <f t="shared" si="5"/>
        <v>#DIV/0!</v>
      </c>
      <c r="O19" s="38"/>
      <c r="P19" s="31">
        <f>SUM(P14:P18)</f>
        <v>138515</v>
      </c>
      <c r="Q19" s="32">
        <f>SUM(Q14:Q18)</f>
        <v>1</v>
      </c>
      <c r="R19" s="33">
        <f>AVERAGE(R14:R18)</f>
        <v>99.927999999999997</v>
      </c>
      <c r="S19" s="41">
        <f>SUM(S14:S18)</f>
        <v>99.96194318304876</v>
      </c>
      <c r="U19" s="46"/>
      <c r="V19" s="42"/>
      <c r="W19" s="42"/>
      <c r="X19" s="42"/>
      <c r="Y19" s="48"/>
    </row>
    <row r="20" spans="1:25" ht="15" thickBot="1" x14ac:dyDescent="0.4">
      <c r="A20" s="10"/>
      <c r="B20" s="10"/>
      <c r="C20" s="10"/>
      <c r="D20" s="49">
        <f>SUM(D14:D19)</f>
        <v>1723791</v>
      </c>
      <c r="E20" s="50">
        <f>SUM(E14:E19)</f>
        <v>1</v>
      </c>
      <c r="F20" s="51">
        <f>AVERAGE(F14:F19)</f>
        <v>99.966666666666654</v>
      </c>
      <c r="G20" s="26">
        <f>SUM(G14:G19)</f>
        <v>99.988400496347879</v>
      </c>
      <c r="I20" s="10"/>
      <c r="J20" s="49">
        <f>SUM(J14:J19)</f>
        <v>0</v>
      </c>
      <c r="K20" s="50" t="e">
        <f>SUM(K14:K19)</f>
        <v>#DIV/0!</v>
      </c>
      <c r="L20" s="51">
        <f>AVERAGE(L14:L19)</f>
        <v>99.966666666666654</v>
      </c>
      <c r="M20" s="26" t="e">
        <f>SUM(M14:M19)</f>
        <v>#DIV/0!</v>
      </c>
      <c r="O20" s="34"/>
      <c r="P20" s="34"/>
      <c r="Q20" s="34"/>
      <c r="R20" s="36"/>
      <c r="S20" s="40"/>
      <c r="U20" s="42"/>
      <c r="V20" s="42"/>
      <c r="W20" s="42"/>
      <c r="X20" s="44"/>
      <c r="Y20" s="45"/>
    </row>
    <row r="21" spans="1:25" s="28" customFormat="1" ht="15" thickTop="1" x14ac:dyDescent="0.35">
      <c r="A21" s="29" t="s">
        <v>125</v>
      </c>
      <c r="H21" s="27"/>
      <c r="N21" s="27"/>
    </row>
    <row r="22" spans="1:25" x14ac:dyDescent="0.35">
      <c r="A22" s="20" t="s">
        <v>126</v>
      </c>
      <c r="B22" s="20"/>
      <c r="C22" s="56" t="s">
        <v>115</v>
      </c>
      <c r="D22" s="11"/>
      <c r="E22" s="11"/>
      <c r="F22" s="11"/>
      <c r="G22" s="30" t="s">
        <v>115</v>
      </c>
      <c r="I22" s="56" t="s">
        <v>115</v>
      </c>
      <c r="J22" s="11"/>
      <c r="K22" s="11"/>
      <c r="L22" s="11"/>
      <c r="M22" s="30" t="s">
        <v>115</v>
      </c>
      <c r="O22" s="55" t="s">
        <v>116</v>
      </c>
      <c r="P22" s="34"/>
      <c r="Q22" s="34"/>
      <c r="R22" s="34"/>
      <c r="S22" s="35" t="s">
        <v>116</v>
      </c>
      <c r="U22" s="57" t="s">
        <v>117</v>
      </c>
      <c r="V22" s="42"/>
      <c r="W22" s="42"/>
      <c r="X22" s="42"/>
      <c r="Y22" s="43" t="s">
        <v>117</v>
      </c>
    </row>
    <row r="23" spans="1:25" ht="15" thickBot="1" x14ac:dyDescent="0.4">
      <c r="A23" s="2"/>
      <c r="B23" s="2"/>
      <c r="C23" s="2"/>
      <c r="D23" s="18" t="s">
        <v>118</v>
      </c>
      <c r="E23" s="19" t="s">
        <v>119</v>
      </c>
      <c r="F23" s="18" t="s">
        <v>120</v>
      </c>
      <c r="G23" s="12" t="s">
        <v>121</v>
      </c>
      <c r="I23" s="2"/>
      <c r="J23" s="18" t="s">
        <v>118</v>
      </c>
      <c r="K23" s="19" t="s">
        <v>119</v>
      </c>
      <c r="L23" s="18" t="s">
        <v>120</v>
      </c>
      <c r="M23" s="12" t="s">
        <v>121</v>
      </c>
      <c r="O23" s="34"/>
      <c r="P23" s="18" t="s">
        <v>118</v>
      </c>
      <c r="Q23" s="19" t="s">
        <v>119</v>
      </c>
      <c r="R23" s="18" t="s">
        <v>120</v>
      </c>
      <c r="S23" s="39" t="s">
        <v>121</v>
      </c>
      <c r="U23" s="42"/>
      <c r="V23" s="18" t="s">
        <v>118</v>
      </c>
      <c r="W23" s="19" t="s">
        <v>119</v>
      </c>
      <c r="X23" s="18" t="s">
        <v>120</v>
      </c>
      <c r="Y23" s="47" t="s">
        <v>121</v>
      </c>
    </row>
    <row r="24" spans="1:25" ht="15" thickTop="1" x14ac:dyDescent="0.35">
      <c r="A24" s="22" t="s">
        <v>122</v>
      </c>
      <c r="B24" s="2"/>
      <c r="C24" s="21" t="s">
        <v>25</v>
      </c>
      <c r="D24" s="25">
        <v>1285734</v>
      </c>
      <c r="E24" s="14">
        <f>D24/D30</f>
        <v>0.74475378651844193</v>
      </c>
      <c r="F24">
        <v>100</v>
      </c>
      <c r="G24" s="15">
        <f t="shared" ref="G24:G29" si="8">E24*F24</f>
        <v>74.475378651844196</v>
      </c>
      <c r="I24" s="21" t="s">
        <v>25</v>
      </c>
      <c r="J24" s="25"/>
      <c r="K24" s="14" t="e">
        <f>J24/J30</f>
        <v>#DIV/0!</v>
      </c>
      <c r="L24">
        <v>100</v>
      </c>
      <c r="M24" s="15" t="e">
        <f t="shared" ref="M24:M29" si="9">K24*L24</f>
        <v>#DIV/0!</v>
      </c>
      <c r="O24" s="38" t="s">
        <v>25</v>
      </c>
      <c r="P24" s="13">
        <v>18628</v>
      </c>
      <c r="Q24" s="14">
        <f>P24/P29</f>
        <v>0.30614995233869113</v>
      </c>
      <c r="R24">
        <v>99.96</v>
      </c>
      <c r="S24" s="40">
        <f t="shared" ref="S24:S27" si="10">Q24*R24</f>
        <v>30.602749235775565</v>
      </c>
      <c r="U24" s="46" t="s">
        <v>25</v>
      </c>
      <c r="V24" s="52">
        <v>4211346000</v>
      </c>
      <c r="W24" s="14">
        <f>V24/V28</f>
        <v>0.71493583846459818</v>
      </c>
      <c r="X24">
        <v>100</v>
      </c>
      <c r="Y24" s="48">
        <f t="shared" ref="Y24:Y25" si="11">W24*X24</f>
        <v>71.493583846459813</v>
      </c>
    </row>
    <row r="25" spans="1:25" x14ac:dyDescent="0.35">
      <c r="A25" s="23">
        <v>1282195</v>
      </c>
      <c r="B25" s="2"/>
      <c r="C25" s="21" t="s">
        <v>29</v>
      </c>
      <c r="D25" s="13">
        <v>134396</v>
      </c>
      <c r="E25" s="14">
        <f>D25/D30</f>
        <v>7.7848085134975445E-2</v>
      </c>
      <c r="F25">
        <v>99.96</v>
      </c>
      <c r="G25" s="15">
        <f t="shared" si="8"/>
        <v>7.7816945900921448</v>
      </c>
      <c r="I25" s="21" t="s">
        <v>29</v>
      </c>
      <c r="J25" s="13"/>
      <c r="K25" s="14" t="e">
        <f>J25/J30</f>
        <v>#DIV/0!</v>
      </c>
      <c r="L25">
        <v>99.96</v>
      </c>
      <c r="M25" s="15" t="e">
        <f t="shared" si="9"/>
        <v>#DIV/0!</v>
      </c>
      <c r="O25" s="38" t="s">
        <v>29</v>
      </c>
      <c r="P25" s="13">
        <v>1055</v>
      </c>
      <c r="Q25" s="14">
        <f>P25/P29</f>
        <v>1.733885547118956E-2</v>
      </c>
      <c r="R25">
        <v>99.92</v>
      </c>
      <c r="S25" s="40">
        <f t="shared" si="10"/>
        <v>1.7324984386812607</v>
      </c>
      <c r="U25" s="46" t="s">
        <v>29</v>
      </c>
      <c r="V25" s="52">
        <v>24895000</v>
      </c>
      <c r="W25" s="14">
        <f>V25/V28</f>
        <v>4.2262800773377844E-3</v>
      </c>
      <c r="X25">
        <v>99.96</v>
      </c>
      <c r="Y25" s="48">
        <f t="shared" si="11"/>
        <v>0.42245895653068488</v>
      </c>
    </row>
    <row r="26" spans="1:25" x14ac:dyDescent="0.35">
      <c r="A26" s="23">
        <v>12</v>
      </c>
      <c r="B26" s="2"/>
      <c r="C26" s="21" t="s">
        <v>30</v>
      </c>
      <c r="D26" s="13">
        <v>6661</v>
      </c>
      <c r="E26" s="14">
        <f>D26/D30</f>
        <v>3.8583447058251098E-3</v>
      </c>
      <c r="F26">
        <v>100</v>
      </c>
      <c r="G26" s="15">
        <f t="shared" si="8"/>
        <v>0.38583447058251097</v>
      </c>
      <c r="I26" s="21" t="s">
        <v>30</v>
      </c>
      <c r="J26" s="13"/>
      <c r="K26" s="14" t="e">
        <f>J26/J30</f>
        <v>#DIV/0!</v>
      </c>
      <c r="L26">
        <v>100</v>
      </c>
      <c r="M26" s="15" t="e">
        <f t="shared" si="9"/>
        <v>#DIV/0!</v>
      </c>
      <c r="O26" s="38" t="s">
        <v>30</v>
      </c>
      <c r="P26" s="13">
        <v>39929</v>
      </c>
      <c r="Q26" s="14">
        <f>P26/P29</f>
        <v>0.65623048351576108</v>
      </c>
      <c r="R26">
        <v>99.96</v>
      </c>
      <c r="S26" s="40">
        <f t="shared" si="10"/>
        <v>65.596799132235475</v>
      </c>
      <c r="U26" s="46" t="s">
        <v>31</v>
      </c>
      <c r="V26" s="52">
        <v>1650980000</v>
      </c>
      <c r="W26" s="14">
        <f>V26/V28</f>
        <v>0.28027732002744071</v>
      </c>
      <c r="X26">
        <v>100</v>
      </c>
      <c r="Y26" s="48">
        <f>W26*X26</f>
        <v>28.02773200274407</v>
      </c>
    </row>
    <row r="27" spans="1:25" x14ac:dyDescent="0.35">
      <c r="A27" s="23">
        <v>3527</v>
      </c>
      <c r="B27" s="2"/>
      <c r="C27" s="21" t="s">
        <v>31</v>
      </c>
      <c r="D27" s="13">
        <v>208064</v>
      </c>
      <c r="E27" s="14">
        <f>D27/D30</f>
        <v>0.12051983679219272</v>
      </c>
      <c r="F27">
        <v>100</v>
      </c>
      <c r="G27" s="15">
        <f t="shared" si="8"/>
        <v>12.051983679219273</v>
      </c>
      <c r="I27" s="21" t="s">
        <v>31</v>
      </c>
      <c r="J27" s="13"/>
      <c r="K27" s="14" t="e">
        <f>J27/J30</f>
        <v>#DIV/0!</v>
      </c>
      <c r="L27">
        <v>100</v>
      </c>
      <c r="M27" s="15" t="e">
        <f t="shared" si="9"/>
        <v>#DIV/0!</v>
      </c>
      <c r="O27" s="38" t="s">
        <v>31</v>
      </c>
      <c r="P27" s="13">
        <v>1001</v>
      </c>
      <c r="Q27" s="14">
        <f>P27/P29</f>
        <v>1.6451369030010189E-2</v>
      </c>
      <c r="R27">
        <v>100</v>
      </c>
      <c r="S27" s="40">
        <f t="shared" si="10"/>
        <v>1.645136903001019</v>
      </c>
      <c r="U27" s="46" t="s">
        <v>33</v>
      </c>
      <c r="V27" s="52">
        <v>3302000</v>
      </c>
      <c r="W27" s="14">
        <f>V27/V28</f>
        <v>5.6056143062339285E-4</v>
      </c>
      <c r="X27">
        <v>99.84</v>
      </c>
      <c r="Y27" s="48">
        <f>W27*X27</f>
        <v>5.5966453233439545E-2</v>
      </c>
    </row>
    <row r="28" spans="1:25" ht="15" thickBot="1" x14ac:dyDescent="0.4">
      <c r="A28" s="24">
        <f>SUM(A25:A27)</f>
        <v>1285734</v>
      </c>
      <c r="B28" s="2"/>
      <c r="C28" s="21" t="s">
        <v>32</v>
      </c>
      <c r="D28">
        <v>176</v>
      </c>
      <c r="E28" s="14">
        <f>D28/D30</f>
        <v>1.0194695514565672E-4</v>
      </c>
      <c r="F28">
        <v>100</v>
      </c>
      <c r="G28" s="15">
        <f t="shared" si="8"/>
        <v>1.0194695514565671E-2</v>
      </c>
      <c r="I28" s="21" t="s">
        <v>32</v>
      </c>
      <c r="K28" s="14" t="e">
        <f>J28/J30</f>
        <v>#DIV/0!</v>
      </c>
      <c r="L28">
        <v>100</v>
      </c>
      <c r="M28" s="15" t="e">
        <f t="shared" si="9"/>
        <v>#DIV/0!</v>
      </c>
      <c r="O28" s="38" t="s">
        <v>33</v>
      </c>
      <c r="P28" s="13">
        <v>233</v>
      </c>
      <c r="Q28" s="14">
        <f>P28/P29</f>
        <v>3.8293396443480261E-3</v>
      </c>
      <c r="R28">
        <v>99.8</v>
      </c>
      <c r="S28" s="40">
        <f>Q28*R28</f>
        <v>0.38216809650593297</v>
      </c>
      <c r="U28" s="46"/>
      <c r="V28" s="53">
        <f>SUM(V24:V27)</f>
        <v>5890523000</v>
      </c>
      <c r="W28" s="32">
        <f>SUM(W24:W27)</f>
        <v>1.0000000000000002</v>
      </c>
      <c r="X28" s="33">
        <f>AVERAGE(X24:X27)</f>
        <v>99.949999999999989</v>
      </c>
      <c r="Y28" s="58">
        <f>SUM(Y24:Y27)</f>
        <v>99.999741258968015</v>
      </c>
    </row>
    <row r="29" spans="1:25" ht="15.5" thickTop="1" thickBot="1" x14ac:dyDescent="0.4">
      <c r="B29" s="2"/>
      <c r="C29" s="21" t="s">
        <v>33</v>
      </c>
      <c r="D29" s="13">
        <v>91357</v>
      </c>
      <c r="E29" s="16">
        <f>D29/D30</f>
        <v>5.2917999893419089E-2</v>
      </c>
      <c r="F29" s="17">
        <v>99.84</v>
      </c>
      <c r="G29" s="15">
        <f t="shared" si="8"/>
        <v>5.2833331093589617</v>
      </c>
      <c r="I29" s="21" t="s">
        <v>33</v>
      </c>
      <c r="J29" s="13"/>
      <c r="K29" s="16" t="e">
        <f>J29/J30</f>
        <v>#DIV/0!</v>
      </c>
      <c r="L29" s="17">
        <v>99.84</v>
      </c>
      <c r="M29" s="15" t="e">
        <f t="shared" si="9"/>
        <v>#DIV/0!</v>
      </c>
      <c r="O29" s="38"/>
      <c r="P29" s="31">
        <f>SUM(P24:P28)</f>
        <v>60846</v>
      </c>
      <c r="Q29" s="32">
        <f>SUM(Q24:Q28)</f>
        <v>1</v>
      </c>
      <c r="R29" s="33">
        <f>AVERAGE(R24:R28)</f>
        <v>99.927999999999997</v>
      </c>
      <c r="S29" s="41">
        <f>SUM(S24:S28)</f>
        <v>99.959351806199251</v>
      </c>
      <c r="U29" s="46"/>
      <c r="V29" s="42"/>
      <c r="W29" s="42"/>
      <c r="X29" s="42"/>
      <c r="Y29" s="48"/>
    </row>
    <row r="30" spans="1:25" ht="15" thickBot="1" x14ac:dyDescent="0.4">
      <c r="A30" s="10"/>
      <c r="B30" s="10"/>
      <c r="C30" s="10"/>
      <c r="D30" s="49">
        <f>SUM(D24:D29)</f>
        <v>1726388</v>
      </c>
      <c r="E30" s="50">
        <f>SUM(E24:E29)</f>
        <v>0.99999999999999989</v>
      </c>
      <c r="F30" s="51">
        <f>AVERAGE(F24:F29)</f>
        <v>99.966666666666654</v>
      </c>
      <c r="G30" s="26">
        <f>SUM(G24:G29)</f>
        <v>99.988419196611659</v>
      </c>
      <c r="I30" s="10"/>
      <c r="J30" s="49">
        <f>SUM(J24:J29)</f>
        <v>0</v>
      </c>
      <c r="K30" s="50" t="e">
        <f>SUM(K24:K29)</f>
        <v>#DIV/0!</v>
      </c>
      <c r="L30" s="51">
        <f>AVERAGE(L24:L29)</f>
        <v>99.966666666666654</v>
      </c>
      <c r="M30" s="26" t="e">
        <f>SUM(M24:M29)</f>
        <v>#DIV/0!</v>
      </c>
      <c r="O30" s="34"/>
      <c r="P30" s="34"/>
      <c r="Q30" s="34"/>
      <c r="R30" s="36"/>
      <c r="S30" s="40"/>
      <c r="U30" s="42"/>
      <c r="V30" s="42"/>
      <c r="W30" s="42"/>
      <c r="X30" s="44"/>
      <c r="Y30" s="45"/>
    </row>
    <row r="31" spans="1:25" s="28" customFormat="1" ht="15" thickTop="1" x14ac:dyDescent="0.35">
      <c r="A31" s="29" t="s">
        <v>127</v>
      </c>
      <c r="H31" s="27"/>
      <c r="N31" s="27"/>
    </row>
    <row r="32" spans="1:25" x14ac:dyDescent="0.35">
      <c r="A32" s="20" t="s">
        <v>128</v>
      </c>
      <c r="B32" s="20"/>
      <c r="C32" s="56" t="s">
        <v>115</v>
      </c>
      <c r="D32" s="11"/>
      <c r="E32" s="11"/>
      <c r="F32" s="11"/>
      <c r="G32" s="30" t="s">
        <v>115</v>
      </c>
      <c r="I32" s="56" t="s">
        <v>115</v>
      </c>
      <c r="J32" s="11"/>
      <c r="K32" s="11"/>
      <c r="L32" s="11"/>
      <c r="M32" s="30" t="s">
        <v>115</v>
      </c>
      <c r="O32" s="55" t="s">
        <v>116</v>
      </c>
      <c r="P32" s="34"/>
      <c r="Q32" s="34"/>
      <c r="R32" s="34"/>
      <c r="S32" s="35" t="s">
        <v>116</v>
      </c>
      <c r="U32" s="57" t="s">
        <v>117</v>
      </c>
      <c r="V32" s="42"/>
      <c r="W32" s="42"/>
      <c r="X32" s="42"/>
      <c r="Y32" s="43" t="s">
        <v>117</v>
      </c>
    </row>
    <row r="33" spans="1:25" ht="15" thickBot="1" x14ac:dyDescent="0.4">
      <c r="A33" s="2"/>
      <c r="B33" s="2"/>
      <c r="C33" s="2"/>
      <c r="D33" s="18" t="s">
        <v>118</v>
      </c>
      <c r="E33" s="19" t="s">
        <v>119</v>
      </c>
      <c r="F33" s="18" t="s">
        <v>120</v>
      </c>
      <c r="G33" s="12" t="s">
        <v>121</v>
      </c>
      <c r="I33" s="2"/>
      <c r="J33" s="18" t="s">
        <v>118</v>
      </c>
      <c r="K33" s="19" t="s">
        <v>119</v>
      </c>
      <c r="L33" s="18" t="s">
        <v>120</v>
      </c>
      <c r="M33" s="12" t="s">
        <v>121</v>
      </c>
      <c r="O33" s="34"/>
      <c r="P33" s="18" t="s">
        <v>118</v>
      </c>
      <c r="Q33" s="19" t="s">
        <v>119</v>
      </c>
      <c r="R33" s="18" t="s">
        <v>120</v>
      </c>
      <c r="S33" s="39" t="s">
        <v>121</v>
      </c>
      <c r="U33" s="42"/>
      <c r="V33" s="18" t="s">
        <v>118</v>
      </c>
      <c r="W33" s="19" t="s">
        <v>119</v>
      </c>
      <c r="X33" s="18" t="s">
        <v>120</v>
      </c>
      <c r="Y33" s="47" t="s">
        <v>121</v>
      </c>
    </row>
    <row r="34" spans="1:25" ht="15" thickTop="1" x14ac:dyDescent="0.35">
      <c r="A34" s="22" t="s">
        <v>122</v>
      </c>
      <c r="B34" s="2"/>
      <c r="C34" s="21" t="s">
        <v>25</v>
      </c>
      <c r="D34" s="25">
        <v>1289124</v>
      </c>
      <c r="E34" s="14">
        <f>D34/D40</f>
        <v>0.74561781999775589</v>
      </c>
      <c r="F34">
        <v>100</v>
      </c>
      <c r="G34" s="15">
        <f t="shared" ref="G34:G39" si="12">E34*F34</f>
        <v>74.56178199977559</v>
      </c>
      <c r="I34" s="21" t="s">
        <v>25</v>
      </c>
      <c r="J34" s="52">
        <v>2862963.63458591</v>
      </c>
      <c r="K34" s="14">
        <f>J34/J40</f>
        <v>0.74310904500213937</v>
      </c>
      <c r="L34">
        <v>100</v>
      </c>
      <c r="M34" s="15">
        <f t="shared" ref="M34:M39" si="13">K34*L34</f>
        <v>74.310904500213937</v>
      </c>
      <c r="O34" s="38" t="s">
        <v>25</v>
      </c>
      <c r="P34" s="13">
        <v>50281</v>
      </c>
      <c r="Q34" s="14">
        <f>P34/P39</f>
        <v>0.31515444015444016</v>
      </c>
      <c r="R34">
        <v>99.96</v>
      </c>
      <c r="S34" s="40">
        <f t="shared" ref="S34:S37" si="14">Q34*R34</f>
        <v>31.502837837837838</v>
      </c>
      <c r="U34" s="46" t="s">
        <v>25</v>
      </c>
      <c r="V34" s="52">
        <v>4407582000</v>
      </c>
      <c r="W34" s="14">
        <f>V34/V38</f>
        <v>0.7286185632520894</v>
      </c>
      <c r="X34">
        <v>100</v>
      </c>
      <c r="Y34" s="48">
        <f t="shared" ref="Y34:Y35" si="15">W34*X34</f>
        <v>72.861856325208947</v>
      </c>
    </row>
    <row r="35" spans="1:25" x14ac:dyDescent="0.35">
      <c r="A35" s="23">
        <v>1285585</v>
      </c>
      <c r="B35" s="2"/>
      <c r="C35" s="21" t="s">
        <v>29</v>
      </c>
      <c r="D35" s="13">
        <v>133783</v>
      </c>
      <c r="E35" s="14">
        <f>D35/D40</f>
        <v>7.737889358413913E-2</v>
      </c>
      <c r="F35">
        <v>99.96</v>
      </c>
      <c r="G35" s="15">
        <f t="shared" si="12"/>
        <v>7.734794202670547</v>
      </c>
      <c r="I35" s="21" t="s">
        <v>29</v>
      </c>
      <c r="J35" s="52">
        <v>560139.59750461578</v>
      </c>
      <c r="K35" s="14">
        <f>J35/J40</f>
        <v>0.1453894825421847</v>
      </c>
      <c r="L35">
        <v>99.96</v>
      </c>
      <c r="M35" s="15">
        <f t="shared" si="13"/>
        <v>14.533132674916782</v>
      </c>
      <c r="O35" s="38" t="s">
        <v>29</v>
      </c>
      <c r="P35" s="13">
        <v>2185</v>
      </c>
      <c r="Q35" s="14">
        <f>P35/P39</f>
        <v>1.369528155242441E-2</v>
      </c>
      <c r="R35">
        <v>99.92</v>
      </c>
      <c r="S35" s="40">
        <f t="shared" si="14"/>
        <v>1.3684325327182472</v>
      </c>
      <c r="U35" s="46" t="s">
        <v>29</v>
      </c>
      <c r="V35" s="52">
        <v>19345000</v>
      </c>
      <c r="W35" s="14">
        <f>V35/V38</f>
        <v>3.1979271414829423E-3</v>
      </c>
      <c r="X35">
        <v>99.96</v>
      </c>
      <c r="Y35" s="48">
        <f t="shared" si="15"/>
        <v>0.3196647970626349</v>
      </c>
    </row>
    <row r="36" spans="1:25" x14ac:dyDescent="0.35">
      <c r="A36" s="23">
        <v>12</v>
      </c>
      <c r="B36" s="2"/>
      <c r="C36" s="21" t="s">
        <v>30</v>
      </c>
      <c r="D36" s="13">
        <v>6667</v>
      </c>
      <c r="E36" s="14">
        <f>D36/D40</f>
        <v>3.8561333168299081E-3</v>
      </c>
      <c r="F36">
        <v>100</v>
      </c>
      <c r="G36" s="15">
        <f t="shared" si="12"/>
        <v>0.38561333168299083</v>
      </c>
      <c r="I36" s="21" t="s">
        <v>30</v>
      </c>
      <c r="J36" s="52">
        <v>11404.48840713501</v>
      </c>
      <c r="K36" s="14">
        <f>J36/J40</f>
        <v>2.960141856705711E-3</v>
      </c>
      <c r="L36">
        <v>100</v>
      </c>
      <c r="M36" s="15">
        <f t="shared" si="13"/>
        <v>0.29601418567057108</v>
      </c>
      <c r="O36" s="38" t="s">
        <v>30</v>
      </c>
      <c r="P36" s="13">
        <v>104583</v>
      </c>
      <c r="Q36" s="14">
        <f>P36/P39</f>
        <v>0.65551195908338766</v>
      </c>
      <c r="R36">
        <v>99.96</v>
      </c>
      <c r="S36" s="40">
        <f t="shared" si="14"/>
        <v>65.524975429975427</v>
      </c>
      <c r="U36" s="46" t="s">
        <v>31</v>
      </c>
      <c r="V36" s="52">
        <v>1618714000</v>
      </c>
      <c r="W36" s="14">
        <f>V36/V38</f>
        <v>0.26759004574300438</v>
      </c>
      <c r="X36">
        <v>100</v>
      </c>
      <c r="Y36" s="48">
        <f>W36*X36</f>
        <v>26.759004574300437</v>
      </c>
    </row>
    <row r="37" spans="1:25" x14ac:dyDescent="0.35">
      <c r="A37" s="23">
        <v>3527</v>
      </c>
      <c r="B37" s="2"/>
      <c r="C37" s="21" t="s">
        <v>31</v>
      </c>
      <c r="D37" s="13">
        <v>207949</v>
      </c>
      <c r="E37" s="14">
        <f>D37/D40</f>
        <v>0.12027584627290573</v>
      </c>
      <c r="F37">
        <v>100</v>
      </c>
      <c r="G37" s="15">
        <f t="shared" si="12"/>
        <v>12.027584627290572</v>
      </c>
      <c r="I37" s="21" t="s">
        <v>31</v>
      </c>
      <c r="J37" s="52">
        <v>84981.091991424561</v>
      </c>
      <c r="K37" s="14">
        <f>J37/J40</f>
        <v>2.2057638927055499E-2</v>
      </c>
      <c r="L37">
        <v>100</v>
      </c>
      <c r="M37" s="15">
        <f t="shared" si="13"/>
        <v>2.2057638927055501</v>
      </c>
      <c r="O37" s="38" t="s">
        <v>31</v>
      </c>
      <c r="P37" s="13">
        <v>1907</v>
      </c>
      <c r="Q37" s="14">
        <f>P37/P39</f>
        <v>1.1952815524244096E-2</v>
      </c>
      <c r="R37">
        <v>100</v>
      </c>
      <c r="S37" s="40">
        <f t="shared" si="14"/>
        <v>1.1952815524244096</v>
      </c>
      <c r="U37" s="46" t="s">
        <v>33</v>
      </c>
      <c r="V37" s="52">
        <v>3590000</v>
      </c>
      <c r="W37" s="14">
        <f>V37/V38</f>
        <v>5.9346386342330119E-4</v>
      </c>
      <c r="X37">
        <v>99.84</v>
      </c>
      <c r="Y37" s="48">
        <f>W37*X37</f>
        <v>5.9251432124182393E-2</v>
      </c>
    </row>
    <row r="38" spans="1:25" ht="15" thickBot="1" x14ac:dyDescent="0.4">
      <c r="A38" s="24">
        <f>SUM(A35:A37)</f>
        <v>1289124</v>
      </c>
      <c r="B38" s="2"/>
      <c r="C38" s="21" t="s">
        <v>32</v>
      </c>
      <c r="D38">
        <v>175</v>
      </c>
      <c r="E38" s="14">
        <f>D38/D40</f>
        <v>1.0121843864485284E-4</v>
      </c>
      <c r="F38">
        <v>100</v>
      </c>
      <c r="G38" s="15">
        <f t="shared" si="12"/>
        <v>1.0121843864485284E-2</v>
      </c>
      <c r="I38" s="21" t="s">
        <v>32</v>
      </c>
      <c r="J38" s="52">
        <v>223.93901824951172</v>
      </c>
      <c r="K38" s="14">
        <f>J38/J40</f>
        <v>5.8125471095681762E-5</v>
      </c>
      <c r="L38">
        <v>100</v>
      </c>
      <c r="M38" s="15">
        <f t="shared" si="13"/>
        <v>5.8125471095681761E-3</v>
      </c>
      <c r="O38" s="38" t="s">
        <v>33</v>
      </c>
      <c r="P38" s="13">
        <v>588</v>
      </c>
      <c r="Q38" s="14">
        <f>P38/P39</f>
        <v>3.6855036855036856E-3</v>
      </c>
      <c r="R38">
        <v>99.8</v>
      </c>
      <c r="S38" s="40">
        <f>Q38*R38</f>
        <v>0.36781326781326784</v>
      </c>
      <c r="U38" s="46"/>
      <c r="V38" s="53">
        <f>SUM(V34:V37)</f>
        <v>6049231000</v>
      </c>
      <c r="W38" s="32">
        <f>SUM(W34:W37)</f>
        <v>1</v>
      </c>
      <c r="X38" s="33">
        <f>AVERAGE(X34:X37)</f>
        <v>99.949999999999989</v>
      </c>
      <c r="Y38" s="58">
        <f>SUM(Y34:Y37)</f>
        <v>99.999777128696195</v>
      </c>
    </row>
    <row r="39" spans="1:25" ht="15.5" thickTop="1" thickBot="1" x14ac:dyDescent="0.4">
      <c r="B39" s="2"/>
      <c r="C39" s="21" t="s">
        <v>33</v>
      </c>
      <c r="D39" s="13">
        <v>91236</v>
      </c>
      <c r="E39" s="16">
        <f>D39/D40</f>
        <v>5.2770088389724537E-2</v>
      </c>
      <c r="F39" s="17">
        <v>99.84</v>
      </c>
      <c r="G39" s="15">
        <f t="shared" si="12"/>
        <v>5.2685656248300976</v>
      </c>
      <c r="I39" s="21" t="s">
        <v>33</v>
      </c>
      <c r="J39" s="52">
        <v>332970.31545448303</v>
      </c>
      <c r="K39" s="16">
        <f>J39/J40</f>
        <v>8.642556620081901E-2</v>
      </c>
      <c r="L39" s="17">
        <v>99.84</v>
      </c>
      <c r="M39" s="15">
        <f t="shared" si="13"/>
        <v>8.62872852948977</v>
      </c>
      <c r="O39" s="38"/>
      <c r="P39" s="31">
        <f>SUM(P34:P38)</f>
        <v>159544</v>
      </c>
      <c r="Q39" s="32">
        <f>SUM(Q34:Q38)</f>
        <v>1</v>
      </c>
      <c r="R39" s="33">
        <f>AVERAGE(R34:R38)</f>
        <v>99.927999999999997</v>
      </c>
      <c r="S39" s="41">
        <f>SUM(S34:S38)</f>
        <v>99.959340620769183</v>
      </c>
      <c r="U39" s="46"/>
      <c r="V39" s="42"/>
      <c r="W39" s="42"/>
      <c r="X39" s="42"/>
      <c r="Y39" s="48"/>
    </row>
    <row r="40" spans="1:25" ht="15" thickBot="1" x14ac:dyDescent="0.4">
      <c r="A40" s="10"/>
      <c r="B40" s="10"/>
      <c r="C40" s="10"/>
      <c r="D40" s="49">
        <f>SUM(D34:D39)</f>
        <v>1728934</v>
      </c>
      <c r="E40" s="50">
        <f>SUM(E34:E39)</f>
        <v>1</v>
      </c>
      <c r="F40" s="51">
        <f>AVERAGE(F34:F39)</f>
        <v>99.966666666666654</v>
      </c>
      <c r="G40" s="26">
        <f>SUM(G34:G39)</f>
        <v>99.988461630114273</v>
      </c>
      <c r="I40" s="10"/>
      <c r="J40" s="49">
        <f>SUM(J34:J39)</f>
        <v>3852683.0669618179</v>
      </c>
      <c r="K40" s="50">
        <f>SUM(K34:K39)</f>
        <v>0.99999999999999978</v>
      </c>
      <c r="L40" s="51">
        <f>AVERAGE(L34:L39)</f>
        <v>99.966666666666654</v>
      </c>
      <c r="M40" s="26">
        <f>SUM(M34:M39)</f>
        <v>99.98035633010619</v>
      </c>
      <c r="O40" s="34"/>
      <c r="P40" s="34"/>
      <c r="Q40" s="34"/>
      <c r="R40" s="36"/>
      <c r="S40" s="40"/>
      <c r="U40" s="42"/>
      <c r="V40" s="42"/>
      <c r="W40" s="42"/>
      <c r="X40" s="44"/>
      <c r="Y40" s="45"/>
    </row>
    <row r="41" spans="1:25" s="28" customFormat="1" ht="15" thickTop="1" x14ac:dyDescent="0.35">
      <c r="A41" s="29" t="s">
        <v>129</v>
      </c>
      <c r="H41" s="27"/>
      <c r="N41" s="27"/>
    </row>
    <row r="42" spans="1:25" x14ac:dyDescent="0.35">
      <c r="A42" s="20" t="s">
        <v>130</v>
      </c>
      <c r="B42" s="20"/>
      <c r="C42" s="56" t="s">
        <v>115</v>
      </c>
      <c r="D42" s="11"/>
      <c r="E42" s="11"/>
      <c r="F42" s="11"/>
      <c r="G42" s="30" t="s">
        <v>115</v>
      </c>
      <c r="I42" s="56" t="s">
        <v>115</v>
      </c>
      <c r="J42" s="11"/>
      <c r="K42" s="11"/>
      <c r="L42" s="11"/>
      <c r="M42" s="30" t="s">
        <v>115</v>
      </c>
      <c r="O42" s="55" t="s">
        <v>116</v>
      </c>
      <c r="P42" s="34"/>
      <c r="Q42" s="34"/>
      <c r="R42" s="34"/>
      <c r="S42" s="35" t="s">
        <v>116</v>
      </c>
      <c r="U42" s="57" t="s">
        <v>117</v>
      </c>
      <c r="V42" s="42"/>
      <c r="W42" s="42"/>
      <c r="X42" s="42"/>
      <c r="Y42" s="43" t="s">
        <v>117</v>
      </c>
    </row>
    <row r="43" spans="1:25" ht="15" thickBot="1" x14ac:dyDescent="0.4">
      <c r="A43" s="2"/>
      <c r="B43" s="2"/>
      <c r="C43" s="2"/>
      <c r="D43" s="18" t="s">
        <v>118</v>
      </c>
      <c r="E43" s="19" t="s">
        <v>119</v>
      </c>
      <c r="F43" s="18" t="s">
        <v>120</v>
      </c>
      <c r="G43" s="12" t="s">
        <v>121</v>
      </c>
      <c r="I43" s="2"/>
      <c r="J43" s="18" t="s">
        <v>118</v>
      </c>
      <c r="K43" s="19" t="s">
        <v>119</v>
      </c>
      <c r="L43" s="18" t="s">
        <v>120</v>
      </c>
      <c r="M43" s="12" t="s">
        <v>121</v>
      </c>
      <c r="O43" s="34"/>
      <c r="P43" s="18" t="s">
        <v>118</v>
      </c>
      <c r="Q43" s="19" t="s">
        <v>119</v>
      </c>
      <c r="R43" s="18" t="s">
        <v>120</v>
      </c>
      <c r="S43" s="39" t="s">
        <v>121</v>
      </c>
      <c r="U43" s="42"/>
      <c r="V43" s="18" t="s">
        <v>118</v>
      </c>
      <c r="W43" s="19" t="s">
        <v>119</v>
      </c>
      <c r="X43" s="18" t="s">
        <v>120</v>
      </c>
      <c r="Y43" s="47" t="s">
        <v>121</v>
      </c>
    </row>
    <row r="44" spans="1:25" ht="15" thickTop="1" x14ac:dyDescent="0.35">
      <c r="A44" s="22" t="s">
        <v>122</v>
      </c>
      <c r="B44" s="2"/>
      <c r="C44" s="21" t="s">
        <v>25</v>
      </c>
      <c r="D44" s="25">
        <v>1290848</v>
      </c>
      <c r="E44" s="14">
        <f>D44/D50</f>
        <v>0.74600010749214474</v>
      </c>
      <c r="F44">
        <v>100</v>
      </c>
      <c r="G44" s="15">
        <f t="shared" ref="G44:G49" si="16">E44*F44</f>
        <v>74.600010749214476</v>
      </c>
      <c r="I44" s="21" t="s">
        <v>25</v>
      </c>
      <c r="J44" s="52">
        <v>2908350.5233297348</v>
      </c>
      <c r="K44" s="14">
        <f>J44/J50</f>
        <v>0.74702585619330475</v>
      </c>
      <c r="L44">
        <v>100</v>
      </c>
      <c r="M44" s="15">
        <f t="shared" ref="M44:M49" si="17">K44*L44</f>
        <v>74.702585619330478</v>
      </c>
      <c r="O44" s="38" t="s">
        <v>25</v>
      </c>
      <c r="P44" s="13">
        <v>104028</v>
      </c>
      <c r="Q44" s="14">
        <f>P44/P49</f>
        <v>0.47557613798967729</v>
      </c>
      <c r="R44">
        <v>99.96</v>
      </c>
      <c r="S44" s="40">
        <f t="shared" ref="S44:S47" si="18">Q44*R44</f>
        <v>47.53859075344814</v>
      </c>
      <c r="U44" s="46" t="s">
        <v>25</v>
      </c>
      <c r="V44" s="52">
        <v>3851427000</v>
      </c>
      <c r="W44" s="14">
        <f>V44/V48</f>
        <v>0.76793643602947304</v>
      </c>
      <c r="X44">
        <v>100</v>
      </c>
      <c r="Y44" s="48">
        <f t="shared" ref="Y44:Y45" si="19">W44*X44</f>
        <v>76.793643602947299</v>
      </c>
    </row>
    <row r="45" spans="1:25" x14ac:dyDescent="0.35">
      <c r="A45" s="23">
        <v>1287309</v>
      </c>
      <c r="B45" s="2"/>
      <c r="C45" s="21" t="s">
        <v>29</v>
      </c>
      <c r="D45" s="13">
        <v>131538</v>
      </c>
      <c r="E45" s="14">
        <f>D45/D50</f>
        <v>7.601775122965812E-2</v>
      </c>
      <c r="F45">
        <v>99.96</v>
      </c>
      <c r="G45" s="15">
        <f t="shared" si="16"/>
        <v>7.5987344129166257</v>
      </c>
      <c r="I45" s="21" t="s">
        <v>29</v>
      </c>
      <c r="J45" s="52">
        <v>558893.23026371002</v>
      </c>
      <c r="K45" s="14">
        <f>J45/J50</f>
        <v>0.14355480555362715</v>
      </c>
      <c r="L45">
        <v>99.96</v>
      </c>
      <c r="M45" s="15">
        <f t="shared" si="17"/>
        <v>14.349738363140569</v>
      </c>
      <c r="O45" s="38" t="s">
        <v>29</v>
      </c>
      <c r="P45" s="13">
        <v>3556</v>
      </c>
      <c r="Q45" s="14">
        <f>P45/P49</f>
        <v>1.6256668845803943E-2</v>
      </c>
      <c r="R45">
        <v>99.92</v>
      </c>
      <c r="S45" s="40">
        <f t="shared" si="18"/>
        <v>1.62436635107273</v>
      </c>
      <c r="U45" s="46" t="s">
        <v>29</v>
      </c>
      <c r="V45" s="52">
        <v>38525000</v>
      </c>
      <c r="W45" s="14">
        <f>V45/V48</f>
        <v>7.6815038161272301E-3</v>
      </c>
      <c r="X45">
        <v>99.96</v>
      </c>
      <c r="Y45" s="48">
        <f t="shared" si="19"/>
        <v>0.76784312146007783</v>
      </c>
    </row>
    <row r="46" spans="1:25" x14ac:dyDescent="0.35">
      <c r="A46" s="23">
        <v>12</v>
      </c>
      <c r="B46" s="2"/>
      <c r="C46" s="21" t="s">
        <v>30</v>
      </c>
      <c r="D46" s="13">
        <v>6684</v>
      </c>
      <c r="E46" s="14">
        <f>D46/D50</f>
        <v>3.8627822318952308E-3</v>
      </c>
      <c r="F46">
        <v>100</v>
      </c>
      <c r="G46" s="15">
        <f t="shared" si="16"/>
        <v>0.3862782231895231</v>
      </c>
      <c r="I46" s="21" t="s">
        <v>30</v>
      </c>
      <c r="J46" s="52">
        <v>11059.072323799133</v>
      </c>
      <c r="K46" s="14">
        <f>J46/J50</f>
        <v>2.8405836590602355E-3</v>
      </c>
      <c r="L46">
        <v>100</v>
      </c>
      <c r="M46" s="15">
        <f t="shared" si="17"/>
        <v>0.28405836590602357</v>
      </c>
      <c r="O46" s="38" t="s">
        <v>30</v>
      </c>
      <c r="P46" s="13">
        <v>108636</v>
      </c>
      <c r="Q46" s="14">
        <f>P46/P49</f>
        <v>0.49664214756264258</v>
      </c>
      <c r="R46">
        <v>99.96</v>
      </c>
      <c r="S46" s="40">
        <f t="shared" si="18"/>
        <v>49.644349070361748</v>
      </c>
      <c r="U46" s="46" t="s">
        <v>31</v>
      </c>
      <c r="V46" s="52">
        <v>1121968000</v>
      </c>
      <c r="W46" s="14">
        <f>V46/V48</f>
        <v>0.22370931793829035</v>
      </c>
      <c r="X46">
        <v>100</v>
      </c>
      <c r="Y46" s="48">
        <f>W46*X46</f>
        <v>22.370931793829037</v>
      </c>
    </row>
    <row r="47" spans="1:25" x14ac:dyDescent="0.35">
      <c r="A47" s="23">
        <v>3527</v>
      </c>
      <c r="B47" s="2"/>
      <c r="C47" s="21" t="s">
        <v>31</v>
      </c>
      <c r="D47" s="13">
        <v>207858</v>
      </c>
      <c r="E47" s="14">
        <f>D47/D50</f>
        <v>0.12012420543944927</v>
      </c>
      <c r="F47">
        <v>100</v>
      </c>
      <c r="G47" s="15">
        <f t="shared" si="16"/>
        <v>12.012420543944927</v>
      </c>
      <c r="I47" s="21" t="s">
        <v>31</v>
      </c>
      <c r="J47" s="52">
        <v>81770.01053237915</v>
      </c>
      <c r="K47" s="14">
        <f>J47/J50</f>
        <v>2.1003077737325626E-2</v>
      </c>
      <c r="L47">
        <v>100</v>
      </c>
      <c r="M47" s="15">
        <f t="shared" si="17"/>
        <v>2.1003077737325624</v>
      </c>
      <c r="O47" s="38" t="s">
        <v>31</v>
      </c>
      <c r="P47" s="13">
        <v>1987</v>
      </c>
      <c r="Q47" s="14">
        <f>P47/P49</f>
        <v>9.0838023050091206E-3</v>
      </c>
      <c r="R47">
        <v>100</v>
      </c>
      <c r="S47" s="40">
        <f t="shared" si="18"/>
        <v>0.9083802305009121</v>
      </c>
      <c r="U47" s="46" t="s">
        <v>33</v>
      </c>
      <c r="V47" s="52">
        <v>3374000</v>
      </c>
      <c r="W47" s="14">
        <f>V47/V48</f>
        <v>6.7274221610936471E-4</v>
      </c>
      <c r="X47">
        <v>99.84</v>
      </c>
      <c r="Y47" s="48">
        <f>W47*X47</f>
        <v>6.7166582856358972E-2</v>
      </c>
    </row>
    <row r="48" spans="1:25" ht="15" thickBot="1" x14ac:dyDescent="0.4">
      <c r="A48" s="24">
        <f>SUM(A45:A47)</f>
        <v>1290848</v>
      </c>
      <c r="B48" s="2"/>
      <c r="C48" s="21" t="s">
        <v>32</v>
      </c>
      <c r="D48">
        <v>175</v>
      </c>
      <c r="E48" s="14">
        <f>D48/D50</f>
        <v>1.0113508237307981E-4</v>
      </c>
      <c r="F48">
        <v>100</v>
      </c>
      <c r="G48" s="15">
        <f t="shared" si="16"/>
        <v>1.0113508237307981E-2</v>
      </c>
      <c r="I48" s="21" t="s">
        <v>32</v>
      </c>
      <c r="J48" s="52">
        <v>492.18568325042725</v>
      </c>
      <c r="K48" s="14">
        <f>J48/J50</f>
        <v>1.2642060456154714E-4</v>
      </c>
      <c r="L48">
        <v>100</v>
      </c>
      <c r="M48" s="15">
        <f t="shared" si="17"/>
        <v>1.2642060456154715E-2</v>
      </c>
      <c r="O48" s="38" t="s">
        <v>33</v>
      </c>
      <c r="P48" s="13">
        <v>534</v>
      </c>
      <c r="Q48" s="14">
        <f>P48/P49</f>
        <v>2.4412432968670709E-3</v>
      </c>
      <c r="R48">
        <v>99.8</v>
      </c>
      <c r="S48" s="40">
        <f>Q48*R48</f>
        <v>0.24363608102733367</v>
      </c>
      <c r="U48" s="46"/>
      <c r="V48" s="53">
        <f>SUM(V44:V47)</f>
        <v>5015294000</v>
      </c>
      <c r="W48" s="32">
        <f>SUM(W44:W47)</f>
        <v>0.99999999999999989</v>
      </c>
      <c r="X48" s="33">
        <f>AVERAGE(X44:X47)</f>
        <v>99.949999999999989</v>
      </c>
      <c r="Y48" s="58">
        <f>SUM(Y44:Y47)</f>
        <v>99.999585101092762</v>
      </c>
    </row>
    <row r="49" spans="1:25" ht="15.5" thickTop="1" thickBot="1" x14ac:dyDescent="0.4">
      <c r="B49" s="2"/>
      <c r="C49" s="21" t="s">
        <v>33</v>
      </c>
      <c r="D49" s="13">
        <v>93256</v>
      </c>
      <c r="E49" s="16">
        <f>D49/D50</f>
        <v>5.3894018524479601E-2</v>
      </c>
      <c r="F49" s="17">
        <v>99.84</v>
      </c>
      <c r="G49" s="15">
        <f t="shared" si="16"/>
        <v>5.3807788094840436</v>
      </c>
      <c r="I49" s="21" t="s">
        <v>33</v>
      </c>
      <c r="J49" s="52">
        <v>332674.41425037384</v>
      </c>
      <c r="K49" s="16">
        <f>J49/J50</f>
        <v>8.5449256252120645E-2</v>
      </c>
      <c r="L49" s="17">
        <v>99.84</v>
      </c>
      <c r="M49" s="15">
        <f t="shared" si="17"/>
        <v>8.5312537442117247</v>
      </c>
      <c r="O49" s="38"/>
      <c r="P49" s="31">
        <f>SUM(P44:P48)</f>
        <v>218741</v>
      </c>
      <c r="Q49" s="32">
        <f>SUM(Q44:Q48)</f>
        <v>1</v>
      </c>
      <c r="R49" s="33">
        <f>AVERAGE(R44:R48)</f>
        <v>99.927999999999997</v>
      </c>
      <c r="S49" s="41">
        <f>SUM(S44:S48)</f>
        <v>99.959322486410869</v>
      </c>
      <c r="U49" s="46"/>
      <c r="V49" s="42"/>
      <c r="W49" s="42"/>
      <c r="X49" s="42"/>
      <c r="Y49" s="48"/>
    </row>
    <row r="50" spans="1:25" ht="15" thickBot="1" x14ac:dyDescent="0.4">
      <c r="A50" s="10"/>
      <c r="B50" s="10"/>
      <c r="C50" s="10"/>
      <c r="D50" s="49">
        <f>SUM(D44:D49)</f>
        <v>1730359</v>
      </c>
      <c r="E50" s="50">
        <f>SUM(E44:E49)</f>
        <v>1</v>
      </c>
      <c r="F50" s="51">
        <f>AVERAGE(F44:F49)</f>
        <v>99.966666666666654</v>
      </c>
      <c r="G50" s="26">
        <f>SUM(G44:G49)</f>
        <v>99.988336246986904</v>
      </c>
      <c r="I50" s="10"/>
      <c r="J50" s="49">
        <f>SUM(J44:J49)</f>
        <v>3893239.4363832474</v>
      </c>
      <c r="K50" s="50">
        <f>SUM(K44:K49)</f>
        <v>1</v>
      </c>
      <c r="L50" s="51">
        <f>AVERAGE(L44:L49)</f>
        <v>99.966666666666654</v>
      </c>
      <c r="M50" s="26">
        <f>SUM(M44:M49)</f>
        <v>99.980585926777522</v>
      </c>
      <c r="O50" s="34"/>
      <c r="P50" s="34"/>
      <c r="Q50" s="34"/>
      <c r="R50" s="36"/>
      <c r="S50" s="40"/>
      <c r="U50" s="42"/>
      <c r="V50" s="42"/>
      <c r="W50" s="42"/>
      <c r="X50" s="44"/>
      <c r="Y50" s="45"/>
    </row>
    <row r="51" spans="1:25" s="28" customFormat="1" ht="15" thickTop="1" x14ac:dyDescent="0.35">
      <c r="A51" s="29" t="s">
        <v>131</v>
      </c>
      <c r="H51" s="27"/>
      <c r="N51" s="27"/>
    </row>
    <row r="52" spans="1:25" x14ac:dyDescent="0.35">
      <c r="A52" s="20" t="s">
        <v>132</v>
      </c>
      <c r="B52" s="20"/>
      <c r="C52" s="56" t="s">
        <v>115</v>
      </c>
      <c r="D52" s="11"/>
      <c r="E52" s="11"/>
      <c r="F52" s="11"/>
      <c r="G52" s="30" t="s">
        <v>115</v>
      </c>
      <c r="I52" s="56" t="s">
        <v>115</v>
      </c>
      <c r="J52" s="11"/>
      <c r="K52" s="11"/>
      <c r="L52" s="11"/>
      <c r="M52" s="30" t="s">
        <v>115</v>
      </c>
      <c r="O52" s="55" t="s">
        <v>116</v>
      </c>
      <c r="P52" s="34"/>
      <c r="Q52" s="34"/>
      <c r="R52" s="34"/>
      <c r="S52" s="35" t="s">
        <v>116</v>
      </c>
      <c r="U52" s="57" t="s">
        <v>117</v>
      </c>
      <c r="V52" s="42"/>
      <c r="W52" s="42"/>
      <c r="X52" s="42"/>
      <c r="Y52" s="43" t="s">
        <v>117</v>
      </c>
    </row>
    <row r="53" spans="1:25" ht="15" thickBot="1" x14ac:dyDescent="0.4">
      <c r="A53" s="2"/>
      <c r="B53" s="2"/>
      <c r="C53" s="2"/>
      <c r="D53" s="18" t="s">
        <v>118</v>
      </c>
      <c r="E53" s="19" t="s">
        <v>119</v>
      </c>
      <c r="F53" s="18" t="s">
        <v>120</v>
      </c>
      <c r="G53" s="12" t="s">
        <v>121</v>
      </c>
      <c r="I53" s="2"/>
      <c r="J53" s="18" t="s">
        <v>118</v>
      </c>
      <c r="K53" s="19" t="s">
        <v>119</v>
      </c>
      <c r="L53" s="18" t="s">
        <v>120</v>
      </c>
      <c r="M53" s="12" t="s">
        <v>121</v>
      </c>
      <c r="O53" s="34"/>
      <c r="P53" s="18" t="s">
        <v>118</v>
      </c>
      <c r="Q53" s="19" t="s">
        <v>119</v>
      </c>
      <c r="R53" s="18" t="s">
        <v>120</v>
      </c>
      <c r="S53" s="39" t="s">
        <v>121</v>
      </c>
      <c r="U53" s="42"/>
      <c r="V53" s="18" t="s">
        <v>118</v>
      </c>
      <c r="W53" s="19" t="s">
        <v>119</v>
      </c>
      <c r="X53" s="18" t="s">
        <v>120</v>
      </c>
      <c r="Y53" s="47" t="s">
        <v>121</v>
      </c>
    </row>
    <row r="54" spans="1:25" ht="15" thickTop="1" x14ac:dyDescent="0.35">
      <c r="A54" s="22" t="s">
        <v>122</v>
      </c>
      <c r="B54" s="2"/>
      <c r="C54" s="21" t="s">
        <v>25</v>
      </c>
      <c r="D54" s="25">
        <v>1293397</v>
      </c>
      <c r="E54" s="14">
        <f>D54/D60</f>
        <v>0.74669215301740188</v>
      </c>
      <c r="F54">
        <v>100</v>
      </c>
      <c r="G54" s="15">
        <f t="shared" ref="G54:G59" si="20">E54*F54</f>
        <v>74.669215301740195</v>
      </c>
      <c r="I54" s="21" t="s">
        <v>25</v>
      </c>
      <c r="J54" s="52">
        <v>2936333.1548871994</v>
      </c>
      <c r="K54" s="14">
        <f>J54/J60</f>
        <v>0.73870118745226676</v>
      </c>
      <c r="L54">
        <v>100</v>
      </c>
      <c r="M54" s="15">
        <f t="shared" ref="M54:M59" si="21">K54*L54</f>
        <v>73.870118745226677</v>
      </c>
      <c r="O54" s="38" t="s">
        <v>25</v>
      </c>
      <c r="P54" s="13">
        <v>50071</v>
      </c>
      <c r="Q54" s="14">
        <f>P54/P59</f>
        <v>0.29578105432291296</v>
      </c>
      <c r="R54">
        <v>99.96</v>
      </c>
      <c r="S54" s="40">
        <f t="shared" ref="S54:S57" si="22">Q54*R54</f>
        <v>29.566274190118378</v>
      </c>
      <c r="U54" s="46" t="s">
        <v>25</v>
      </c>
      <c r="V54" s="52">
        <v>1933361000</v>
      </c>
      <c r="W54" s="14">
        <f>V54/V58</f>
        <v>0.69662558195928903</v>
      </c>
      <c r="X54">
        <v>100</v>
      </c>
      <c r="Y54" s="48">
        <f t="shared" ref="Y54:Y55" si="23">W54*X54</f>
        <v>69.662558195928909</v>
      </c>
    </row>
    <row r="55" spans="1:25" x14ac:dyDescent="0.35">
      <c r="A55" s="23">
        <v>1289859</v>
      </c>
      <c r="B55" s="2"/>
      <c r="C55" s="21" t="s">
        <v>29</v>
      </c>
      <c r="D55" s="13">
        <v>131996</v>
      </c>
      <c r="E55" s="14">
        <f>D55/D60</f>
        <v>7.6202726177411098E-2</v>
      </c>
      <c r="F55">
        <v>99.96</v>
      </c>
      <c r="G55" s="15">
        <f t="shared" si="20"/>
        <v>7.6172245086940125</v>
      </c>
      <c r="I55" s="21" t="s">
        <v>29</v>
      </c>
      <c r="J55" s="52">
        <v>608946.50129699707</v>
      </c>
      <c r="K55" s="14">
        <f>J55/J60</f>
        <v>0.15319430046767818</v>
      </c>
      <c r="L55">
        <v>99.96</v>
      </c>
      <c r="M55" s="15">
        <f t="shared" si="21"/>
        <v>15.313302274749109</v>
      </c>
      <c r="O55" s="38" t="s">
        <v>29</v>
      </c>
      <c r="P55" s="13">
        <v>3261</v>
      </c>
      <c r="Q55" s="14">
        <f>P55/P59</f>
        <v>1.9263486212518607E-2</v>
      </c>
      <c r="R55">
        <v>99.92</v>
      </c>
      <c r="S55" s="40">
        <f t="shared" si="22"/>
        <v>1.9248075423548592</v>
      </c>
      <c r="U55" s="46" t="s">
        <v>29</v>
      </c>
      <c r="V55" s="52">
        <v>88126000</v>
      </c>
      <c r="W55" s="14">
        <f>V55/V58</f>
        <v>3.1753421133323939E-2</v>
      </c>
      <c r="X55">
        <v>99.96</v>
      </c>
      <c r="Y55" s="48">
        <f t="shared" si="23"/>
        <v>3.1740719764870606</v>
      </c>
    </row>
    <row r="56" spans="1:25" x14ac:dyDescent="0.35">
      <c r="A56" s="23">
        <v>12</v>
      </c>
      <c r="B56" s="2"/>
      <c r="C56" s="21" t="s">
        <v>30</v>
      </c>
      <c r="D56" s="13">
        <v>6607</v>
      </c>
      <c r="E56" s="14">
        <f>D56/D60</f>
        <v>3.8142929471662408E-3</v>
      </c>
      <c r="F56">
        <v>100</v>
      </c>
      <c r="G56" s="15">
        <f t="shared" si="20"/>
        <v>0.38142929471662407</v>
      </c>
      <c r="I56" s="21" t="s">
        <v>30</v>
      </c>
      <c r="J56" s="52">
        <v>11293.071975708008</v>
      </c>
      <c r="K56" s="14">
        <f>J56/J60</f>
        <v>2.8410283296889352E-3</v>
      </c>
      <c r="L56">
        <v>100</v>
      </c>
      <c r="M56" s="15">
        <f t="shared" si="21"/>
        <v>0.28410283296889355</v>
      </c>
      <c r="O56" s="38" t="s">
        <v>30</v>
      </c>
      <c r="P56" s="13">
        <v>113359</v>
      </c>
      <c r="Q56" s="14">
        <f>P56/P59</f>
        <v>0.66963800477304414</v>
      </c>
      <c r="R56">
        <v>99.96</v>
      </c>
      <c r="S56" s="40">
        <f t="shared" si="22"/>
        <v>66.93701495711349</v>
      </c>
      <c r="U56" s="46" t="s">
        <v>31</v>
      </c>
      <c r="V56" s="52">
        <v>753155000</v>
      </c>
      <c r="W56" s="14">
        <f>V56/V58</f>
        <v>0.27137562006296206</v>
      </c>
      <c r="X56">
        <v>100</v>
      </c>
      <c r="Y56" s="48">
        <f>W56*X56</f>
        <v>27.137562006296207</v>
      </c>
    </row>
    <row r="57" spans="1:25" x14ac:dyDescent="0.35">
      <c r="A57" s="23">
        <v>3526</v>
      </c>
      <c r="B57" s="2"/>
      <c r="C57" s="21" t="s">
        <v>31</v>
      </c>
      <c r="D57" s="13">
        <v>207677</v>
      </c>
      <c r="E57" s="14">
        <f>D57/D60</f>
        <v>0.11989419046293982</v>
      </c>
      <c r="F57">
        <v>100</v>
      </c>
      <c r="G57" s="15">
        <f t="shared" si="20"/>
        <v>11.989419046293982</v>
      </c>
      <c r="I57" s="21" t="s">
        <v>31</v>
      </c>
      <c r="J57" s="52">
        <v>80358.543587684631</v>
      </c>
      <c r="K57" s="14">
        <f>J57/J60</f>
        <v>2.021601379644462E-2</v>
      </c>
      <c r="L57">
        <v>100</v>
      </c>
      <c r="M57" s="15">
        <f t="shared" si="21"/>
        <v>2.0216013796444621</v>
      </c>
      <c r="O57" s="38" t="s">
        <v>31</v>
      </c>
      <c r="P57" s="13">
        <v>1943</v>
      </c>
      <c r="Q57" s="14">
        <f>P57/P59</f>
        <v>1.1477753361215473E-2</v>
      </c>
      <c r="R57">
        <v>100</v>
      </c>
      <c r="S57" s="40">
        <f t="shared" si="22"/>
        <v>1.1477753361215473</v>
      </c>
      <c r="U57" s="46" t="s">
        <v>33</v>
      </c>
      <c r="V57" s="52">
        <v>681000</v>
      </c>
      <c r="W57" s="14">
        <f>V57/V58</f>
        <v>2.453768444249552E-4</v>
      </c>
      <c r="X57">
        <v>99.84</v>
      </c>
      <c r="Y57" s="48">
        <f>W57*X57</f>
        <v>2.4498424147387527E-2</v>
      </c>
    </row>
    <row r="58" spans="1:25" ht="15" thickBot="1" x14ac:dyDescent="0.4">
      <c r="A58" s="24">
        <f>SUM(A55:A57)</f>
        <v>1293397</v>
      </c>
      <c r="B58" s="2"/>
      <c r="C58" s="21" t="s">
        <v>32</v>
      </c>
      <c r="D58">
        <v>175</v>
      </c>
      <c r="E58" s="14">
        <f>D58/D60</f>
        <v>1.0102940302014411E-4</v>
      </c>
      <c r="F58">
        <v>100</v>
      </c>
      <c r="G58" s="15">
        <f t="shared" si="20"/>
        <v>1.0102940302014411E-2</v>
      </c>
      <c r="I58" s="21" t="s">
        <v>32</v>
      </c>
      <c r="J58" s="52">
        <v>405.15746593475342</v>
      </c>
      <c r="K58" s="14">
        <f>J58/J60</f>
        <v>1.0192654763749076E-4</v>
      </c>
      <c r="L58">
        <v>100</v>
      </c>
      <c r="M58" s="15">
        <f t="shared" si="21"/>
        <v>1.0192654763749077E-2</v>
      </c>
      <c r="O58" s="38" t="s">
        <v>33</v>
      </c>
      <c r="P58" s="13">
        <v>650</v>
      </c>
      <c r="Q58" s="14">
        <f>P58/P59</f>
        <v>3.8397013303088303E-3</v>
      </c>
      <c r="R58">
        <v>99.8</v>
      </c>
      <c r="S58" s="40">
        <f>Q58*R58</f>
        <v>0.38320219276482126</v>
      </c>
      <c r="U58" s="46"/>
      <c r="V58" s="53">
        <f>SUM(V54:V57)</f>
        <v>2775323000</v>
      </c>
      <c r="W58" s="32">
        <f>SUM(W54:W57)</f>
        <v>0.99999999999999989</v>
      </c>
      <c r="X58" s="33">
        <f>AVERAGE(X54:X57)</f>
        <v>99.949999999999989</v>
      </c>
      <c r="Y58" s="58">
        <f>SUM(Y54:Y57)</f>
        <v>99.998690602859554</v>
      </c>
    </row>
    <row r="59" spans="1:25" ht="15.5" thickTop="1" thickBot="1" x14ac:dyDescent="0.4">
      <c r="B59" s="2"/>
      <c r="C59" s="21" t="s">
        <v>33</v>
      </c>
      <c r="D59" s="13">
        <v>92317</v>
      </c>
      <c r="E59" s="16">
        <f>D59/D60</f>
        <v>5.3295607992060824E-2</v>
      </c>
      <c r="F59" s="17">
        <v>99.84</v>
      </c>
      <c r="G59" s="15">
        <f t="shared" si="20"/>
        <v>5.3210335019273529</v>
      </c>
      <c r="I59" s="21" t="s">
        <v>33</v>
      </c>
      <c r="J59" s="52">
        <v>337658.06756591797</v>
      </c>
      <c r="K59" s="16">
        <f>J59/J60</f>
        <v>8.4945543406283963E-2</v>
      </c>
      <c r="L59" s="17">
        <v>99.84</v>
      </c>
      <c r="M59" s="15">
        <f t="shared" si="21"/>
        <v>8.4809630536833911</v>
      </c>
      <c r="O59" s="38"/>
      <c r="P59" s="31">
        <f>SUM(P54:P58)</f>
        <v>169284</v>
      </c>
      <c r="Q59" s="32">
        <f>SUM(Q54:Q58)</f>
        <v>1</v>
      </c>
      <c r="R59" s="33">
        <f>AVERAGE(R54:R58)</f>
        <v>99.927999999999997</v>
      </c>
      <c r="S59" s="41">
        <f>SUM(S54:S58)</f>
        <v>99.959074218473091</v>
      </c>
      <c r="U59" s="46"/>
      <c r="V59" s="42"/>
      <c r="W59" s="42"/>
      <c r="X59" s="42"/>
      <c r="Y59" s="48"/>
    </row>
    <row r="60" spans="1:25" ht="15" thickBot="1" x14ac:dyDescent="0.4">
      <c r="A60" s="10"/>
      <c r="B60" s="10"/>
      <c r="C60" s="10"/>
      <c r="D60" s="49">
        <f>SUM(D54:D59)</f>
        <v>1732169</v>
      </c>
      <c r="E60" s="50">
        <f>SUM(E54:E59)</f>
        <v>1</v>
      </c>
      <c r="F60" s="51">
        <f>AVERAGE(F54:F59)</f>
        <v>99.966666666666654</v>
      </c>
      <c r="G60" s="26">
        <f>SUM(G54:G59)</f>
        <v>99.988424593674182</v>
      </c>
      <c r="I60" s="10"/>
      <c r="J60" s="49">
        <f>SUM(J54:J59)</f>
        <v>3974994.4967794418</v>
      </c>
      <c r="K60" s="50">
        <f>SUM(K54:K59)</f>
        <v>1</v>
      </c>
      <c r="L60" s="51">
        <f>AVERAGE(L54:L59)</f>
        <v>99.966666666666654</v>
      </c>
      <c r="M60" s="26">
        <f>SUM(M54:M59)</f>
        <v>99.980280941036298</v>
      </c>
      <c r="O60" s="34"/>
      <c r="P60" s="34"/>
      <c r="Q60" s="34"/>
      <c r="R60" s="36"/>
      <c r="S60" s="40"/>
      <c r="U60" s="42"/>
      <c r="V60" s="42"/>
      <c r="W60" s="42"/>
      <c r="X60" s="44"/>
      <c r="Y60" s="45"/>
    </row>
    <row r="61" spans="1:25" s="28" customFormat="1" ht="15" thickTop="1" x14ac:dyDescent="0.35">
      <c r="A61" s="29" t="s">
        <v>133</v>
      </c>
      <c r="H61" s="27"/>
      <c r="N61" s="27"/>
    </row>
    <row r="62" spans="1:25" x14ac:dyDescent="0.35">
      <c r="A62" s="20" t="s">
        <v>134</v>
      </c>
      <c r="B62" s="20"/>
      <c r="C62" s="56" t="s">
        <v>115</v>
      </c>
      <c r="D62" s="11"/>
      <c r="E62" s="11"/>
      <c r="F62" s="11"/>
      <c r="G62" s="30" t="s">
        <v>115</v>
      </c>
      <c r="I62" s="56" t="s">
        <v>115</v>
      </c>
      <c r="J62" s="11"/>
      <c r="K62" s="11"/>
      <c r="L62" s="11"/>
      <c r="M62" s="30" t="s">
        <v>115</v>
      </c>
      <c r="O62" s="55" t="s">
        <v>116</v>
      </c>
      <c r="P62" s="34"/>
      <c r="Q62" s="34"/>
      <c r="R62" s="34"/>
      <c r="S62" s="35" t="s">
        <v>116</v>
      </c>
      <c r="U62" s="57" t="s">
        <v>117</v>
      </c>
      <c r="V62" s="42"/>
      <c r="W62" s="42"/>
      <c r="X62" s="42"/>
      <c r="Y62" s="43" t="s">
        <v>117</v>
      </c>
    </row>
    <row r="63" spans="1:25" ht="15" thickBot="1" x14ac:dyDescent="0.4">
      <c r="A63" s="2"/>
      <c r="B63" s="2"/>
      <c r="C63" s="2"/>
      <c r="D63" s="18" t="s">
        <v>118</v>
      </c>
      <c r="E63" s="19" t="s">
        <v>119</v>
      </c>
      <c r="F63" s="18" t="s">
        <v>120</v>
      </c>
      <c r="G63" s="12" t="s">
        <v>121</v>
      </c>
      <c r="I63" s="2"/>
      <c r="J63" s="18" t="s">
        <v>118</v>
      </c>
      <c r="K63" s="19" t="s">
        <v>119</v>
      </c>
      <c r="L63" s="18" t="s">
        <v>120</v>
      </c>
      <c r="M63" s="12" t="s">
        <v>121</v>
      </c>
      <c r="O63" s="34"/>
      <c r="P63" s="18" t="s">
        <v>118</v>
      </c>
      <c r="Q63" s="19" t="s">
        <v>119</v>
      </c>
      <c r="R63" s="18" t="s">
        <v>120</v>
      </c>
      <c r="S63" s="39" t="s">
        <v>121</v>
      </c>
      <c r="U63" s="42"/>
      <c r="V63" s="18" t="s">
        <v>118</v>
      </c>
      <c r="W63" s="19" t="s">
        <v>119</v>
      </c>
      <c r="X63" s="18" t="s">
        <v>120</v>
      </c>
      <c r="Y63" s="47" t="s">
        <v>121</v>
      </c>
    </row>
    <row r="64" spans="1:25" ht="15" thickTop="1" x14ac:dyDescent="0.35">
      <c r="A64" s="22" t="s">
        <v>122</v>
      </c>
      <c r="B64" s="2"/>
      <c r="C64" s="21" t="s">
        <v>25</v>
      </c>
      <c r="D64" s="25">
        <v>1294413</v>
      </c>
      <c r="E64" s="14">
        <f>D64/D70</f>
        <v>0.74679066128733551</v>
      </c>
      <c r="F64">
        <v>100</v>
      </c>
      <c r="G64" s="15">
        <f t="shared" ref="G64:G69" si="24">E64*F64</f>
        <v>74.679066128733552</v>
      </c>
      <c r="I64" s="21" t="s">
        <v>25</v>
      </c>
      <c r="J64" s="52">
        <v>3003859.0848093033</v>
      </c>
      <c r="K64" s="14">
        <f>J64/J70</f>
        <v>0.75131476118790741</v>
      </c>
      <c r="L64">
        <v>100</v>
      </c>
      <c r="M64" s="15">
        <f t="shared" ref="M64:M69" si="25">K64*L64</f>
        <v>75.131476118790744</v>
      </c>
      <c r="O64" s="38" t="s">
        <v>25</v>
      </c>
      <c r="P64" s="13">
        <v>48050</v>
      </c>
      <c r="Q64" s="14">
        <f>P64/P69</f>
        <v>0.30500771247389502</v>
      </c>
      <c r="R64">
        <v>99.96</v>
      </c>
      <c r="S64" s="40">
        <f t="shared" ref="S64:S67" si="26">Q64*R64</f>
        <v>30.488570938890543</v>
      </c>
      <c r="U64" s="46" t="s">
        <v>25</v>
      </c>
      <c r="V64" s="52">
        <v>2837754000</v>
      </c>
      <c r="W64" s="14">
        <f>V64/V68</f>
        <v>0.68462891729506159</v>
      </c>
      <c r="X64">
        <v>100</v>
      </c>
      <c r="Y64" s="48">
        <f t="shared" ref="Y64:Y65" si="27">W64*X64</f>
        <v>68.462891729506154</v>
      </c>
    </row>
    <row r="65" spans="1:25" x14ac:dyDescent="0.35">
      <c r="A65" s="23">
        <v>1290875</v>
      </c>
      <c r="B65" s="2"/>
      <c r="C65" s="21" t="s">
        <v>29</v>
      </c>
      <c r="D65" s="13">
        <v>132249</v>
      </c>
      <c r="E65" s="14">
        <f>D65/D70</f>
        <v>7.6298923268376354E-2</v>
      </c>
      <c r="F65">
        <v>99.96</v>
      </c>
      <c r="G65" s="15">
        <f t="shared" si="24"/>
        <v>7.6268403699068994</v>
      </c>
      <c r="I65" s="21" t="s">
        <v>29</v>
      </c>
      <c r="J65" s="52">
        <v>559116.19558143616</v>
      </c>
      <c r="K65" s="14">
        <f>J65/J70</f>
        <v>0.1398441934523123</v>
      </c>
      <c r="L65">
        <v>99.96</v>
      </c>
      <c r="M65" s="15">
        <f t="shared" si="25"/>
        <v>13.978825577493136</v>
      </c>
      <c r="O65" s="38" t="s">
        <v>29</v>
      </c>
      <c r="P65" s="13">
        <v>2276</v>
      </c>
      <c r="Q65" s="14">
        <f>P65/P69</f>
        <v>1.4447399658492925E-2</v>
      </c>
      <c r="R65">
        <v>99.92</v>
      </c>
      <c r="S65" s="40">
        <f t="shared" si="26"/>
        <v>1.4435841738766131</v>
      </c>
      <c r="U65" s="46" t="s">
        <v>29</v>
      </c>
      <c r="V65" s="52">
        <v>56653000</v>
      </c>
      <c r="W65" s="14">
        <f>V65/V68</f>
        <v>1.3667950798947733E-2</v>
      </c>
      <c r="X65">
        <v>99.96</v>
      </c>
      <c r="Y65" s="48">
        <f t="shared" si="27"/>
        <v>1.3662483618628152</v>
      </c>
    </row>
    <row r="66" spans="1:25" x14ac:dyDescent="0.35">
      <c r="A66" s="23">
        <v>12</v>
      </c>
      <c r="B66" s="2"/>
      <c r="C66" s="21" t="s">
        <v>30</v>
      </c>
      <c r="D66" s="13">
        <v>6615</v>
      </c>
      <c r="E66" s="14">
        <f>D66/D70</f>
        <v>3.8164173447081608E-3</v>
      </c>
      <c r="F66">
        <v>100</v>
      </c>
      <c r="G66" s="15">
        <f t="shared" si="24"/>
        <v>0.38164173447081606</v>
      </c>
      <c r="I66" s="21" t="s">
        <v>30</v>
      </c>
      <c r="J66" s="52">
        <v>11666.006417274475</v>
      </c>
      <c r="K66" s="14">
        <f>J66/J70</f>
        <v>2.9178608509751692E-3</v>
      </c>
      <c r="L66">
        <v>100</v>
      </c>
      <c r="M66" s="15">
        <f t="shared" si="25"/>
        <v>0.29178608509751691</v>
      </c>
      <c r="O66" s="38" t="s">
        <v>30</v>
      </c>
      <c r="P66" s="13">
        <v>104890</v>
      </c>
      <c r="Q66" s="14">
        <f>P66/P69</f>
        <v>0.66581184102782198</v>
      </c>
      <c r="R66">
        <v>99.96</v>
      </c>
      <c r="S66" s="40">
        <f t="shared" si="26"/>
        <v>66.554551629141088</v>
      </c>
      <c r="U66" s="46" t="s">
        <v>31</v>
      </c>
      <c r="V66" s="52">
        <v>1250247000</v>
      </c>
      <c r="W66" s="14">
        <f>V66/V68</f>
        <v>0.30163123722542506</v>
      </c>
      <c r="X66">
        <v>100</v>
      </c>
      <c r="Y66" s="48">
        <f>W66*X66</f>
        <v>30.163123722542508</v>
      </c>
    </row>
    <row r="67" spans="1:25" x14ac:dyDescent="0.35">
      <c r="A67" s="23">
        <v>3526</v>
      </c>
      <c r="B67" s="2"/>
      <c r="C67" s="21" t="s">
        <v>31</v>
      </c>
      <c r="D67" s="13">
        <v>207552</v>
      </c>
      <c r="E67" s="14">
        <f>D67/D70</f>
        <v>0.11974377214344191</v>
      </c>
      <c r="F67">
        <v>100</v>
      </c>
      <c r="G67" s="15">
        <f t="shared" si="24"/>
        <v>11.974377214344191</v>
      </c>
      <c r="I67" s="21" t="s">
        <v>31</v>
      </c>
      <c r="J67" s="52">
        <v>79104.514872550964</v>
      </c>
      <c r="K67" s="14">
        <f>J67/J70</f>
        <v>1.9785345458083928E-2</v>
      </c>
      <c r="L67">
        <v>100</v>
      </c>
      <c r="M67" s="15">
        <f t="shared" si="25"/>
        <v>1.9785345458083927</v>
      </c>
      <c r="O67" s="38" t="s">
        <v>31</v>
      </c>
      <c r="P67" s="13">
        <v>1792</v>
      </c>
      <c r="Q67" s="14">
        <f>P67/P69</f>
        <v>1.1375105530764202E-2</v>
      </c>
      <c r="R67">
        <v>100</v>
      </c>
      <c r="S67" s="40">
        <f t="shared" si="26"/>
        <v>1.1375105530764202</v>
      </c>
      <c r="U67" s="46" t="s">
        <v>33</v>
      </c>
      <c r="V67" s="52">
        <v>298000</v>
      </c>
      <c r="W67" s="14">
        <f>V67/V68</f>
        <v>7.1894680565661552E-5</v>
      </c>
      <c r="X67">
        <v>99.84</v>
      </c>
      <c r="Y67" s="48">
        <f>W67*X67</f>
        <v>7.1779649076756493E-3</v>
      </c>
    </row>
    <row r="68" spans="1:25" ht="15" thickBot="1" x14ac:dyDescent="0.4">
      <c r="A68" s="24">
        <f>SUM(A65:A67)</f>
        <v>1294413</v>
      </c>
      <c r="B68" s="2"/>
      <c r="C68" s="21" t="s">
        <v>32</v>
      </c>
      <c r="D68">
        <v>174</v>
      </c>
      <c r="E68" s="14">
        <f>D68/D70</f>
        <v>1.0038648797871806E-4</v>
      </c>
      <c r="F68">
        <v>100</v>
      </c>
      <c r="G68" s="15">
        <f t="shared" si="24"/>
        <v>1.0038648797871806E-2</v>
      </c>
      <c r="I68" s="21" t="s">
        <v>32</v>
      </c>
      <c r="J68" s="52">
        <v>222.27695465087891</v>
      </c>
      <c r="K68" s="14">
        <f>J68/J70</f>
        <v>5.5595136917583539E-5</v>
      </c>
      <c r="L68">
        <v>100</v>
      </c>
      <c r="M68" s="15">
        <f t="shared" si="25"/>
        <v>5.559513691758354E-3</v>
      </c>
      <c r="O68" s="38" t="s">
        <v>33</v>
      </c>
      <c r="P68" s="13">
        <v>529</v>
      </c>
      <c r="Q68" s="14">
        <f>P68/P69</f>
        <v>3.3579413090258164E-3</v>
      </c>
      <c r="R68">
        <v>99.8</v>
      </c>
      <c r="S68" s="40">
        <f>Q68*R68</f>
        <v>0.33512254264077646</v>
      </c>
      <c r="U68" s="46"/>
      <c r="V68" s="52">
        <f>SUM(V64:V67)</f>
        <v>4144952000</v>
      </c>
      <c r="W68" s="32">
        <f>SUM(W64:W67)</f>
        <v>1</v>
      </c>
      <c r="X68" s="33">
        <f>AVERAGE(X64:X67)</f>
        <v>99.949999999999989</v>
      </c>
      <c r="Y68" s="58">
        <f>SUM(Y64:Y67)</f>
        <v>99.999441778819147</v>
      </c>
    </row>
    <row r="69" spans="1:25" ht="15.5" thickTop="1" thickBot="1" x14ac:dyDescent="0.4">
      <c r="B69" s="2"/>
      <c r="C69" s="21" t="s">
        <v>33</v>
      </c>
      <c r="D69" s="13">
        <v>92298</v>
      </c>
      <c r="E69" s="16">
        <f>D69/D70</f>
        <v>5.324983946815931E-2</v>
      </c>
      <c r="F69" s="17">
        <v>99.84</v>
      </c>
      <c r="G69" s="15">
        <f t="shared" si="24"/>
        <v>5.3164639725010261</v>
      </c>
      <c r="I69" s="21" t="s">
        <v>33</v>
      </c>
      <c r="J69" s="52">
        <v>344168.57458305359</v>
      </c>
      <c r="K69" s="16">
        <f>J69/J70</f>
        <v>8.6082243913803633E-2</v>
      </c>
      <c r="L69" s="17">
        <v>99.84</v>
      </c>
      <c r="M69" s="15">
        <f t="shared" si="25"/>
        <v>8.5944512323541549</v>
      </c>
      <c r="O69" s="38"/>
      <c r="P69" s="31">
        <f>SUM(P64:P68)</f>
        <v>157537</v>
      </c>
      <c r="Q69" s="32">
        <f>SUM(Q64:Q68)</f>
        <v>0.99999999999999978</v>
      </c>
      <c r="R69" s="33">
        <f>AVERAGE(R64:R68)</f>
        <v>99.927999999999997</v>
      </c>
      <c r="S69" s="41">
        <f>SUM(S64:S68)</f>
        <v>99.95933983762545</v>
      </c>
      <c r="U69" s="46"/>
      <c r="V69" s="42"/>
      <c r="W69" s="42"/>
      <c r="X69" s="42"/>
      <c r="Y69" s="48"/>
    </row>
    <row r="70" spans="1:25" ht="15" thickBot="1" x14ac:dyDescent="0.4">
      <c r="A70" s="10"/>
      <c r="B70" s="10"/>
      <c r="C70" s="10"/>
      <c r="D70" s="49">
        <f>SUM(D64:D69)</f>
        <v>1733301</v>
      </c>
      <c r="E70" s="50">
        <f>SUM(E64:E69)</f>
        <v>1</v>
      </c>
      <c r="F70" s="51">
        <f>AVERAGE(F64:F69)</f>
        <v>99.966666666666654</v>
      </c>
      <c r="G70" s="26">
        <f>SUM(G64:G69)</f>
        <v>99.988428068754359</v>
      </c>
      <c r="I70" s="10"/>
      <c r="J70" s="49">
        <f>SUM(J64:J69)</f>
        <v>3998136.6532182693</v>
      </c>
      <c r="K70" s="50">
        <f>SUM(K64:K69)</f>
        <v>0.99999999999999989</v>
      </c>
      <c r="L70" s="51">
        <f>AVERAGE(L64:L69)</f>
        <v>99.966666666666654</v>
      </c>
      <c r="M70" s="26">
        <f>SUM(M64:M69)</f>
        <v>99.980633073235708</v>
      </c>
      <c r="O70" s="34"/>
      <c r="P70" s="34"/>
      <c r="Q70" s="34"/>
      <c r="R70" s="36"/>
      <c r="S70" s="40"/>
      <c r="U70" s="42"/>
      <c r="V70" s="42"/>
      <c r="W70" s="42"/>
      <c r="X70" s="44"/>
      <c r="Y70" s="45"/>
    </row>
    <row r="71" spans="1:25" s="28" customFormat="1" ht="15" thickTop="1" x14ac:dyDescent="0.35">
      <c r="A71" s="29" t="s">
        <v>135</v>
      </c>
      <c r="H71" s="27"/>
      <c r="N71" s="27"/>
    </row>
    <row r="72" spans="1:25" x14ac:dyDescent="0.35">
      <c r="A72" s="20" t="s">
        <v>136</v>
      </c>
      <c r="B72" s="20"/>
      <c r="C72" s="56" t="s">
        <v>115</v>
      </c>
      <c r="D72" s="11"/>
      <c r="E72" s="11"/>
      <c r="F72" s="11"/>
      <c r="G72" s="30" t="s">
        <v>115</v>
      </c>
      <c r="I72" s="56" t="s">
        <v>115</v>
      </c>
      <c r="J72" s="11"/>
      <c r="K72" s="11"/>
      <c r="L72" s="11"/>
      <c r="M72" s="30" t="s">
        <v>115</v>
      </c>
      <c r="O72" s="55" t="s">
        <v>116</v>
      </c>
      <c r="P72" s="34"/>
      <c r="Q72" s="34"/>
      <c r="R72" s="34"/>
      <c r="S72" s="35" t="s">
        <v>116</v>
      </c>
      <c r="U72" s="57" t="s">
        <v>117</v>
      </c>
      <c r="V72" s="42"/>
      <c r="W72" s="42"/>
      <c r="X72" s="42"/>
      <c r="Y72" s="43" t="s">
        <v>117</v>
      </c>
    </row>
    <row r="73" spans="1:25" ht="15" thickBot="1" x14ac:dyDescent="0.4">
      <c r="A73" s="2"/>
      <c r="B73" s="2"/>
      <c r="C73" s="2"/>
      <c r="D73" s="18" t="s">
        <v>118</v>
      </c>
      <c r="E73" s="19" t="s">
        <v>119</v>
      </c>
      <c r="F73" s="18" t="s">
        <v>120</v>
      </c>
      <c r="G73" s="12" t="s">
        <v>121</v>
      </c>
      <c r="I73" s="2"/>
      <c r="J73" s="18" t="s">
        <v>118</v>
      </c>
      <c r="K73" s="19" t="s">
        <v>119</v>
      </c>
      <c r="L73" s="18" t="s">
        <v>120</v>
      </c>
      <c r="M73" s="12" t="s">
        <v>121</v>
      </c>
      <c r="O73" s="34"/>
      <c r="P73" s="18" t="s">
        <v>118</v>
      </c>
      <c r="Q73" s="19" t="s">
        <v>119</v>
      </c>
      <c r="R73" s="18" t="s">
        <v>120</v>
      </c>
      <c r="S73" s="39" t="s">
        <v>121</v>
      </c>
      <c r="U73" s="42"/>
      <c r="V73" s="18" t="s">
        <v>118</v>
      </c>
      <c r="W73" s="19" t="s">
        <v>119</v>
      </c>
      <c r="X73" s="18" t="s">
        <v>120</v>
      </c>
      <c r="Y73" s="47" t="s">
        <v>121</v>
      </c>
    </row>
    <row r="74" spans="1:25" ht="15" thickTop="1" x14ac:dyDescent="0.35">
      <c r="A74" s="22" t="s">
        <v>122</v>
      </c>
      <c r="B74" s="2"/>
      <c r="C74" s="21" t="s">
        <v>25</v>
      </c>
      <c r="D74" s="25">
        <v>1294413</v>
      </c>
      <c r="E74" s="14">
        <f>D74/D80</f>
        <v>0.74677342773291577</v>
      </c>
      <c r="F74">
        <v>100</v>
      </c>
      <c r="G74" s="15">
        <f t="shared" ref="G74:G79" si="28">E74*F74</f>
        <v>74.677342773291571</v>
      </c>
      <c r="I74" s="21" t="s">
        <v>25</v>
      </c>
      <c r="J74" s="52"/>
      <c r="K74" s="14" t="e">
        <f>J74/J80</f>
        <v>#DIV/0!</v>
      </c>
      <c r="L74">
        <v>100</v>
      </c>
      <c r="M74" s="15" t="e">
        <f t="shared" ref="M74:M79" si="29">K74*L74</f>
        <v>#DIV/0!</v>
      </c>
      <c r="O74" s="38" t="s">
        <v>25</v>
      </c>
      <c r="P74" s="13"/>
      <c r="Q74" s="14" t="e">
        <f>P74/P79</f>
        <v>#DIV/0!</v>
      </c>
      <c r="R74">
        <v>99.96</v>
      </c>
      <c r="S74" s="40" t="e">
        <f t="shared" ref="S74:S77" si="30">Q74*R74</f>
        <v>#DIV/0!</v>
      </c>
      <c r="U74" s="46" t="s">
        <v>25</v>
      </c>
      <c r="V74" s="52"/>
      <c r="W74" s="14" t="e">
        <f>V74/V78</f>
        <v>#DIV/0!</v>
      </c>
      <c r="X74">
        <v>100</v>
      </c>
      <c r="Y74" s="48" t="e">
        <f t="shared" ref="Y74:Y75" si="31">W74*X74</f>
        <v>#DIV/0!</v>
      </c>
    </row>
    <row r="75" spans="1:25" x14ac:dyDescent="0.35">
      <c r="A75" s="23">
        <v>1295877</v>
      </c>
      <c r="B75" s="2"/>
      <c r="C75" s="21" t="s">
        <v>29</v>
      </c>
      <c r="D75" s="13">
        <v>132569</v>
      </c>
      <c r="E75" s="14">
        <f>D75/D80</f>
        <v>7.648177709983206E-2</v>
      </c>
      <c r="F75">
        <v>99.96</v>
      </c>
      <c r="G75" s="15">
        <f t="shared" si="28"/>
        <v>7.6451184388992122</v>
      </c>
      <c r="I75" s="21" t="s">
        <v>29</v>
      </c>
      <c r="J75" s="52"/>
      <c r="K75" s="14" t="e">
        <f>J75/J80</f>
        <v>#DIV/0!</v>
      </c>
      <c r="L75">
        <v>99.96</v>
      </c>
      <c r="M75" s="15" t="e">
        <f t="shared" si="29"/>
        <v>#DIV/0!</v>
      </c>
      <c r="O75" s="38" t="s">
        <v>29</v>
      </c>
      <c r="P75" s="13"/>
      <c r="Q75" s="14" t="e">
        <f>P75/P79</f>
        <v>#DIV/0!</v>
      </c>
      <c r="R75">
        <v>99.92</v>
      </c>
      <c r="S75" s="40" t="e">
        <f t="shared" si="30"/>
        <v>#DIV/0!</v>
      </c>
      <c r="U75" s="46" t="s">
        <v>29</v>
      </c>
      <c r="V75" s="52"/>
      <c r="W75" s="14" t="e">
        <f>V75/V78</f>
        <v>#DIV/0!</v>
      </c>
      <c r="X75">
        <v>99.96</v>
      </c>
      <c r="Y75" s="48" t="e">
        <f t="shared" si="31"/>
        <v>#DIV/0!</v>
      </c>
    </row>
    <row r="76" spans="1:25" x14ac:dyDescent="0.35">
      <c r="A76" s="23">
        <v>12</v>
      </c>
      <c r="B76" s="2"/>
      <c r="C76" s="21" t="s">
        <v>30</v>
      </c>
      <c r="D76" s="13">
        <v>6615</v>
      </c>
      <c r="E76" s="14">
        <f>D76/D80</f>
        <v>3.8163292739282115E-3</v>
      </c>
      <c r="F76">
        <v>100</v>
      </c>
      <c r="G76" s="15">
        <f t="shared" si="28"/>
        <v>0.38163292739282118</v>
      </c>
      <c r="I76" s="21" t="s">
        <v>30</v>
      </c>
      <c r="J76" s="52"/>
      <c r="K76" s="14" t="e">
        <f>J76/J80</f>
        <v>#DIV/0!</v>
      </c>
      <c r="L76">
        <v>100</v>
      </c>
      <c r="M76" s="15" t="e">
        <f t="shared" si="29"/>
        <v>#DIV/0!</v>
      </c>
      <c r="O76" s="38" t="s">
        <v>30</v>
      </c>
      <c r="P76" s="13"/>
      <c r="Q76" s="14" t="e">
        <f>P76/P79</f>
        <v>#DIV/0!</v>
      </c>
      <c r="R76">
        <v>99.96</v>
      </c>
      <c r="S76" s="40" t="e">
        <f t="shared" si="30"/>
        <v>#DIV/0!</v>
      </c>
      <c r="U76" s="46" t="s">
        <v>31</v>
      </c>
      <c r="V76" s="52"/>
      <c r="W76" s="14" t="e">
        <f>V76/V78</f>
        <v>#DIV/0!</v>
      </c>
      <c r="X76">
        <v>100</v>
      </c>
      <c r="Y76" s="48" t="e">
        <f>W76*X76</f>
        <v>#DIV/0!</v>
      </c>
    </row>
    <row r="77" spans="1:25" x14ac:dyDescent="0.35">
      <c r="A77" s="23">
        <v>3526</v>
      </c>
      <c r="B77" s="2"/>
      <c r="C77" s="21" t="s">
        <v>31</v>
      </c>
      <c r="D77" s="13">
        <v>207346</v>
      </c>
      <c r="E77" s="14">
        <f>D77/D80</f>
        <v>0.11962216320966272</v>
      </c>
      <c r="F77">
        <v>100</v>
      </c>
      <c r="G77" s="15">
        <f t="shared" si="28"/>
        <v>11.962216320966272</v>
      </c>
      <c r="I77" s="21" t="s">
        <v>31</v>
      </c>
      <c r="J77" s="52"/>
      <c r="K77" s="14" t="e">
        <f>J77/J80</f>
        <v>#DIV/0!</v>
      </c>
      <c r="L77">
        <v>100</v>
      </c>
      <c r="M77" s="15" t="e">
        <f t="shared" si="29"/>
        <v>#DIV/0!</v>
      </c>
      <c r="O77" s="38" t="s">
        <v>31</v>
      </c>
      <c r="P77" s="13"/>
      <c r="Q77" s="14" t="e">
        <f>P77/P79</f>
        <v>#DIV/0!</v>
      </c>
      <c r="R77">
        <v>100</v>
      </c>
      <c r="S77" s="40" t="e">
        <f t="shared" si="30"/>
        <v>#DIV/0!</v>
      </c>
      <c r="U77" s="46" t="s">
        <v>33</v>
      </c>
      <c r="V77" s="52"/>
      <c r="W77" s="14" t="e">
        <f>V77/V78</f>
        <v>#DIV/0!</v>
      </c>
      <c r="X77">
        <v>99.84</v>
      </c>
      <c r="Y77" s="48" t="e">
        <f>W77*X77</f>
        <v>#DIV/0!</v>
      </c>
    </row>
    <row r="78" spans="1:25" ht="15" thickBot="1" x14ac:dyDescent="0.4">
      <c r="A78" s="24">
        <f>SUM(A75:A77)</f>
        <v>1299415</v>
      </c>
      <c r="B78" s="2"/>
      <c r="C78" s="21" t="s">
        <v>32</v>
      </c>
      <c r="D78">
        <v>174</v>
      </c>
      <c r="E78" s="14">
        <f>D78/D80</f>
        <v>1.0038417137770353E-4</v>
      </c>
      <c r="F78">
        <v>100</v>
      </c>
      <c r="G78" s="15">
        <f t="shared" si="28"/>
        <v>1.0038417137770353E-2</v>
      </c>
      <c r="I78" s="21" t="s">
        <v>32</v>
      </c>
      <c r="J78" s="52"/>
      <c r="K78" s="14" t="e">
        <f>J78/J80</f>
        <v>#DIV/0!</v>
      </c>
      <c r="L78">
        <v>100</v>
      </c>
      <c r="M78" s="15" t="e">
        <f t="shared" si="29"/>
        <v>#DIV/0!</v>
      </c>
      <c r="O78" s="38" t="s">
        <v>33</v>
      </c>
      <c r="P78" s="13"/>
      <c r="Q78" s="14" t="e">
        <f>P78/P79</f>
        <v>#DIV/0!</v>
      </c>
      <c r="R78">
        <v>99.8</v>
      </c>
      <c r="S78" s="40" t="e">
        <f>Q78*R78</f>
        <v>#DIV/0!</v>
      </c>
      <c r="U78" s="46"/>
      <c r="V78" s="52">
        <f>SUM(V74:V77)</f>
        <v>0</v>
      </c>
      <c r="W78" s="32" t="e">
        <f>SUM(W74:W77)</f>
        <v>#DIV/0!</v>
      </c>
      <c r="X78" s="33">
        <f>AVERAGE(X74:X77)</f>
        <v>99.949999999999989</v>
      </c>
      <c r="Y78" s="58" t="e">
        <f>SUM(Y74:Y77)</f>
        <v>#DIV/0!</v>
      </c>
    </row>
    <row r="79" spans="1:25" ht="15.5" thickTop="1" thickBot="1" x14ac:dyDescent="0.4">
      <c r="B79" s="2"/>
      <c r="C79" s="21" t="s">
        <v>33</v>
      </c>
      <c r="D79" s="13">
        <v>92224</v>
      </c>
      <c r="E79" s="16">
        <f>D79/D80</f>
        <v>5.3205918512283505E-2</v>
      </c>
      <c r="F79" s="17">
        <v>99.84</v>
      </c>
      <c r="G79" s="15">
        <f t="shared" si="28"/>
        <v>5.312078904266385</v>
      </c>
      <c r="I79" s="21" t="s">
        <v>33</v>
      </c>
      <c r="J79" s="52"/>
      <c r="K79" s="16" t="e">
        <f>J79/J80</f>
        <v>#DIV/0!</v>
      </c>
      <c r="L79" s="17">
        <v>99.84</v>
      </c>
      <c r="M79" s="15" t="e">
        <f t="shared" si="29"/>
        <v>#DIV/0!</v>
      </c>
      <c r="O79" s="38"/>
      <c r="P79" s="31">
        <f>SUM(P74:P78)</f>
        <v>0</v>
      </c>
      <c r="Q79" s="32" t="e">
        <f>SUM(Q74:Q78)</f>
        <v>#DIV/0!</v>
      </c>
      <c r="R79" s="33">
        <f>AVERAGE(R74:R78)</f>
        <v>99.927999999999997</v>
      </c>
      <c r="S79" s="41" t="e">
        <f>SUM(S74:S78)</f>
        <v>#DIV/0!</v>
      </c>
      <c r="U79" s="46"/>
      <c r="V79" s="42"/>
      <c r="W79" s="42"/>
      <c r="X79" s="42"/>
      <c r="Y79" s="48"/>
    </row>
    <row r="80" spans="1:25" ht="15" thickBot="1" x14ac:dyDescent="0.4">
      <c r="A80" s="10"/>
      <c r="B80" s="10"/>
      <c r="C80" s="10"/>
      <c r="D80" s="49">
        <f>SUM(D74:D79)</f>
        <v>1733341</v>
      </c>
      <c r="E80" s="50">
        <f>SUM(E74:E79)</f>
        <v>0.99999999999999989</v>
      </c>
      <c r="F80" s="51">
        <f>AVERAGE(F74:F79)</f>
        <v>99.966666666666654</v>
      </c>
      <c r="G80" s="26">
        <f>SUM(G74:G79)</f>
        <v>99.98842778195403</v>
      </c>
      <c r="I80" s="10"/>
      <c r="J80" s="49">
        <f>SUM(J74:J79)</f>
        <v>0</v>
      </c>
      <c r="K80" s="50" t="e">
        <f>SUM(K74:K79)</f>
        <v>#DIV/0!</v>
      </c>
      <c r="L80" s="51">
        <f>AVERAGE(L74:L79)</f>
        <v>99.966666666666654</v>
      </c>
      <c r="M80" s="26" t="e">
        <f>SUM(M74:M79)</f>
        <v>#DIV/0!</v>
      </c>
      <c r="O80" s="34"/>
      <c r="P80" s="34"/>
      <c r="Q80" s="34"/>
      <c r="R80" s="36"/>
      <c r="S80" s="40"/>
      <c r="U80" s="42"/>
      <c r="V80" s="42"/>
      <c r="W80" s="42"/>
      <c r="X80" s="44"/>
      <c r="Y80" s="45"/>
    </row>
    <row r="81" spans="1:25" s="28" customFormat="1" ht="15" thickTop="1" x14ac:dyDescent="0.35">
      <c r="A81" s="29" t="s">
        <v>137</v>
      </c>
      <c r="H81" s="27"/>
      <c r="N81" s="27"/>
    </row>
    <row r="82" spans="1:25" x14ac:dyDescent="0.35">
      <c r="A82" s="20" t="s">
        <v>138</v>
      </c>
      <c r="B82" s="20"/>
      <c r="C82" s="56" t="s">
        <v>115</v>
      </c>
      <c r="D82" s="11"/>
      <c r="E82" s="11"/>
      <c r="F82" s="11"/>
      <c r="G82" s="30" t="s">
        <v>115</v>
      </c>
      <c r="I82" s="56" t="s">
        <v>115</v>
      </c>
      <c r="J82" s="11"/>
      <c r="K82" s="11"/>
      <c r="L82" s="11"/>
      <c r="M82" s="30" t="s">
        <v>115</v>
      </c>
      <c r="O82" s="55" t="s">
        <v>116</v>
      </c>
      <c r="P82" s="34"/>
      <c r="Q82" s="34"/>
      <c r="R82" s="34"/>
      <c r="S82" s="35" t="s">
        <v>116</v>
      </c>
      <c r="U82" s="57" t="s">
        <v>117</v>
      </c>
      <c r="V82" s="42"/>
      <c r="W82" s="42"/>
      <c r="X82" s="42"/>
      <c r="Y82" s="43" t="s">
        <v>117</v>
      </c>
    </row>
    <row r="83" spans="1:25" ht="15" thickBot="1" x14ac:dyDescent="0.4">
      <c r="A83" s="2"/>
      <c r="B83" s="2"/>
      <c r="C83" s="2"/>
      <c r="D83" s="18" t="s">
        <v>118</v>
      </c>
      <c r="E83" s="19" t="s">
        <v>119</v>
      </c>
      <c r="F83" s="18" t="s">
        <v>120</v>
      </c>
      <c r="G83" s="12" t="s">
        <v>121</v>
      </c>
      <c r="I83" s="2"/>
      <c r="J83" s="18" t="s">
        <v>118</v>
      </c>
      <c r="K83" s="19" t="s">
        <v>119</v>
      </c>
      <c r="L83" s="18" t="s">
        <v>120</v>
      </c>
      <c r="M83" s="12" t="s">
        <v>121</v>
      </c>
      <c r="O83" s="34"/>
      <c r="P83" s="18" t="s">
        <v>118</v>
      </c>
      <c r="Q83" s="19" t="s">
        <v>119</v>
      </c>
      <c r="R83" s="18" t="s">
        <v>120</v>
      </c>
      <c r="S83" s="39" t="s">
        <v>121</v>
      </c>
      <c r="U83" s="42"/>
      <c r="V83" s="18" t="s">
        <v>118</v>
      </c>
      <c r="W83" s="19" t="s">
        <v>119</v>
      </c>
      <c r="X83" s="18" t="s">
        <v>120</v>
      </c>
      <c r="Y83" s="47" t="s">
        <v>121</v>
      </c>
    </row>
    <row r="84" spans="1:25" ht="15" thickTop="1" x14ac:dyDescent="0.35">
      <c r="A84" s="22" t="s">
        <v>122</v>
      </c>
      <c r="B84" s="2"/>
      <c r="C84" s="21" t="s">
        <v>25</v>
      </c>
      <c r="D84" s="25">
        <v>1302429</v>
      </c>
      <c r="E84" s="14">
        <f>D84/D90</f>
        <v>0.74797347004525994</v>
      </c>
      <c r="F84">
        <v>100</v>
      </c>
      <c r="G84" s="15">
        <f t="shared" ref="G84:G89" si="32">E84*F84</f>
        <v>74.797347004525989</v>
      </c>
      <c r="I84" s="21" t="s">
        <v>25</v>
      </c>
      <c r="J84" s="52"/>
      <c r="K84" s="14" t="e">
        <f>J84/J90</f>
        <v>#DIV/0!</v>
      </c>
      <c r="L84">
        <v>100</v>
      </c>
      <c r="M84" s="15" t="e">
        <f t="shared" ref="M84:M89" si="33">K84*L84</f>
        <v>#DIV/0!</v>
      </c>
      <c r="O84" s="38" t="s">
        <v>25</v>
      </c>
      <c r="P84" s="13"/>
      <c r="Q84" s="14" t="e">
        <f>P84/P89</f>
        <v>#DIV/0!</v>
      </c>
      <c r="R84">
        <v>99.96</v>
      </c>
      <c r="S84" s="40" t="e">
        <f t="shared" ref="S84:S87" si="34">Q84*R84</f>
        <v>#DIV/0!</v>
      </c>
      <c r="U84" s="46" t="s">
        <v>25</v>
      </c>
      <c r="V84" s="52"/>
      <c r="W84" s="14" t="e">
        <f>V84/V88</f>
        <v>#DIV/0!</v>
      </c>
      <c r="X84">
        <v>100</v>
      </c>
      <c r="Y84" s="48" t="e">
        <f t="shared" ref="Y84:Y85" si="35">W84*X84</f>
        <v>#DIV/0!</v>
      </c>
    </row>
    <row r="85" spans="1:25" x14ac:dyDescent="0.35">
      <c r="A85" s="23">
        <v>1298891</v>
      </c>
      <c r="B85" s="2"/>
      <c r="C85" s="21" t="s">
        <v>29</v>
      </c>
      <c r="D85" s="13">
        <v>132715</v>
      </c>
      <c r="E85" s="14">
        <f>D85/D90</f>
        <v>7.6217052197898441E-2</v>
      </c>
      <c r="F85">
        <v>99.96</v>
      </c>
      <c r="G85" s="15">
        <f t="shared" si="32"/>
        <v>7.618656537701928</v>
      </c>
      <c r="I85" s="21" t="s">
        <v>29</v>
      </c>
      <c r="J85" s="52"/>
      <c r="K85" s="14" t="e">
        <f>J85/J90</f>
        <v>#DIV/0!</v>
      </c>
      <c r="L85">
        <v>99.96</v>
      </c>
      <c r="M85" s="15" t="e">
        <f t="shared" si="33"/>
        <v>#DIV/0!</v>
      </c>
      <c r="O85" s="38" t="s">
        <v>29</v>
      </c>
      <c r="P85" s="13"/>
      <c r="Q85" s="14" t="e">
        <f>P85/P89</f>
        <v>#DIV/0!</v>
      </c>
      <c r="R85">
        <v>99.92</v>
      </c>
      <c r="S85" s="40" t="e">
        <f t="shared" si="34"/>
        <v>#DIV/0!</v>
      </c>
      <c r="U85" s="46" t="s">
        <v>29</v>
      </c>
      <c r="V85" s="52"/>
      <c r="W85" s="14" t="e">
        <f>V85/V88</f>
        <v>#DIV/0!</v>
      </c>
      <c r="X85">
        <v>99.96</v>
      </c>
      <c r="Y85" s="48" t="e">
        <f t="shared" si="35"/>
        <v>#DIV/0!</v>
      </c>
    </row>
    <row r="86" spans="1:25" x14ac:dyDescent="0.35">
      <c r="A86" s="23">
        <v>12</v>
      </c>
      <c r="B86" s="2"/>
      <c r="C86" s="21" t="s">
        <v>30</v>
      </c>
      <c r="D86" s="13">
        <v>6614</v>
      </c>
      <c r="E86" s="14">
        <f>D86/D90</f>
        <v>3.7983617770176717E-3</v>
      </c>
      <c r="F86">
        <v>100</v>
      </c>
      <c r="G86" s="15">
        <f t="shared" si="32"/>
        <v>0.37983617770176714</v>
      </c>
      <c r="I86" s="21" t="s">
        <v>30</v>
      </c>
      <c r="J86" s="52"/>
      <c r="K86" s="14" t="e">
        <f>J86/J90</f>
        <v>#DIV/0!</v>
      </c>
      <c r="L86">
        <v>100</v>
      </c>
      <c r="M86" s="15" t="e">
        <f t="shared" si="33"/>
        <v>#DIV/0!</v>
      </c>
      <c r="O86" s="38" t="s">
        <v>30</v>
      </c>
      <c r="P86" s="13"/>
      <c r="Q86" s="14" t="e">
        <f>P86/P89</f>
        <v>#DIV/0!</v>
      </c>
      <c r="R86">
        <v>99.96</v>
      </c>
      <c r="S86" s="40" t="e">
        <f t="shared" si="34"/>
        <v>#DIV/0!</v>
      </c>
      <c r="U86" s="46" t="s">
        <v>31</v>
      </c>
      <c r="V86" s="52"/>
      <c r="W86" s="14" t="e">
        <f>V86/V88</f>
        <v>#DIV/0!</v>
      </c>
      <c r="X86">
        <v>100</v>
      </c>
      <c r="Y86" s="48" t="e">
        <f>W86*X86</f>
        <v>#DIV/0!</v>
      </c>
    </row>
    <row r="87" spans="1:25" x14ac:dyDescent="0.35">
      <c r="A87" s="23">
        <v>3526</v>
      </c>
      <c r="B87" s="2"/>
      <c r="C87" s="21" t="s">
        <v>31</v>
      </c>
      <c r="D87" s="13">
        <v>207106</v>
      </c>
      <c r="E87" s="14">
        <f>D87/D90</f>
        <v>0.11893914638509553</v>
      </c>
      <c r="F87">
        <v>100</v>
      </c>
      <c r="G87" s="15">
        <f t="shared" si="32"/>
        <v>11.893914638509553</v>
      </c>
      <c r="I87" s="21" t="s">
        <v>31</v>
      </c>
      <c r="J87" s="52"/>
      <c r="K87" s="14" t="e">
        <f>J87/J90</f>
        <v>#DIV/0!</v>
      </c>
      <c r="L87">
        <v>100</v>
      </c>
      <c r="M87" s="15" t="e">
        <f t="shared" si="33"/>
        <v>#DIV/0!</v>
      </c>
      <c r="O87" s="38" t="s">
        <v>31</v>
      </c>
      <c r="P87" s="13"/>
      <c r="Q87" s="14" t="e">
        <f>P87/P89</f>
        <v>#DIV/0!</v>
      </c>
      <c r="R87">
        <v>100</v>
      </c>
      <c r="S87" s="40" t="e">
        <f t="shared" si="34"/>
        <v>#DIV/0!</v>
      </c>
      <c r="U87" s="46" t="s">
        <v>33</v>
      </c>
      <c r="V87" s="52"/>
      <c r="W87" s="14" t="e">
        <f>V87/V88</f>
        <v>#DIV/0!</v>
      </c>
      <c r="X87">
        <v>99.84</v>
      </c>
      <c r="Y87" s="48" t="e">
        <f>W87*X87</f>
        <v>#DIV/0!</v>
      </c>
    </row>
    <row r="88" spans="1:25" ht="15" thickBot="1" x14ac:dyDescent="0.4">
      <c r="A88" s="24">
        <f>SUM(A85:A87)</f>
        <v>1302429</v>
      </c>
      <c r="B88" s="2"/>
      <c r="C88" s="21" t="s">
        <v>32</v>
      </c>
      <c r="D88">
        <v>174</v>
      </c>
      <c r="E88" s="14">
        <f>D88/D90</f>
        <v>9.992666301800346E-5</v>
      </c>
      <c r="F88">
        <v>100</v>
      </c>
      <c r="G88" s="15">
        <f t="shared" si="32"/>
        <v>9.9926663018003459E-3</v>
      </c>
      <c r="I88" s="21" t="s">
        <v>32</v>
      </c>
      <c r="J88" s="52"/>
      <c r="K88" s="14" t="e">
        <f>J88/J90</f>
        <v>#DIV/0!</v>
      </c>
      <c r="L88">
        <v>100</v>
      </c>
      <c r="M88" s="15" t="e">
        <f t="shared" si="33"/>
        <v>#DIV/0!</v>
      </c>
      <c r="O88" s="38" t="s">
        <v>33</v>
      </c>
      <c r="P88" s="13"/>
      <c r="Q88" s="14" t="e">
        <f>P88/P89</f>
        <v>#DIV/0!</v>
      </c>
      <c r="R88">
        <v>99.8</v>
      </c>
      <c r="S88" s="40" t="e">
        <f>Q88*R88</f>
        <v>#DIV/0!</v>
      </c>
      <c r="U88" s="46"/>
      <c r="V88" s="52">
        <f>SUM(V84:V87)</f>
        <v>0</v>
      </c>
      <c r="W88" s="32" t="e">
        <f>SUM(W84:W87)</f>
        <v>#DIV/0!</v>
      </c>
      <c r="X88" s="33">
        <f>AVERAGE(X84:X87)</f>
        <v>99.949999999999989</v>
      </c>
      <c r="Y88" s="58" t="e">
        <f>SUM(Y84:Y87)</f>
        <v>#DIV/0!</v>
      </c>
    </row>
    <row r="89" spans="1:25" ht="15.5" thickTop="1" thickBot="1" x14ac:dyDescent="0.4">
      <c r="B89" s="2"/>
      <c r="C89" s="21" t="s">
        <v>33</v>
      </c>
      <c r="D89" s="13">
        <v>92239</v>
      </c>
      <c r="E89" s="16">
        <f>D89/D90</f>
        <v>5.2972042931710463E-2</v>
      </c>
      <c r="F89" s="17">
        <v>99.84</v>
      </c>
      <c r="G89" s="15">
        <f t="shared" si="32"/>
        <v>5.2887287663019729</v>
      </c>
      <c r="I89" s="21" t="s">
        <v>33</v>
      </c>
      <c r="J89" s="52"/>
      <c r="K89" s="16" t="e">
        <f>J89/J90</f>
        <v>#DIV/0!</v>
      </c>
      <c r="L89" s="17">
        <v>99.84</v>
      </c>
      <c r="M89" s="15" t="e">
        <f t="shared" si="33"/>
        <v>#DIV/0!</v>
      </c>
      <c r="O89" s="38"/>
      <c r="P89" s="31">
        <f>SUM(P84:P88)</f>
        <v>0</v>
      </c>
      <c r="Q89" s="32" t="e">
        <f>SUM(Q84:Q88)</f>
        <v>#DIV/0!</v>
      </c>
      <c r="R89" s="33">
        <f>AVERAGE(R84:R88)</f>
        <v>99.927999999999997</v>
      </c>
      <c r="S89" s="41" t="e">
        <f>SUM(S84:S88)</f>
        <v>#DIV/0!</v>
      </c>
      <c r="U89" s="46"/>
      <c r="V89" s="42"/>
      <c r="W89" s="42"/>
      <c r="X89" s="42"/>
      <c r="Y89" s="48"/>
    </row>
    <row r="90" spans="1:25" ht="15" thickBot="1" x14ac:dyDescent="0.4">
      <c r="A90" s="10"/>
      <c r="B90" s="10"/>
      <c r="C90" s="10"/>
      <c r="D90" s="49">
        <f>SUM(D84:D89)</f>
        <v>1741277</v>
      </c>
      <c r="E90" s="50">
        <f>SUM(E84:E89)</f>
        <v>1</v>
      </c>
      <c r="F90" s="51">
        <f>AVERAGE(F84:F89)</f>
        <v>99.966666666666654</v>
      </c>
      <c r="G90" s="26">
        <f>SUM(G84:G89)</f>
        <v>99.988475791043001</v>
      </c>
      <c r="I90" s="10"/>
      <c r="J90" s="49">
        <f>SUM(J84:J89)</f>
        <v>0</v>
      </c>
      <c r="K90" s="50" t="e">
        <f>SUM(K84:K89)</f>
        <v>#DIV/0!</v>
      </c>
      <c r="L90" s="51">
        <f>AVERAGE(L84:L89)</f>
        <v>99.966666666666654</v>
      </c>
      <c r="M90" s="26" t="e">
        <f>SUM(M84:M89)</f>
        <v>#DIV/0!</v>
      </c>
      <c r="O90" s="34"/>
      <c r="P90" s="34"/>
      <c r="Q90" s="34"/>
      <c r="R90" s="36"/>
      <c r="S90" s="40"/>
      <c r="U90" s="42"/>
      <c r="V90" s="42"/>
      <c r="W90" s="42"/>
      <c r="X90" s="44"/>
      <c r="Y90" s="45"/>
    </row>
    <row r="91" spans="1:25" s="28" customFormat="1" ht="15" thickTop="1" x14ac:dyDescent="0.35">
      <c r="A91" s="29" t="s">
        <v>139</v>
      </c>
      <c r="H91" s="27"/>
      <c r="N91" s="27"/>
    </row>
    <row r="92" spans="1:25" x14ac:dyDescent="0.35">
      <c r="A92" s="20" t="s">
        <v>140</v>
      </c>
      <c r="B92" s="20"/>
      <c r="C92" s="56" t="s">
        <v>115</v>
      </c>
      <c r="D92" s="11"/>
      <c r="E92" s="11"/>
      <c r="F92" s="11"/>
      <c r="G92" s="30" t="s">
        <v>115</v>
      </c>
      <c r="I92" s="56" t="s">
        <v>115</v>
      </c>
      <c r="J92" s="11"/>
      <c r="K92" s="11"/>
      <c r="L92" s="11"/>
      <c r="M92" s="30" t="s">
        <v>115</v>
      </c>
      <c r="O92" s="55" t="s">
        <v>116</v>
      </c>
      <c r="P92" s="34"/>
      <c r="Q92" s="34"/>
      <c r="R92" s="34"/>
      <c r="S92" s="35" t="s">
        <v>116</v>
      </c>
      <c r="U92" s="57" t="s">
        <v>117</v>
      </c>
      <c r="V92" s="42"/>
      <c r="W92" s="42"/>
      <c r="X92" s="42"/>
      <c r="Y92" s="43" t="s">
        <v>117</v>
      </c>
    </row>
    <row r="93" spans="1:25" ht="15" thickBot="1" x14ac:dyDescent="0.4">
      <c r="A93" s="2"/>
      <c r="B93" s="2"/>
      <c r="C93" s="2"/>
      <c r="D93" s="18" t="s">
        <v>118</v>
      </c>
      <c r="E93" s="19" t="s">
        <v>119</v>
      </c>
      <c r="F93" s="18" t="s">
        <v>120</v>
      </c>
      <c r="G93" s="12" t="s">
        <v>121</v>
      </c>
      <c r="I93" s="2"/>
      <c r="J93" s="18" t="s">
        <v>118</v>
      </c>
      <c r="K93" s="19" t="s">
        <v>119</v>
      </c>
      <c r="L93" s="18" t="s">
        <v>120</v>
      </c>
      <c r="M93" s="12" t="s">
        <v>121</v>
      </c>
      <c r="O93" s="34"/>
      <c r="P93" s="18" t="s">
        <v>118</v>
      </c>
      <c r="Q93" s="19" t="s">
        <v>119</v>
      </c>
      <c r="R93" s="18" t="s">
        <v>120</v>
      </c>
      <c r="S93" s="39" t="s">
        <v>121</v>
      </c>
      <c r="U93" s="42"/>
      <c r="V93" s="18" t="s">
        <v>118</v>
      </c>
      <c r="W93" s="19" t="s">
        <v>119</v>
      </c>
      <c r="X93" s="18" t="s">
        <v>120</v>
      </c>
      <c r="Y93" s="47" t="s">
        <v>121</v>
      </c>
    </row>
    <row r="94" spans="1:25" ht="15" thickTop="1" x14ac:dyDescent="0.35">
      <c r="A94" s="22" t="s">
        <v>122</v>
      </c>
      <c r="B94" s="2"/>
      <c r="C94" s="21" t="s">
        <v>25</v>
      </c>
      <c r="D94" s="25">
        <v>1302920</v>
      </c>
      <c r="E94" s="14">
        <f>D94/D100</f>
        <v>0.74805868860647573</v>
      </c>
      <c r="F94">
        <v>100</v>
      </c>
      <c r="G94" s="15">
        <f t="shared" ref="G94:G99" si="36">E94*F94</f>
        <v>74.805868860647578</v>
      </c>
      <c r="I94" s="21" t="s">
        <v>25</v>
      </c>
      <c r="J94" s="52"/>
      <c r="K94" s="14" t="e">
        <f>J94/J100</f>
        <v>#DIV/0!</v>
      </c>
      <c r="L94">
        <v>100</v>
      </c>
      <c r="M94" s="15" t="e">
        <f t="shared" ref="M94:M99" si="37">K94*L94</f>
        <v>#DIV/0!</v>
      </c>
      <c r="O94" s="38" t="s">
        <v>25</v>
      </c>
      <c r="P94" s="13"/>
      <c r="Q94" s="14" t="e">
        <f>P94/P99</f>
        <v>#DIV/0!</v>
      </c>
      <c r="R94">
        <v>99.96</v>
      </c>
      <c r="S94" s="40" t="e">
        <f t="shared" ref="S94:S97" si="38">Q94*R94</f>
        <v>#DIV/0!</v>
      </c>
      <c r="U94" s="46" t="s">
        <v>25</v>
      </c>
      <c r="V94" s="52"/>
      <c r="W94" s="14" t="e">
        <f>V94/V98</f>
        <v>#DIV/0!</v>
      </c>
      <c r="X94">
        <v>100</v>
      </c>
      <c r="Y94" s="48" t="e">
        <f t="shared" ref="Y94:Y95" si="39">W94*X94</f>
        <v>#DIV/0!</v>
      </c>
    </row>
    <row r="95" spans="1:25" x14ac:dyDescent="0.35">
      <c r="A95" s="23">
        <v>1299382</v>
      </c>
      <c r="B95" s="2"/>
      <c r="C95" s="21" t="s">
        <v>29</v>
      </c>
      <c r="D95" s="13">
        <v>132711</v>
      </c>
      <c r="E95" s="14">
        <f>D95/D100</f>
        <v>7.6194713891608076E-2</v>
      </c>
      <c r="F95">
        <v>99.96</v>
      </c>
      <c r="G95" s="15">
        <f t="shared" si="36"/>
        <v>7.6164236006051427</v>
      </c>
      <c r="I95" s="21" t="s">
        <v>29</v>
      </c>
      <c r="J95" s="52"/>
      <c r="K95" s="14" t="e">
        <f>J95/J100</f>
        <v>#DIV/0!</v>
      </c>
      <c r="L95">
        <v>99.96</v>
      </c>
      <c r="M95" s="15" t="e">
        <f t="shared" si="37"/>
        <v>#DIV/0!</v>
      </c>
      <c r="O95" s="38" t="s">
        <v>29</v>
      </c>
      <c r="P95" s="13"/>
      <c r="Q95" s="14" t="e">
        <f>P95/P99</f>
        <v>#DIV/0!</v>
      </c>
      <c r="R95">
        <v>99.92</v>
      </c>
      <c r="S95" s="40" t="e">
        <f t="shared" si="38"/>
        <v>#DIV/0!</v>
      </c>
      <c r="U95" s="46" t="s">
        <v>29</v>
      </c>
      <c r="V95" s="52"/>
      <c r="W95" s="14" t="e">
        <f>V95/V98</f>
        <v>#DIV/0!</v>
      </c>
      <c r="X95">
        <v>99.96</v>
      </c>
      <c r="Y95" s="48" t="e">
        <f t="shared" si="39"/>
        <v>#DIV/0!</v>
      </c>
    </row>
    <row r="96" spans="1:25" x14ac:dyDescent="0.35">
      <c r="A96" s="23">
        <v>12</v>
      </c>
      <c r="B96" s="2"/>
      <c r="C96" s="21" t="s">
        <v>30</v>
      </c>
      <c r="D96" s="13">
        <v>6603</v>
      </c>
      <c r="E96" s="14">
        <f>D96/D100</f>
        <v>3.7910474325887691E-3</v>
      </c>
      <c r="F96">
        <v>100</v>
      </c>
      <c r="G96" s="15">
        <f t="shared" si="36"/>
        <v>0.37910474325887689</v>
      </c>
      <c r="I96" s="21" t="s">
        <v>30</v>
      </c>
      <c r="J96" s="52"/>
      <c r="K96" s="14" t="e">
        <f>J96/J100</f>
        <v>#DIV/0!</v>
      </c>
      <c r="L96">
        <v>100</v>
      </c>
      <c r="M96" s="15" t="e">
        <f t="shared" si="37"/>
        <v>#DIV/0!</v>
      </c>
      <c r="O96" s="38" t="s">
        <v>30</v>
      </c>
      <c r="P96" s="13"/>
      <c r="Q96" s="14" t="e">
        <f>P96/P99</f>
        <v>#DIV/0!</v>
      </c>
      <c r="R96">
        <v>99.96</v>
      </c>
      <c r="S96" s="40" t="e">
        <f t="shared" si="38"/>
        <v>#DIV/0!</v>
      </c>
      <c r="U96" s="46" t="s">
        <v>31</v>
      </c>
      <c r="V96" s="52"/>
      <c r="W96" s="14" t="e">
        <f>V96/V98</f>
        <v>#DIV/0!</v>
      </c>
      <c r="X96">
        <v>100</v>
      </c>
      <c r="Y96" s="48" t="e">
        <f>W96*X96</f>
        <v>#DIV/0!</v>
      </c>
    </row>
    <row r="97" spans="1:25" x14ac:dyDescent="0.35">
      <c r="A97" s="23">
        <v>3526</v>
      </c>
      <c r="B97" s="2"/>
      <c r="C97" s="21" t="s">
        <v>31</v>
      </c>
      <c r="D97" s="13">
        <v>206998</v>
      </c>
      <c r="E97" s="14">
        <f>D97/D100</f>
        <v>0.11884586346373013</v>
      </c>
      <c r="F97">
        <v>100</v>
      </c>
      <c r="G97" s="15">
        <f t="shared" si="36"/>
        <v>11.884586346373013</v>
      </c>
      <c r="I97" s="21" t="s">
        <v>31</v>
      </c>
      <c r="J97" s="52"/>
      <c r="K97" s="14" t="e">
        <f>J97/J100</f>
        <v>#DIV/0!</v>
      </c>
      <c r="L97">
        <v>100</v>
      </c>
      <c r="M97" s="15" t="e">
        <f t="shared" si="37"/>
        <v>#DIV/0!</v>
      </c>
      <c r="O97" s="38" t="s">
        <v>31</v>
      </c>
      <c r="P97" s="13"/>
      <c r="Q97" s="14" t="e">
        <f>P97/P99</f>
        <v>#DIV/0!</v>
      </c>
      <c r="R97">
        <v>100</v>
      </c>
      <c r="S97" s="40" t="e">
        <f t="shared" si="38"/>
        <v>#DIV/0!</v>
      </c>
      <c r="U97" s="46" t="s">
        <v>33</v>
      </c>
      <c r="V97" s="52"/>
      <c r="W97" s="14" t="e">
        <f>V97/V98</f>
        <v>#DIV/0!</v>
      </c>
      <c r="X97">
        <v>99.84</v>
      </c>
      <c r="Y97" s="48" t="e">
        <f>W97*X97</f>
        <v>#DIV/0!</v>
      </c>
    </row>
    <row r="98" spans="1:25" ht="15" thickBot="1" x14ac:dyDescent="0.4">
      <c r="A98" s="24">
        <f>SUM(A95:A97)</f>
        <v>1302920</v>
      </c>
      <c r="B98" s="2"/>
      <c r="C98" s="21" t="s">
        <v>32</v>
      </c>
      <c r="D98">
        <v>174</v>
      </c>
      <c r="E98" s="14">
        <f>D98/D100</f>
        <v>9.9900386683393288E-5</v>
      </c>
      <c r="F98">
        <v>100</v>
      </c>
      <c r="G98" s="15">
        <f t="shared" si="36"/>
        <v>9.990038668339328E-3</v>
      </c>
      <c r="I98" s="21" t="s">
        <v>32</v>
      </c>
      <c r="J98" s="52"/>
      <c r="K98" s="14" t="e">
        <f>J98/J100</f>
        <v>#DIV/0!</v>
      </c>
      <c r="L98">
        <v>100</v>
      </c>
      <c r="M98" s="15" t="e">
        <f t="shared" si="37"/>
        <v>#DIV/0!</v>
      </c>
      <c r="O98" s="38" t="s">
        <v>33</v>
      </c>
      <c r="P98" s="13"/>
      <c r="Q98" s="14" t="e">
        <f>P98/P99</f>
        <v>#DIV/0!</v>
      </c>
      <c r="R98">
        <v>99.8</v>
      </c>
      <c r="S98" s="40" t="e">
        <f>Q98*R98</f>
        <v>#DIV/0!</v>
      </c>
      <c r="U98" s="46"/>
      <c r="V98" s="52">
        <f>SUM(V94:V97)</f>
        <v>0</v>
      </c>
      <c r="W98" s="32" t="e">
        <f>SUM(W94:W97)</f>
        <v>#DIV/0!</v>
      </c>
      <c r="X98" s="33">
        <f>AVERAGE(X94:X97)</f>
        <v>99.949999999999989</v>
      </c>
      <c r="Y98" s="58" t="e">
        <f>SUM(Y94:Y97)</f>
        <v>#DIV/0!</v>
      </c>
    </row>
    <row r="99" spans="1:25" ht="15.5" thickTop="1" thickBot="1" x14ac:dyDescent="0.4">
      <c r="B99" s="2"/>
      <c r="C99" s="21" t="s">
        <v>33</v>
      </c>
      <c r="D99" s="13">
        <v>92329</v>
      </c>
      <c r="E99" s="16">
        <f>D99/D100</f>
        <v>5.3009786218913897E-2</v>
      </c>
      <c r="F99" s="17">
        <v>99.84</v>
      </c>
      <c r="G99" s="15">
        <f t="shared" si="36"/>
        <v>5.292497056096364</v>
      </c>
      <c r="I99" s="21" t="s">
        <v>33</v>
      </c>
      <c r="J99" s="52"/>
      <c r="K99" s="16" t="e">
        <f>J99/J100</f>
        <v>#DIV/0!</v>
      </c>
      <c r="L99" s="17">
        <v>99.84</v>
      </c>
      <c r="M99" s="15" t="e">
        <f t="shared" si="37"/>
        <v>#DIV/0!</v>
      </c>
      <c r="O99" s="38"/>
      <c r="P99" s="31">
        <f>SUM(P94:P98)</f>
        <v>0</v>
      </c>
      <c r="Q99" s="32" t="e">
        <f>SUM(Q94:Q98)</f>
        <v>#DIV/0!</v>
      </c>
      <c r="R99" s="33">
        <f>AVERAGE(R94:R98)</f>
        <v>99.927999999999997</v>
      </c>
      <c r="S99" s="41" t="e">
        <f>SUM(S94:S98)</f>
        <v>#DIV/0!</v>
      </c>
      <c r="U99" s="46"/>
      <c r="V99" s="42"/>
      <c r="W99" s="42"/>
      <c r="X99" s="42"/>
      <c r="Y99" s="48"/>
    </row>
    <row r="100" spans="1:25" ht="15" thickBot="1" x14ac:dyDescent="0.4">
      <c r="A100" s="10"/>
      <c r="B100" s="10"/>
      <c r="C100" s="10"/>
      <c r="D100" s="49">
        <f>SUM(D94:D99)</f>
        <v>1741735</v>
      </c>
      <c r="E100" s="50">
        <f>SUM(E94:E99)</f>
        <v>1</v>
      </c>
      <c r="F100" s="51">
        <f>AVERAGE(F94:F99)</f>
        <v>99.966666666666654</v>
      </c>
      <c r="G100" s="26">
        <f>SUM(G94:G99)</f>
        <v>99.988470645649315</v>
      </c>
      <c r="I100" s="10"/>
      <c r="J100" s="49">
        <f>SUM(J94:J99)</f>
        <v>0</v>
      </c>
      <c r="K100" s="50" t="e">
        <f>SUM(K94:K99)</f>
        <v>#DIV/0!</v>
      </c>
      <c r="L100" s="51">
        <f>AVERAGE(L94:L99)</f>
        <v>99.966666666666654</v>
      </c>
      <c r="M100" s="26" t="e">
        <f>SUM(M94:M99)</f>
        <v>#DIV/0!</v>
      </c>
      <c r="O100" s="34"/>
      <c r="P100" s="34"/>
      <c r="Q100" s="34"/>
      <c r="R100" s="36"/>
      <c r="S100" s="40"/>
      <c r="U100" s="42"/>
      <c r="V100" s="42"/>
      <c r="W100" s="42"/>
      <c r="X100" s="44"/>
      <c r="Y100" s="45"/>
    </row>
    <row r="101" spans="1:25" s="28" customFormat="1" ht="15" thickTop="1" x14ac:dyDescent="0.35">
      <c r="A101" s="29" t="s">
        <v>141</v>
      </c>
      <c r="H101" s="27"/>
      <c r="N101" s="27"/>
    </row>
    <row r="102" spans="1:25" x14ac:dyDescent="0.35">
      <c r="A102" s="20" t="s">
        <v>142</v>
      </c>
      <c r="B102" s="20"/>
      <c r="C102" s="56" t="s">
        <v>115</v>
      </c>
      <c r="D102" s="11"/>
      <c r="E102" s="11"/>
      <c r="F102" s="11"/>
      <c r="G102" s="30" t="s">
        <v>115</v>
      </c>
      <c r="I102" s="56" t="s">
        <v>115</v>
      </c>
      <c r="J102" s="11"/>
      <c r="K102" s="11"/>
      <c r="L102" s="11"/>
      <c r="M102" s="30" t="s">
        <v>115</v>
      </c>
      <c r="O102" s="55" t="s">
        <v>116</v>
      </c>
      <c r="P102" s="34"/>
      <c r="Q102" s="34"/>
      <c r="R102" s="34"/>
      <c r="S102" s="35" t="s">
        <v>116</v>
      </c>
      <c r="U102" s="57" t="s">
        <v>117</v>
      </c>
      <c r="V102" s="42"/>
      <c r="W102" s="42"/>
      <c r="X102" s="42"/>
      <c r="Y102" s="43" t="s">
        <v>117</v>
      </c>
    </row>
    <row r="103" spans="1:25" ht="15" thickBot="1" x14ac:dyDescent="0.4">
      <c r="A103" s="2"/>
      <c r="B103" s="2"/>
      <c r="C103" s="2"/>
      <c r="D103" s="18" t="s">
        <v>118</v>
      </c>
      <c r="E103" s="19" t="s">
        <v>119</v>
      </c>
      <c r="F103" s="18" t="s">
        <v>120</v>
      </c>
      <c r="G103" s="12" t="s">
        <v>121</v>
      </c>
      <c r="I103" s="2"/>
      <c r="J103" s="18" t="s">
        <v>118</v>
      </c>
      <c r="K103" s="19" t="s">
        <v>119</v>
      </c>
      <c r="L103" s="18" t="s">
        <v>120</v>
      </c>
      <c r="M103" s="12" t="s">
        <v>121</v>
      </c>
      <c r="O103" s="34"/>
      <c r="P103" s="18" t="s">
        <v>118</v>
      </c>
      <c r="Q103" s="19" t="s">
        <v>119</v>
      </c>
      <c r="R103" s="18" t="s">
        <v>120</v>
      </c>
      <c r="S103" s="39" t="s">
        <v>121</v>
      </c>
      <c r="U103" s="42"/>
      <c r="V103" s="18" t="s">
        <v>118</v>
      </c>
      <c r="W103" s="19" t="s">
        <v>119</v>
      </c>
      <c r="X103" s="18" t="s">
        <v>120</v>
      </c>
      <c r="Y103" s="47" t="s">
        <v>121</v>
      </c>
    </row>
    <row r="104" spans="1:25" ht="15" thickTop="1" x14ac:dyDescent="0.35">
      <c r="A104" s="22" t="s">
        <v>122</v>
      </c>
      <c r="B104" s="2"/>
      <c r="C104" s="21" t="s">
        <v>25</v>
      </c>
      <c r="D104" s="25">
        <v>1301215</v>
      </c>
      <c r="E104" s="14">
        <f>D104/D110</f>
        <v>0.74475282126538978</v>
      </c>
      <c r="F104">
        <v>100</v>
      </c>
      <c r="G104" s="15">
        <f t="shared" ref="G104:G109" si="40">E104*F104</f>
        <v>74.475282126538971</v>
      </c>
      <c r="I104" s="21" t="s">
        <v>25</v>
      </c>
      <c r="J104" s="52"/>
      <c r="K104" s="14" t="e">
        <f>J104/J110</f>
        <v>#DIV/0!</v>
      </c>
      <c r="L104">
        <v>100</v>
      </c>
      <c r="M104" s="15" t="e">
        <f t="shared" ref="M104:M109" si="41">K104*L104</f>
        <v>#DIV/0!</v>
      </c>
      <c r="O104" s="38" t="s">
        <v>25</v>
      </c>
      <c r="P104" s="13"/>
      <c r="Q104" s="14" t="e">
        <f>P104/P109</f>
        <v>#DIV/0!</v>
      </c>
      <c r="R104">
        <v>99.96</v>
      </c>
      <c r="S104" s="40" t="e">
        <f t="shared" ref="S104:S107" si="42">Q104*R104</f>
        <v>#DIV/0!</v>
      </c>
      <c r="U104" s="46" t="s">
        <v>25</v>
      </c>
      <c r="V104" s="52"/>
      <c r="W104" s="14" t="e">
        <f>V104/V108</f>
        <v>#DIV/0!</v>
      </c>
      <c r="X104">
        <v>100</v>
      </c>
      <c r="Y104" s="48" t="e">
        <f t="shared" ref="Y104:Y105" si="43">W104*X104</f>
        <v>#DIV/0!</v>
      </c>
    </row>
    <row r="105" spans="1:25" x14ac:dyDescent="0.35">
      <c r="A105" s="23">
        <v>1297689</v>
      </c>
      <c r="B105" s="2"/>
      <c r="C105" s="21" t="s">
        <v>29</v>
      </c>
      <c r="D105" s="13">
        <v>132945</v>
      </c>
      <c r="E105" s="14">
        <f>D105/D110</f>
        <v>7.6091317594038838E-2</v>
      </c>
      <c r="F105">
        <v>99.96</v>
      </c>
      <c r="G105" s="15">
        <f t="shared" si="40"/>
        <v>7.6060881067001214</v>
      </c>
      <c r="I105" s="21" t="s">
        <v>29</v>
      </c>
      <c r="J105" s="52"/>
      <c r="K105" s="14" t="e">
        <f>J105/J110</f>
        <v>#DIV/0!</v>
      </c>
      <c r="L105">
        <v>99.96</v>
      </c>
      <c r="M105" s="15" t="e">
        <f t="shared" si="41"/>
        <v>#DIV/0!</v>
      </c>
      <c r="O105" s="38" t="s">
        <v>29</v>
      </c>
      <c r="P105" s="13"/>
      <c r="Q105" s="14" t="e">
        <f>P105/P109</f>
        <v>#DIV/0!</v>
      </c>
      <c r="R105">
        <v>99.92</v>
      </c>
      <c r="S105" s="40" t="e">
        <f t="shared" si="42"/>
        <v>#DIV/0!</v>
      </c>
      <c r="U105" s="46" t="s">
        <v>29</v>
      </c>
      <c r="V105" s="52"/>
      <c r="W105" s="14" t="e">
        <f>V105/V108</f>
        <v>#DIV/0!</v>
      </c>
      <c r="X105">
        <v>99.96</v>
      </c>
      <c r="Y105" s="48" t="e">
        <f t="shared" si="43"/>
        <v>#DIV/0!</v>
      </c>
    </row>
    <row r="106" spans="1:25" x14ac:dyDescent="0.35">
      <c r="A106" s="23">
        <v>12</v>
      </c>
      <c r="B106" s="2"/>
      <c r="C106" s="21" t="s">
        <v>30</v>
      </c>
      <c r="D106" s="13">
        <v>6614</v>
      </c>
      <c r="E106" s="14">
        <f>D106/D110</f>
        <v>3.7855351804654022E-3</v>
      </c>
      <c r="F106">
        <v>100</v>
      </c>
      <c r="G106" s="15">
        <f t="shared" si="40"/>
        <v>0.37855351804654019</v>
      </c>
      <c r="I106" s="21" t="s">
        <v>30</v>
      </c>
      <c r="J106" s="52"/>
      <c r="K106" s="14" t="e">
        <f>J106/J110</f>
        <v>#DIV/0!</v>
      </c>
      <c r="L106">
        <v>100</v>
      </c>
      <c r="M106" s="15" t="e">
        <f t="shared" si="41"/>
        <v>#DIV/0!</v>
      </c>
      <c r="O106" s="38" t="s">
        <v>30</v>
      </c>
      <c r="P106" s="13"/>
      <c r="Q106" s="14" t="e">
        <f>P106/P109</f>
        <v>#DIV/0!</v>
      </c>
      <c r="R106">
        <v>99.96</v>
      </c>
      <c r="S106" s="40" t="e">
        <f t="shared" si="42"/>
        <v>#DIV/0!</v>
      </c>
      <c r="U106" s="46" t="s">
        <v>31</v>
      </c>
      <c r="V106" s="52"/>
      <c r="W106" s="14" t="e">
        <f>V106/V108</f>
        <v>#DIV/0!</v>
      </c>
      <c r="X106">
        <v>100</v>
      </c>
      <c r="Y106" s="48" t="e">
        <f>W106*X106</f>
        <v>#DIV/0!</v>
      </c>
    </row>
    <row r="107" spans="1:25" x14ac:dyDescent="0.35">
      <c r="A107" s="23">
        <v>3514</v>
      </c>
      <c r="B107" s="2"/>
      <c r="C107" s="21" t="s">
        <v>31</v>
      </c>
      <c r="D107" s="13">
        <v>213909</v>
      </c>
      <c r="E107" s="14">
        <f>D107/D110</f>
        <v>0.12243121332297759</v>
      </c>
      <c r="F107">
        <v>100</v>
      </c>
      <c r="G107" s="15">
        <f t="shared" si="40"/>
        <v>12.243121332297759</v>
      </c>
      <c r="I107" s="21" t="s">
        <v>31</v>
      </c>
      <c r="J107" s="52"/>
      <c r="K107" s="14" t="e">
        <f>J107/J110</f>
        <v>#DIV/0!</v>
      </c>
      <c r="L107">
        <v>100</v>
      </c>
      <c r="M107" s="15" t="e">
        <f t="shared" si="41"/>
        <v>#DIV/0!</v>
      </c>
      <c r="O107" s="38" t="s">
        <v>31</v>
      </c>
      <c r="P107" s="13"/>
      <c r="Q107" s="14" t="e">
        <f>P107/P109</f>
        <v>#DIV/0!</v>
      </c>
      <c r="R107">
        <v>100</v>
      </c>
      <c r="S107" s="40" t="e">
        <f t="shared" si="42"/>
        <v>#DIV/0!</v>
      </c>
      <c r="U107" s="46" t="s">
        <v>33</v>
      </c>
      <c r="V107" s="52"/>
      <c r="W107" s="14" t="e">
        <f>V107/V108</f>
        <v>#DIV/0!</v>
      </c>
      <c r="X107">
        <v>99.84</v>
      </c>
      <c r="Y107" s="48" t="e">
        <f>W107*X107</f>
        <v>#DIV/0!</v>
      </c>
    </row>
    <row r="108" spans="1:25" ht="15" thickBot="1" x14ac:dyDescent="0.4">
      <c r="A108" s="24">
        <f>SUM(A105:A107)</f>
        <v>1301215</v>
      </c>
      <c r="B108" s="2"/>
      <c r="C108" s="21" t="s">
        <v>32</v>
      </c>
      <c r="D108">
        <v>174</v>
      </c>
      <c r="E108" s="14">
        <f>D108/D110</f>
        <v>9.9589223072419109E-5</v>
      </c>
      <c r="F108">
        <v>100</v>
      </c>
      <c r="G108" s="15">
        <f t="shared" si="40"/>
        <v>9.958922307241911E-3</v>
      </c>
      <c r="I108" s="21" t="s">
        <v>32</v>
      </c>
      <c r="J108" s="52"/>
      <c r="K108" s="14" t="e">
        <f>J108/J110</f>
        <v>#DIV/0!</v>
      </c>
      <c r="L108">
        <v>100</v>
      </c>
      <c r="M108" s="15" t="e">
        <f t="shared" si="41"/>
        <v>#DIV/0!</v>
      </c>
      <c r="O108" s="38" t="s">
        <v>33</v>
      </c>
      <c r="P108" s="13"/>
      <c r="Q108" s="14" t="e">
        <f>P108/P109</f>
        <v>#DIV/0!</v>
      </c>
      <c r="R108">
        <v>99.8</v>
      </c>
      <c r="S108" s="40" t="e">
        <f>Q108*R108</f>
        <v>#DIV/0!</v>
      </c>
      <c r="U108" s="46"/>
      <c r="V108" s="52">
        <f>SUM(V104:V107)</f>
        <v>0</v>
      </c>
      <c r="W108" s="32" t="e">
        <f>SUM(W104:W107)</f>
        <v>#DIV/0!</v>
      </c>
      <c r="X108" s="33">
        <f>AVERAGE(X104:X107)</f>
        <v>99.949999999999989</v>
      </c>
      <c r="Y108" s="58" t="e">
        <f>SUM(Y104:Y107)</f>
        <v>#DIV/0!</v>
      </c>
    </row>
    <row r="109" spans="1:25" ht="15.5" thickTop="1" thickBot="1" x14ac:dyDescent="0.4">
      <c r="B109" s="2"/>
      <c r="C109" s="21" t="s">
        <v>33</v>
      </c>
      <c r="D109" s="13">
        <v>92320</v>
      </c>
      <c r="E109" s="16">
        <f>D109/D110</f>
        <v>5.2839523414055935E-2</v>
      </c>
      <c r="F109" s="17">
        <v>99.84</v>
      </c>
      <c r="G109" s="15">
        <f t="shared" si="40"/>
        <v>5.2754980176593449</v>
      </c>
      <c r="I109" s="21" t="s">
        <v>33</v>
      </c>
      <c r="J109" s="52"/>
      <c r="K109" s="16" t="e">
        <f>J109/J110</f>
        <v>#DIV/0!</v>
      </c>
      <c r="L109" s="17">
        <v>99.84</v>
      </c>
      <c r="M109" s="15" t="e">
        <f t="shared" si="41"/>
        <v>#DIV/0!</v>
      </c>
      <c r="O109" s="38"/>
      <c r="P109" s="31">
        <f>SUM(P104:P108)</f>
        <v>0</v>
      </c>
      <c r="Q109" s="32" t="e">
        <f>SUM(Q104:Q108)</f>
        <v>#DIV/0!</v>
      </c>
      <c r="R109" s="33">
        <f>AVERAGE(R104:R108)</f>
        <v>99.927999999999997</v>
      </c>
      <c r="S109" s="41" t="e">
        <f>SUM(S104:S108)</f>
        <v>#DIV/0!</v>
      </c>
      <c r="U109" s="46"/>
      <c r="V109" s="42"/>
      <c r="W109" s="42"/>
      <c r="X109" s="42"/>
      <c r="Y109" s="48"/>
    </row>
    <row r="110" spans="1:25" ht="15" thickBot="1" x14ac:dyDescent="0.4">
      <c r="A110" s="10"/>
      <c r="B110" s="10"/>
      <c r="C110" s="10"/>
      <c r="D110" s="49">
        <f>SUM(D104:D109)</f>
        <v>1747177</v>
      </c>
      <c r="E110" s="50">
        <f>SUM(E104:E109)</f>
        <v>1</v>
      </c>
      <c r="F110" s="51">
        <f>AVERAGE(F104:F109)</f>
        <v>99.966666666666654</v>
      </c>
      <c r="G110" s="26">
        <f>SUM(G104:G109)</f>
        <v>99.988502023549998</v>
      </c>
      <c r="I110" s="10"/>
      <c r="J110" s="49">
        <f>SUM(J104:J109)</f>
        <v>0</v>
      </c>
      <c r="K110" s="50" t="e">
        <f>SUM(K104:K109)</f>
        <v>#DIV/0!</v>
      </c>
      <c r="L110" s="51">
        <f>AVERAGE(L104:L109)</f>
        <v>99.966666666666654</v>
      </c>
      <c r="M110" s="26" t="e">
        <f>SUM(M104:M109)</f>
        <v>#DIV/0!</v>
      </c>
      <c r="O110" s="34"/>
      <c r="P110" s="34"/>
      <c r="Q110" s="34"/>
      <c r="R110" s="36"/>
      <c r="S110" s="40"/>
      <c r="U110" s="42"/>
      <c r="V110" s="42"/>
      <c r="W110" s="42"/>
      <c r="X110" s="44"/>
      <c r="Y110" s="45"/>
    </row>
    <row r="111" spans="1:25" s="28" customFormat="1" ht="15" thickTop="1" x14ac:dyDescent="0.35">
      <c r="A111" s="29" t="s">
        <v>143</v>
      </c>
      <c r="H111" s="27"/>
      <c r="N111" s="27"/>
    </row>
    <row r="112" spans="1:25" x14ac:dyDescent="0.35">
      <c r="A112" s="20" t="s">
        <v>144</v>
      </c>
      <c r="B112" s="20"/>
      <c r="C112" s="56" t="s">
        <v>115</v>
      </c>
      <c r="D112" s="11"/>
      <c r="E112" s="11"/>
      <c r="F112" s="11"/>
      <c r="G112" s="30" t="s">
        <v>115</v>
      </c>
      <c r="I112" s="56" t="s">
        <v>115</v>
      </c>
      <c r="J112" s="11"/>
      <c r="K112" s="11"/>
      <c r="L112" s="11"/>
      <c r="M112" s="30" t="s">
        <v>115</v>
      </c>
      <c r="O112" s="55" t="s">
        <v>116</v>
      </c>
      <c r="P112" s="34"/>
      <c r="Q112" s="34"/>
      <c r="R112" s="34"/>
      <c r="S112" s="35" t="s">
        <v>116</v>
      </c>
      <c r="U112" s="57" t="s">
        <v>117</v>
      </c>
      <c r="V112" s="42"/>
      <c r="W112" s="42"/>
      <c r="X112" s="42"/>
      <c r="Y112" s="43" t="s">
        <v>117</v>
      </c>
    </row>
    <row r="113" spans="1:25" ht="15" thickBot="1" x14ac:dyDescent="0.4">
      <c r="A113" s="2"/>
      <c r="B113" s="2"/>
      <c r="C113" s="2"/>
      <c r="D113" s="18" t="s">
        <v>118</v>
      </c>
      <c r="E113" s="19" t="s">
        <v>119</v>
      </c>
      <c r="F113" s="18" t="s">
        <v>120</v>
      </c>
      <c r="G113" s="12" t="s">
        <v>121</v>
      </c>
      <c r="I113" s="2"/>
      <c r="J113" s="18" t="s">
        <v>118</v>
      </c>
      <c r="K113" s="19" t="s">
        <v>119</v>
      </c>
      <c r="L113" s="18" t="s">
        <v>120</v>
      </c>
      <c r="M113" s="12" t="s">
        <v>121</v>
      </c>
      <c r="O113" s="34"/>
      <c r="P113" s="18" t="s">
        <v>118</v>
      </c>
      <c r="Q113" s="19" t="s">
        <v>119</v>
      </c>
      <c r="R113" s="18" t="s">
        <v>120</v>
      </c>
      <c r="S113" s="39" t="s">
        <v>121</v>
      </c>
      <c r="U113" s="42"/>
      <c r="V113" s="18" t="s">
        <v>118</v>
      </c>
      <c r="W113" s="19" t="s">
        <v>119</v>
      </c>
      <c r="X113" s="18" t="s">
        <v>120</v>
      </c>
      <c r="Y113" s="47" t="s">
        <v>121</v>
      </c>
    </row>
    <row r="114" spans="1:25" ht="15" thickTop="1" x14ac:dyDescent="0.35">
      <c r="A114" s="22" t="s">
        <v>122</v>
      </c>
      <c r="B114" s="2"/>
      <c r="C114" s="21" t="s">
        <v>25</v>
      </c>
      <c r="D114" s="25">
        <v>1312321</v>
      </c>
      <c r="E114" s="14">
        <f>D114/D120</f>
        <v>0.74625428763795498</v>
      </c>
      <c r="F114">
        <v>100</v>
      </c>
      <c r="G114" s="15">
        <f t="shared" ref="G114:G119" si="44">E114*F114</f>
        <v>74.625428763795497</v>
      </c>
      <c r="I114" s="21" t="s">
        <v>25</v>
      </c>
      <c r="J114" s="52"/>
      <c r="K114" s="14" t="e">
        <f>J114/J120</f>
        <v>#DIV/0!</v>
      </c>
      <c r="L114">
        <v>100</v>
      </c>
      <c r="M114" s="15" t="e">
        <f t="shared" ref="M114:M119" si="45">K114*L114</f>
        <v>#DIV/0!</v>
      </c>
      <c r="O114" s="38" t="s">
        <v>25</v>
      </c>
      <c r="P114" s="13"/>
      <c r="Q114" s="14" t="e">
        <f>P114/P119</f>
        <v>#DIV/0!</v>
      </c>
      <c r="R114">
        <v>99.96</v>
      </c>
      <c r="S114" s="40" t="e">
        <f t="shared" ref="S114:S117" si="46">Q114*R114</f>
        <v>#DIV/0!</v>
      </c>
      <c r="U114" s="46" t="s">
        <v>25</v>
      </c>
      <c r="V114" s="52"/>
      <c r="W114" s="14" t="e">
        <f>V114/V118</f>
        <v>#DIV/0!</v>
      </c>
      <c r="X114">
        <v>100</v>
      </c>
      <c r="Y114" s="48" t="e">
        <f t="shared" ref="Y114:Y115" si="47">W114*X114</f>
        <v>#DIV/0!</v>
      </c>
    </row>
    <row r="115" spans="1:25" x14ac:dyDescent="0.35">
      <c r="A115" s="23">
        <v>1308805</v>
      </c>
      <c r="B115" s="2"/>
      <c r="C115" s="21" t="s">
        <v>29</v>
      </c>
      <c r="D115" s="13">
        <v>133195</v>
      </c>
      <c r="E115" s="14">
        <f>D115/D120</f>
        <v>7.5741636262726439E-2</v>
      </c>
      <c r="F115">
        <v>99.96</v>
      </c>
      <c r="G115" s="15">
        <f t="shared" si="44"/>
        <v>7.5711339608221344</v>
      </c>
      <c r="I115" s="21" t="s">
        <v>29</v>
      </c>
      <c r="J115" s="52"/>
      <c r="K115" s="14" t="e">
        <f>J115/J120</f>
        <v>#DIV/0!</v>
      </c>
      <c r="L115">
        <v>99.96</v>
      </c>
      <c r="M115" s="15" t="e">
        <f t="shared" si="45"/>
        <v>#DIV/0!</v>
      </c>
      <c r="O115" s="38" t="s">
        <v>29</v>
      </c>
      <c r="P115" s="13"/>
      <c r="Q115" s="14" t="e">
        <f>P115/P119</f>
        <v>#DIV/0!</v>
      </c>
      <c r="R115">
        <v>99.92</v>
      </c>
      <c r="S115" s="40" t="e">
        <f t="shared" si="46"/>
        <v>#DIV/0!</v>
      </c>
      <c r="U115" s="46" t="s">
        <v>29</v>
      </c>
      <c r="V115" s="52"/>
      <c r="W115" s="14" t="e">
        <f>V115/V118</f>
        <v>#DIV/0!</v>
      </c>
      <c r="X115">
        <v>99.96</v>
      </c>
      <c r="Y115" s="48" t="e">
        <f t="shared" si="47"/>
        <v>#DIV/0!</v>
      </c>
    </row>
    <row r="116" spans="1:25" x14ac:dyDescent="0.35">
      <c r="A116" s="23">
        <v>12</v>
      </c>
      <c r="B116" s="2"/>
      <c r="C116" s="21" t="s">
        <v>30</v>
      </c>
      <c r="D116" s="13">
        <v>6618</v>
      </c>
      <c r="E116" s="14">
        <f>D116/D120</f>
        <v>3.7633405817539965E-3</v>
      </c>
      <c r="F116">
        <v>100</v>
      </c>
      <c r="G116" s="15">
        <f t="shared" si="44"/>
        <v>0.37633405817539967</v>
      </c>
      <c r="I116" s="21" t="s">
        <v>30</v>
      </c>
      <c r="J116" s="52"/>
      <c r="K116" s="14" t="e">
        <f>J116/J120</f>
        <v>#DIV/0!</v>
      </c>
      <c r="L116">
        <v>100</v>
      </c>
      <c r="M116" s="15" t="e">
        <f t="shared" si="45"/>
        <v>#DIV/0!</v>
      </c>
      <c r="O116" s="38" t="s">
        <v>30</v>
      </c>
      <c r="P116" s="13"/>
      <c r="Q116" s="14" t="e">
        <f>P116/P119</f>
        <v>#DIV/0!</v>
      </c>
      <c r="R116">
        <v>99.96</v>
      </c>
      <c r="S116" s="40" t="e">
        <f t="shared" si="46"/>
        <v>#DIV/0!</v>
      </c>
      <c r="U116" s="46" t="s">
        <v>31</v>
      </c>
      <c r="V116" s="52"/>
      <c r="W116" s="14" t="e">
        <f>V116/V118</f>
        <v>#DIV/0!</v>
      </c>
      <c r="X116">
        <v>100</v>
      </c>
      <c r="Y116" s="48" t="e">
        <f>W116*X116</f>
        <v>#DIV/0!</v>
      </c>
    </row>
    <row r="117" spans="1:25" x14ac:dyDescent="0.35">
      <c r="A117" s="23">
        <v>3504</v>
      </c>
      <c r="B117" s="2"/>
      <c r="C117" s="21" t="s">
        <v>31</v>
      </c>
      <c r="D117" s="13">
        <v>213882</v>
      </c>
      <c r="E117" s="14">
        <f>D117/D120</f>
        <v>0.1216244802518447</v>
      </c>
      <c r="F117">
        <v>100</v>
      </c>
      <c r="G117" s="15">
        <f t="shared" si="44"/>
        <v>12.162448025184471</v>
      </c>
      <c r="I117" s="21" t="s">
        <v>31</v>
      </c>
      <c r="J117" s="52"/>
      <c r="K117" s="14" t="e">
        <f>J117/J120</f>
        <v>#DIV/0!</v>
      </c>
      <c r="L117">
        <v>100</v>
      </c>
      <c r="M117" s="15" t="e">
        <f t="shared" si="45"/>
        <v>#DIV/0!</v>
      </c>
      <c r="O117" s="38" t="s">
        <v>31</v>
      </c>
      <c r="P117" s="13"/>
      <c r="Q117" s="14" t="e">
        <f>P117/P119</f>
        <v>#DIV/0!</v>
      </c>
      <c r="R117">
        <v>100</v>
      </c>
      <c r="S117" s="40" t="e">
        <f t="shared" si="46"/>
        <v>#DIV/0!</v>
      </c>
      <c r="U117" s="46" t="s">
        <v>33</v>
      </c>
      <c r="V117" s="52"/>
      <c r="W117" s="14" t="e">
        <f>V117/V118</f>
        <v>#DIV/0!</v>
      </c>
      <c r="X117">
        <v>99.84</v>
      </c>
      <c r="Y117" s="48" t="e">
        <f>W117*X117</f>
        <v>#DIV/0!</v>
      </c>
    </row>
    <row r="118" spans="1:25" ht="15" thickBot="1" x14ac:dyDescent="0.4">
      <c r="A118" s="24">
        <f>SUM(A115:A117)</f>
        <v>1312321</v>
      </c>
      <c r="B118" s="2"/>
      <c r="C118" s="21" t="s">
        <v>32</v>
      </c>
      <c r="D118">
        <v>174</v>
      </c>
      <c r="E118" s="14">
        <f>D118/D120</f>
        <v>9.8945491270050677E-5</v>
      </c>
      <c r="F118">
        <v>100</v>
      </c>
      <c r="G118" s="15">
        <f t="shared" si="44"/>
        <v>9.8945491270050669E-3</v>
      </c>
      <c r="I118" s="21" t="s">
        <v>32</v>
      </c>
      <c r="J118" s="52"/>
      <c r="K118" s="14" t="e">
        <f>J118/J120</f>
        <v>#DIV/0!</v>
      </c>
      <c r="L118">
        <v>100</v>
      </c>
      <c r="M118" s="15" t="e">
        <f t="shared" si="45"/>
        <v>#DIV/0!</v>
      </c>
      <c r="O118" s="38" t="s">
        <v>33</v>
      </c>
      <c r="P118" s="13"/>
      <c r="Q118" s="14" t="e">
        <f>P118/P119</f>
        <v>#DIV/0!</v>
      </c>
      <c r="R118">
        <v>99.8</v>
      </c>
      <c r="S118" s="40" t="e">
        <f>Q118*R118</f>
        <v>#DIV/0!</v>
      </c>
      <c r="U118" s="46"/>
      <c r="V118" s="52">
        <f>SUM(V114:V117)</f>
        <v>0</v>
      </c>
      <c r="W118" s="32" t="e">
        <f>SUM(W114:W117)</f>
        <v>#DIV/0!</v>
      </c>
      <c r="X118" s="33">
        <f>AVERAGE(X114:X117)</f>
        <v>99.949999999999989</v>
      </c>
      <c r="Y118" s="58" t="e">
        <f>SUM(Y114:Y117)</f>
        <v>#DIV/0!</v>
      </c>
    </row>
    <row r="119" spans="1:25" ht="15.5" thickTop="1" thickBot="1" x14ac:dyDescent="0.4">
      <c r="B119" s="2"/>
      <c r="C119" s="21" t="s">
        <v>33</v>
      </c>
      <c r="D119" s="13">
        <v>92354</v>
      </c>
      <c r="E119" s="16">
        <f>D119/D120</f>
        <v>5.2517309774449773E-2</v>
      </c>
      <c r="F119" s="17">
        <v>99.84</v>
      </c>
      <c r="G119" s="15">
        <f t="shared" si="44"/>
        <v>5.2433282078810652</v>
      </c>
      <c r="I119" s="21" t="s">
        <v>33</v>
      </c>
      <c r="J119" s="52"/>
      <c r="K119" s="16" t="e">
        <f>J119/J120</f>
        <v>#DIV/0!</v>
      </c>
      <c r="L119" s="17">
        <v>99.84</v>
      </c>
      <c r="M119" s="15" t="e">
        <f t="shared" si="45"/>
        <v>#DIV/0!</v>
      </c>
      <c r="O119" s="38"/>
      <c r="P119" s="31">
        <f>SUM(P114:P118)</f>
        <v>0</v>
      </c>
      <c r="Q119" s="32" t="e">
        <f>SUM(Q114:Q118)</f>
        <v>#DIV/0!</v>
      </c>
      <c r="R119" s="33">
        <f>AVERAGE(R114:R118)</f>
        <v>99.927999999999997</v>
      </c>
      <c r="S119" s="41" t="e">
        <f>SUM(S114:S118)</f>
        <v>#DIV/0!</v>
      </c>
      <c r="U119" s="46"/>
      <c r="V119" s="42"/>
      <c r="W119" s="42"/>
      <c r="X119" s="42"/>
      <c r="Y119" s="48"/>
    </row>
    <row r="120" spans="1:25" ht="15" thickBot="1" x14ac:dyDescent="0.4">
      <c r="A120" s="10"/>
      <c r="B120" s="10"/>
      <c r="C120" s="10"/>
      <c r="D120" s="49">
        <f>SUM(D114:D119)</f>
        <v>1758544</v>
      </c>
      <c r="E120" s="50">
        <f>SUM(E114:E119)</f>
        <v>1</v>
      </c>
      <c r="F120" s="51">
        <f>AVERAGE(F114:F119)</f>
        <v>99.966666666666654</v>
      </c>
      <c r="G120" s="26">
        <f>SUM(G114:G119)</f>
        <v>99.988567564985587</v>
      </c>
      <c r="I120" s="10"/>
      <c r="J120" s="49">
        <f>SUM(J114:J119)</f>
        <v>0</v>
      </c>
      <c r="K120" s="50" t="e">
        <f>SUM(K114:K119)</f>
        <v>#DIV/0!</v>
      </c>
      <c r="L120" s="51">
        <f>AVERAGE(L114:L119)</f>
        <v>99.966666666666654</v>
      </c>
      <c r="M120" s="26" t="e">
        <f>SUM(M114:M119)</f>
        <v>#DIV/0!</v>
      </c>
      <c r="O120" s="34"/>
      <c r="P120" s="34"/>
      <c r="Q120" s="34"/>
      <c r="R120" s="36"/>
      <c r="S120" s="40"/>
      <c r="U120" s="42"/>
      <c r="V120" s="42"/>
      <c r="W120" s="42"/>
      <c r="X120" s="44"/>
      <c r="Y120" s="45"/>
    </row>
    <row r="121" spans="1:25" s="28" customFormat="1" ht="15" thickTop="1" x14ac:dyDescent="0.35">
      <c r="A121" s="29" t="s">
        <v>145</v>
      </c>
      <c r="H121" s="27"/>
      <c r="N121" s="27"/>
    </row>
    <row r="122" spans="1:25" x14ac:dyDescent="0.35">
      <c r="A122" s="20" t="s">
        <v>146</v>
      </c>
      <c r="B122" s="20"/>
      <c r="C122" s="56" t="s">
        <v>115</v>
      </c>
      <c r="D122" s="11"/>
      <c r="E122" s="11"/>
      <c r="F122" s="11"/>
      <c r="G122" s="30" t="s">
        <v>115</v>
      </c>
      <c r="I122" s="56" t="s">
        <v>115</v>
      </c>
      <c r="J122" s="11"/>
      <c r="K122" s="11"/>
      <c r="L122" s="11"/>
      <c r="M122" s="30" t="s">
        <v>115</v>
      </c>
      <c r="O122" s="55" t="s">
        <v>116</v>
      </c>
      <c r="P122" s="34"/>
      <c r="Q122" s="34"/>
      <c r="R122" s="34"/>
      <c r="S122" s="35" t="s">
        <v>116</v>
      </c>
      <c r="U122" s="57" t="s">
        <v>117</v>
      </c>
      <c r="V122" s="42"/>
      <c r="W122" s="42"/>
      <c r="X122" s="42"/>
      <c r="Y122" s="43" t="s">
        <v>117</v>
      </c>
    </row>
    <row r="123" spans="1:25" ht="15" thickBot="1" x14ac:dyDescent="0.4">
      <c r="A123" s="2"/>
      <c r="B123" s="2"/>
      <c r="C123" s="2"/>
      <c r="D123" s="18" t="s">
        <v>118</v>
      </c>
      <c r="E123" s="19" t="s">
        <v>119</v>
      </c>
      <c r="F123" s="18" t="s">
        <v>120</v>
      </c>
      <c r="G123" s="12" t="s">
        <v>121</v>
      </c>
      <c r="I123" s="2"/>
      <c r="J123" s="18" t="s">
        <v>118</v>
      </c>
      <c r="K123" s="19" t="s">
        <v>119</v>
      </c>
      <c r="L123" s="18" t="s">
        <v>120</v>
      </c>
      <c r="M123" s="12" t="s">
        <v>121</v>
      </c>
      <c r="O123" s="34"/>
      <c r="P123" s="18" t="s">
        <v>118</v>
      </c>
      <c r="Q123" s="19" t="s">
        <v>119</v>
      </c>
      <c r="R123" s="18" t="s">
        <v>120</v>
      </c>
      <c r="S123" s="39" t="s">
        <v>121</v>
      </c>
      <c r="U123" s="42"/>
      <c r="V123" s="18" t="s">
        <v>118</v>
      </c>
      <c r="W123" s="19" t="s">
        <v>119</v>
      </c>
      <c r="X123" s="18" t="s">
        <v>120</v>
      </c>
      <c r="Y123" s="47" t="s">
        <v>121</v>
      </c>
    </row>
    <row r="124" spans="1:25" ht="15" thickTop="1" x14ac:dyDescent="0.35">
      <c r="A124" s="22" t="s">
        <v>122</v>
      </c>
      <c r="B124" s="2"/>
      <c r="C124" s="21" t="s">
        <v>25</v>
      </c>
      <c r="D124" s="25">
        <v>1313451</v>
      </c>
      <c r="E124" s="14">
        <f>D124/D130</f>
        <v>0.74692149951719833</v>
      </c>
      <c r="F124">
        <v>100</v>
      </c>
      <c r="G124" s="15">
        <f t="shared" ref="G124:G129" si="48">E124*F124</f>
        <v>74.692149951719827</v>
      </c>
      <c r="I124" s="21" t="s">
        <v>25</v>
      </c>
      <c r="J124" s="52"/>
      <c r="K124" s="14" t="e">
        <f>J124/J130</f>
        <v>#DIV/0!</v>
      </c>
      <c r="L124">
        <v>100</v>
      </c>
      <c r="M124" s="15" t="e">
        <f t="shared" ref="M124:M129" si="49">K124*L124</f>
        <v>#DIV/0!</v>
      </c>
      <c r="O124" s="38" t="s">
        <v>25</v>
      </c>
      <c r="P124" s="13"/>
      <c r="Q124" s="14" t="e">
        <f>P124/P129</f>
        <v>#DIV/0!</v>
      </c>
      <c r="R124">
        <v>99.96</v>
      </c>
      <c r="S124" s="40" t="e">
        <f t="shared" ref="S124:S127" si="50">Q124*R124</f>
        <v>#DIV/0!</v>
      </c>
      <c r="U124" s="46" t="s">
        <v>25</v>
      </c>
      <c r="V124" s="52"/>
      <c r="W124" s="14" t="e">
        <f>V124/V128</f>
        <v>#DIV/0!</v>
      </c>
      <c r="X124">
        <v>100</v>
      </c>
      <c r="Y124" s="48" t="e">
        <f t="shared" ref="Y124:Y125" si="51">W124*X124</f>
        <v>#DIV/0!</v>
      </c>
    </row>
    <row r="125" spans="1:25" x14ac:dyDescent="0.35">
      <c r="A125" s="23">
        <v>1309942</v>
      </c>
      <c r="B125" s="2"/>
      <c r="C125" s="21" t="s">
        <v>29</v>
      </c>
      <c r="D125" s="13">
        <v>132990</v>
      </c>
      <c r="E125" s="14">
        <f>D125/D130</f>
        <v>7.5627556887003927E-2</v>
      </c>
      <c r="F125">
        <v>99.96</v>
      </c>
      <c r="G125" s="15">
        <f t="shared" si="48"/>
        <v>7.5597305864249122</v>
      </c>
      <c r="I125" s="21" t="s">
        <v>29</v>
      </c>
      <c r="J125" s="52"/>
      <c r="K125" s="14" t="e">
        <f>J125/J130</f>
        <v>#DIV/0!</v>
      </c>
      <c r="L125">
        <v>99.96</v>
      </c>
      <c r="M125" s="15" t="e">
        <f t="shared" si="49"/>
        <v>#DIV/0!</v>
      </c>
      <c r="O125" s="38" t="s">
        <v>29</v>
      </c>
      <c r="P125" s="13"/>
      <c r="Q125" s="14" t="e">
        <f>P125/P129</f>
        <v>#DIV/0!</v>
      </c>
      <c r="R125">
        <v>99.92</v>
      </c>
      <c r="S125" s="40" t="e">
        <f t="shared" si="50"/>
        <v>#DIV/0!</v>
      </c>
      <c r="U125" s="46" t="s">
        <v>29</v>
      </c>
      <c r="V125" s="52"/>
      <c r="W125" s="14" t="e">
        <f>V125/V128</f>
        <v>#DIV/0!</v>
      </c>
      <c r="X125">
        <v>99.96</v>
      </c>
      <c r="Y125" s="48" t="e">
        <f t="shared" si="51"/>
        <v>#DIV/0!</v>
      </c>
    </row>
    <row r="126" spans="1:25" x14ac:dyDescent="0.35">
      <c r="A126" s="23">
        <v>12</v>
      </c>
      <c r="B126" s="2"/>
      <c r="C126" s="21" t="s">
        <v>30</v>
      </c>
      <c r="D126" s="13">
        <v>6619</v>
      </c>
      <c r="E126" s="14">
        <f>D126/D130</f>
        <v>3.7640333787132794E-3</v>
      </c>
      <c r="F126">
        <v>100</v>
      </c>
      <c r="G126" s="15">
        <f t="shared" si="48"/>
        <v>0.37640333787132796</v>
      </c>
      <c r="I126" s="21" t="s">
        <v>30</v>
      </c>
      <c r="J126" s="52"/>
      <c r="K126" s="14" t="e">
        <f>J126/J130</f>
        <v>#DIV/0!</v>
      </c>
      <c r="L126">
        <v>100</v>
      </c>
      <c r="M126" s="15" t="e">
        <f t="shared" si="49"/>
        <v>#DIV/0!</v>
      </c>
      <c r="O126" s="38" t="s">
        <v>30</v>
      </c>
      <c r="P126" s="13"/>
      <c r="Q126" s="14" t="e">
        <f>P126/P129</f>
        <v>#DIV/0!</v>
      </c>
      <c r="R126">
        <v>99.96</v>
      </c>
      <c r="S126" s="40" t="e">
        <f t="shared" si="50"/>
        <v>#DIV/0!</v>
      </c>
      <c r="U126" s="46" t="s">
        <v>31</v>
      </c>
      <c r="V126" s="52"/>
      <c r="W126" s="14" t="e">
        <f>V126/V128</f>
        <v>#DIV/0!</v>
      </c>
      <c r="X126">
        <v>100</v>
      </c>
      <c r="Y126" s="48" t="e">
        <f>W126*X126</f>
        <v>#DIV/0!</v>
      </c>
    </row>
    <row r="127" spans="1:25" x14ac:dyDescent="0.35">
      <c r="A127" s="23">
        <v>3497</v>
      </c>
      <c r="B127" s="2"/>
      <c r="C127" s="21" t="s">
        <v>31</v>
      </c>
      <c r="D127" s="13">
        <v>213890</v>
      </c>
      <c r="E127" s="14">
        <f>D127/D130</f>
        <v>0.12163304115017122</v>
      </c>
      <c r="F127">
        <v>100</v>
      </c>
      <c r="G127" s="15">
        <f t="shared" si="48"/>
        <v>12.163304115017121</v>
      </c>
      <c r="I127" s="21" t="s">
        <v>31</v>
      </c>
      <c r="J127" s="52"/>
      <c r="K127" s="14" t="e">
        <f>J127/J130</f>
        <v>#DIV/0!</v>
      </c>
      <c r="L127">
        <v>100</v>
      </c>
      <c r="M127" s="15" t="e">
        <f t="shared" si="49"/>
        <v>#DIV/0!</v>
      </c>
      <c r="O127" s="38" t="s">
        <v>31</v>
      </c>
      <c r="P127" s="13"/>
      <c r="Q127" s="14" t="e">
        <f>P127/P129</f>
        <v>#DIV/0!</v>
      </c>
      <c r="R127">
        <v>100</v>
      </c>
      <c r="S127" s="40" t="e">
        <f t="shared" si="50"/>
        <v>#DIV/0!</v>
      </c>
      <c r="U127" s="46" t="s">
        <v>33</v>
      </c>
      <c r="V127" s="52"/>
      <c r="W127" s="14" t="e">
        <f>V127/V128</f>
        <v>#DIV/0!</v>
      </c>
      <c r="X127">
        <v>99.84</v>
      </c>
      <c r="Y127" s="48" t="e">
        <f>W127*X127</f>
        <v>#DIV/0!</v>
      </c>
    </row>
    <row r="128" spans="1:25" ht="15" thickBot="1" x14ac:dyDescent="0.4">
      <c r="A128" s="24">
        <f>SUM(A125:A127)</f>
        <v>1313451</v>
      </c>
      <c r="B128" s="2"/>
      <c r="C128" s="21" t="s">
        <v>32</v>
      </c>
      <c r="D128">
        <v>174</v>
      </c>
      <c r="E128" s="14">
        <f>D128/D130</f>
        <v>9.8948754781101473E-5</v>
      </c>
      <c r="F128">
        <v>100</v>
      </c>
      <c r="G128" s="15">
        <f t="shared" si="48"/>
        <v>9.8948754781101479E-3</v>
      </c>
      <c r="I128" s="21" t="s">
        <v>32</v>
      </c>
      <c r="J128" s="52"/>
      <c r="K128" s="14" t="e">
        <f>J128/J130</f>
        <v>#DIV/0!</v>
      </c>
      <c r="L128">
        <v>100</v>
      </c>
      <c r="M128" s="15" t="e">
        <f t="shared" si="49"/>
        <v>#DIV/0!</v>
      </c>
      <c r="O128" s="38" t="s">
        <v>33</v>
      </c>
      <c r="P128" s="13"/>
      <c r="Q128" s="14" t="e">
        <f>P128/P129</f>
        <v>#DIV/0!</v>
      </c>
      <c r="R128">
        <v>99.8</v>
      </c>
      <c r="S128" s="40" t="e">
        <f>Q128*R128</f>
        <v>#DIV/0!</v>
      </c>
      <c r="U128" s="46"/>
      <c r="V128" s="52">
        <f>SUM(V124:V127)</f>
        <v>0</v>
      </c>
      <c r="W128" s="32" t="e">
        <f>SUM(W124:W127)</f>
        <v>#DIV/0!</v>
      </c>
      <c r="X128" s="33">
        <f>AVERAGE(X124:X127)</f>
        <v>99.949999999999989</v>
      </c>
      <c r="Y128" s="58" t="e">
        <f>SUM(Y124:Y127)</f>
        <v>#DIV/0!</v>
      </c>
    </row>
    <row r="129" spans="1:25" ht="15.5" thickTop="1" thickBot="1" x14ac:dyDescent="0.4">
      <c r="B129" s="2"/>
      <c r="C129" s="21" t="s">
        <v>33</v>
      </c>
      <c r="D129" s="13">
        <v>91362</v>
      </c>
      <c r="E129" s="16">
        <f>D129/D130</f>
        <v>5.1954920312132141E-2</v>
      </c>
      <c r="F129" s="17">
        <v>99.84</v>
      </c>
      <c r="G129" s="15">
        <f t="shared" si="48"/>
        <v>5.1871792439632731</v>
      </c>
      <c r="I129" s="21" t="s">
        <v>33</v>
      </c>
      <c r="J129" s="52"/>
      <c r="K129" s="16" t="e">
        <f>J129/J130</f>
        <v>#DIV/0!</v>
      </c>
      <c r="L129" s="17">
        <v>99.84</v>
      </c>
      <c r="M129" s="15" t="e">
        <f t="shared" si="49"/>
        <v>#DIV/0!</v>
      </c>
      <c r="O129" s="38"/>
      <c r="P129" s="31">
        <f>SUM(P124:P128)</f>
        <v>0</v>
      </c>
      <c r="Q129" s="32" t="e">
        <f>SUM(Q124:Q128)</f>
        <v>#DIV/0!</v>
      </c>
      <c r="R129" s="33">
        <f>AVERAGE(R124:R128)</f>
        <v>99.927999999999997</v>
      </c>
      <c r="S129" s="41" t="e">
        <f>SUM(S124:S128)</f>
        <v>#DIV/0!</v>
      </c>
      <c r="U129" s="46"/>
      <c r="V129" s="42"/>
      <c r="W129" s="42"/>
      <c r="X129" s="42"/>
      <c r="Y129" s="48"/>
    </row>
    <row r="130" spans="1:25" ht="15" thickBot="1" x14ac:dyDescent="0.4">
      <c r="A130" s="10"/>
      <c r="B130" s="10"/>
      <c r="C130" s="10"/>
      <c r="D130" s="49">
        <f>SUM(D124:D129)</f>
        <v>1758486</v>
      </c>
      <c r="E130" s="50">
        <f>SUM(E124:E129)</f>
        <v>1</v>
      </c>
      <c r="F130" s="51">
        <f>AVERAGE(F124:F129)</f>
        <v>99.966666666666654</v>
      </c>
      <c r="G130" s="26">
        <f>SUM(G124:G129)</f>
        <v>99.988662110474579</v>
      </c>
      <c r="I130" s="10"/>
      <c r="J130" s="49">
        <f>SUM(J124:J129)</f>
        <v>0</v>
      </c>
      <c r="K130" s="50" t="e">
        <f>SUM(K124:K129)</f>
        <v>#DIV/0!</v>
      </c>
      <c r="L130" s="51">
        <f>AVERAGE(L124:L129)</f>
        <v>99.966666666666654</v>
      </c>
      <c r="M130" s="26" t="e">
        <f>SUM(M124:M129)</f>
        <v>#DIV/0!</v>
      </c>
      <c r="O130" s="34"/>
      <c r="P130" s="34"/>
      <c r="Q130" s="34"/>
      <c r="R130" s="36"/>
      <c r="S130" s="40"/>
      <c r="U130" s="42"/>
      <c r="V130" s="42"/>
      <c r="W130" s="42"/>
      <c r="X130" s="44"/>
      <c r="Y130" s="45"/>
    </row>
    <row r="131" spans="1:25" s="28" customFormat="1" ht="15" thickTop="1" x14ac:dyDescent="0.35">
      <c r="A131" s="29" t="s">
        <v>147</v>
      </c>
      <c r="H131" s="27"/>
      <c r="N131" s="27"/>
    </row>
    <row r="132" spans="1:25" x14ac:dyDescent="0.35">
      <c r="A132" s="20" t="s">
        <v>148</v>
      </c>
      <c r="B132" s="20"/>
      <c r="C132" s="56" t="s">
        <v>115</v>
      </c>
      <c r="D132" s="11"/>
      <c r="E132" s="11"/>
      <c r="F132" s="11"/>
      <c r="G132" s="30" t="s">
        <v>115</v>
      </c>
      <c r="I132" s="56" t="s">
        <v>115</v>
      </c>
      <c r="J132" s="11"/>
      <c r="K132" s="11"/>
      <c r="L132" s="11"/>
      <c r="M132" s="30" t="s">
        <v>115</v>
      </c>
      <c r="O132" s="55" t="s">
        <v>116</v>
      </c>
      <c r="P132" s="34"/>
      <c r="Q132" s="34"/>
      <c r="R132" s="34"/>
      <c r="S132" s="35" t="s">
        <v>116</v>
      </c>
      <c r="U132" s="57" t="s">
        <v>117</v>
      </c>
      <c r="V132" s="42"/>
      <c r="W132" s="42"/>
      <c r="X132" s="42"/>
      <c r="Y132" s="43" t="s">
        <v>117</v>
      </c>
    </row>
    <row r="133" spans="1:25" ht="15" thickBot="1" x14ac:dyDescent="0.4">
      <c r="A133" s="2"/>
      <c r="B133" s="2"/>
      <c r="C133" s="2"/>
      <c r="D133" s="18" t="s">
        <v>118</v>
      </c>
      <c r="E133" s="19" t="s">
        <v>119</v>
      </c>
      <c r="F133" s="18" t="s">
        <v>120</v>
      </c>
      <c r="G133" s="12" t="s">
        <v>121</v>
      </c>
      <c r="I133" s="2"/>
      <c r="J133" s="18" t="s">
        <v>118</v>
      </c>
      <c r="K133" s="19" t="s">
        <v>119</v>
      </c>
      <c r="L133" s="18" t="s">
        <v>120</v>
      </c>
      <c r="M133" s="12" t="s">
        <v>121</v>
      </c>
      <c r="O133" s="34"/>
      <c r="P133" s="18" t="s">
        <v>118</v>
      </c>
      <c r="Q133" s="19" t="s">
        <v>119</v>
      </c>
      <c r="R133" s="18" t="s">
        <v>120</v>
      </c>
      <c r="S133" s="39" t="s">
        <v>121</v>
      </c>
      <c r="U133" s="42"/>
      <c r="V133" s="18" t="s">
        <v>118</v>
      </c>
      <c r="W133" s="19" t="s">
        <v>119</v>
      </c>
      <c r="X133" s="18" t="s">
        <v>120</v>
      </c>
      <c r="Y133" s="47" t="s">
        <v>121</v>
      </c>
    </row>
    <row r="134" spans="1:25" ht="15" thickTop="1" x14ac:dyDescent="0.35">
      <c r="A134" s="22" t="s">
        <v>122</v>
      </c>
      <c r="B134" s="2"/>
      <c r="C134" s="21" t="s">
        <v>25</v>
      </c>
      <c r="D134" s="25">
        <v>1313245</v>
      </c>
      <c r="E134" s="14">
        <f>D134/D140</f>
        <v>0.74723480815921495</v>
      </c>
      <c r="F134">
        <v>100</v>
      </c>
      <c r="G134" s="15">
        <f t="shared" ref="G134:G139" si="52">E134*F134</f>
        <v>74.723480815921491</v>
      </c>
      <c r="I134" s="21" t="s">
        <v>25</v>
      </c>
      <c r="J134" s="52"/>
      <c r="K134" s="14" t="e">
        <f>J134/J140</f>
        <v>#DIV/0!</v>
      </c>
      <c r="L134">
        <v>100</v>
      </c>
      <c r="M134" s="15" t="e">
        <f t="shared" ref="M134:M139" si="53">K134*L134</f>
        <v>#DIV/0!</v>
      </c>
      <c r="O134" s="38" t="s">
        <v>25</v>
      </c>
      <c r="P134" s="13"/>
      <c r="Q134" s="14" t="e">
        <f>P134/P139</f>
        <v>#DIV/0!</v>
      </c>
      <c r="R134">
        <v>99.96</v>
      </c>
      <c r="S134" s="40" t="e">
        <f t="shared" ref="S134:S137" si="54">Q134*R134</f>
        <v>#DIV/0!</v>
      </c>
      <c r="U134" s="46" t="s">
        <v>25</v>
      </c>
      <c r="V134" s="52"/>
      <c r="W134" s="14" t="e">
        <f>V134/V138</f>
        <v>#DIV/0!</v>
      </c>
      <c r="X134">
        <v>100</v>
      </c>
      <c r="Y134" s="48" t="e">
        <f t="shared" ref="Y134:Y135" si="55">W134*X134</f>
        <v>#DIV/0!</v>
      </c>
    </row>
    <row r="135" spans="1:25" x14ac:dyDescent="0.35">
      <c r="A135" s="23">
        <v>1309736</v>
      </c>
      <c r="B135" s="2"/>
      <c r="C135" s="21" t="s">
        <v>29</v>
      </c>
      <c r="D135" s="13">
        <v>132329</v>
      </c>
      <c r="E135" s="14">
        <f>D135/D140</f>
        <v>7.5295040094499319E-2</v>
      </c>
      <c r="F135">
        <v>99.96</v>
      </c>
      <c r="G135" s="15">
        <f t="shared" si="52"/>
        <v>7.5264922078461511</v>
      </c>
      <c r="I135" s="21" t="s">
        <v>29</v>
      </c>
      <c r="J135" s="52"/>
      <c r="K135" s="14" t="e">
        <f>J135/J140</f>
        <v>#DIV/0!</v>
      </c>
      <c r="L135">
        <v>99.96</v>
      </c>
      <c r="M135" s="15" t="e">
        <f t="shared" si="53"/>
        <v>#DIV/0!</v>
      </c>
      <c r="O135" s="38" t="s">
        <v>29</v>
      </c>
      <c r="P135" s="13"/>
      <c r="Q135" s="14" t="e">
        <f>P135/P139</f>
        <v>#DIV/0!</v>
      </c>
      <c r="R135">
        <v>99.92</v>
      </c>
      <c r="S135" s="40" t="e">
        <f t="shared" si="54"/>
        <v>#DIV/0!</v>
      </c>
      <c r="U135" s="46" t="s">
        <v>29</v>
      </c>
      <c r="V135" s="52"/>
      <c r="W135" s="14" t="e">
        <f>V135/V138</f>
        <v>#DIV/0!</v>
      </c>
      <c r="X135">
        <v>99.96</v>
      </c>
      <c r="Y135" s="48" t="e">
        <f t="shared" si="55"/>
        <v>#DIV/0!</v>
      </c>
    </row>
    <row r="136" spans="1:25" x14ac:dyDescent="0.35">
      <c r="A136" s="23">
        <v>12</v>
      </c>
      <c r="B136" s="2"/>
      <c r="C136" s="21" t="s">
        <v>30</v>
      </c>
      <c r="D136" s="13">
        <v>6568</v>
      </c>
      <c r="E136" s="14">
        <f>D136/D140</f>
        <v>3.737184013637763E-3</v>
      </c>
      <c r="F136">
        <v>100</v>
      </c>
      <c r="G136" s="15">
        <f t="shared" si="52"/>
        <v>0.37371840136377632</v>
      </c>
      <c r="I136" s="21" t="s">
        <v>30</v>
      </c>
      <c r="J136" s="52"/>
      <c r="K136" s="14" t="e">
        <f>J136/J140</f>
        <v>#DIV/0!</v>
      </c>
      <c r="L136">
        <v>100</v>
      </c>
      <c r="M136" s="15" t="e">
        <f t="shared" si="53"/>
        <v>#DIV/0!</v>
      </c>
      <c r="O136" s="38" t="s">
        <v>30</v>
      </c>
      <c r="P136" s="13"/>
      <c r="Q136" s="14" t="e">
        <f>P136/P139</f>
        <v>#DIV/0!</v>
      </c>
      <c r="R136">
        <v>99.96</v>
      </c>
      <c r="S136" s="40" t="e">
        <f t="shared" si="54"/>
        <v>#DIV/0!</v>
      </c>
      <c r="U136" s="46" t="s">
        <v>31</v>
      </c>
      <c r="V136" s="52"/>
      <c r="W136" s="14" t="e">
        <f>V136/V138</f>
        <v>#DIV/0!</v>
      </c>
      <c r="X136">
        <v>100</v>
      </c>
      <c r="Y136" s="48" t="e">
        <f>W136*X136</f>
        <v>#DIV/0!</v>
      </c>
    </row>
    <row r="137" spans="1:25" x14ac:dyDescent="0.35">
      <c r="A137" s="23">
        <v>3497</v>
      </c>
      <c r="B137" s="2"/>
      <c r="C137" s="21" t="s">
        <v>31</v>
      </c>
      <c r="D137" s="13">
        <v>213672</v>
      </c>
      <c r="E137" s="14">
        <f>D137/D140</f>
        <v>0.1215791081854458</v>
      </c>
      <c r="F137">
        <v>100</v>
      </c>
      <c r="G137" s="15">
        <f t="shared" si="52"/>
        <v>12.157910818544581</v>
      </c>
      <c r="I137" s="21" t="s">
        <v>31</v>
      </c>
      <c r="J137" s="52"/>
      <c r="K137" s="14" t="e">
        <f>J137/J140</f>
        <v>#DIV/0!</v>
      </c>
      <c r="L137">
        <v>100</v>
      </c>
      <c r="M137" s="15" t="e">
        <f t="shared" si="53"/>
        <v>#DIV/0!</v>
      </c>
      <c r="O137" s="38" t="s">
        <v>31</v>
      </c>
      <c r="P137" s="13"/>
      <c r="Q137" s="14" t="e">
        <f>P137/P139</f>
        <v>#DIV/0!</v>
      </c>
      <c r="R137">
        <v>100</v>
      </c>
      <c r="S137" s="40" t="e">
        <f t="shared" si="54"/>
        <v>#DIV/0!</v>
      </c>
      <c r="U137" s="46" t="s">
        <v>33</v>
      </c>
      <c r="V137" s="52"/>
      <c r="W137" s="14" t="e">
        <f>V137/V138</f>
        <v>#DIV/0!</v>
      </c>
      <c r="X137">
        <v>99.84</v>
      </c>
      <c r="Y137" s="48" t="e">
        <f>W137*X137</f>
        <v>#DIV/0!</v>
      </c>
    </row>
    <row r="138" spans="1:25" ht="15" thickBot="1" x14ac:dyDescent="0.4">
      <c r="A138" s="24">
        <f>SUM(A135:A137)</f>
        <v>1313245</v>
      </c>
      <c r="B138" s="2"/>
      <c r="C138" s="21" t="s">
        <v>32</v>
      </c>
      <c r="D138">
        <v>173</v>
      </c>
      <c r="E138" s="14">
        <f>D138/D140</f>
        <v>9.8436789640580534E-5</v>
      </c>
      <c r="F138">
        <v>100</v>
      </c>
      <c r="G138" s="15">
        <f t="shared" si="52"/>
        <v>9.8436789640580537E-3</v>
      </c>
      <c r="I138" s="21" t="s">
        <v>32</v>
      </c>
      <c r="J138" s="52"/>
      <c r="K138" s="14" t="e">
        <f>J138/J140</f>
        <v>#DIV/0!</v>
      </c>
      <c r="L138">
        <v>100</v>
      </c>
      <c r="M138" s="15" t="e">
        <f t="shared" si="53"/>
        <v>#DIV/0!</v>
      </c>
      <c r="O138" s="38" t="s">
        <v>33</v>
      </c>
      <c r="P138" s="13"/>
      <c r="Q138" s="14" t="e">
        <f>P138/P139</f>
        <v>#DIV/0!</v>
      </c>
      <c r="R138">
        <v>99.8</v>
      </c>
      <c r="S138" s="40" t="e">
        <f>Q138*R138</f>
        <v>#DIV/0!</v>
      </c>
      <c r="U138" s="46"/>
      <c r="V138" s="52">
        <f>SUM(V134:V137)</f>
        <v>0</v>
      </c>
      <c r="W138" s="32" t="e">
        <f>SUM(W134:W137)</f>
        <v>#DIV/0!</v>
      </c>
      <c r="X138" s="33">
        <f>AVERAGE(X134:X137)</f>
        <v>99.949999999999989</v>
      </c>
      <c r="Y138" s="58" t="e">
        <f>SUM(Y134:Y137)</f>
        <v>#DIV/0!</v>
      </c>
    </row>
    <row r="139" spans="1:25" ht="15.5" thickTop="1" thickBot="1" x14ac:dyDescent="0.4">
      <c r="B139" s="2"/>
      <c r="C139" s="21" t="s">
        <v>33</v>
      </c>
      <c r="D139" s="13">
        <v>91486</v>
      </c>
      <c r="E139" s="16">
        <f>D139/D140</f>
        <v>5.2055422757561566E-2</v>
      </c>
      <c r="F139" s="17">
        <v>99.84</v>
      </c>
      <c r="G139" s="15">
        <f t="shared" si="52"/>
        <v>5.1972134081149468</v>
      </c>
      <c r="I139" s="21" t="s">
        <v>33</v>
      </c>
      <c r="J139" s="52"/>
      <c r="K139" s="16" t="e">
        <f>J139/J140</f>
        <v>#DIV/0!</v>
      </c>
      <c r="L139" s="17">
        <v>99.84</v>
      </c>
      <c r="M139" s="15" t="e">
        <f t="shared" si="53"/>
        <v>#DIV/0!</v>
      </c>
      <c r="O139" s="38"/>
      <c r="P139" s="31">
        <f>SUM(P134:P138)</f>
        <v>0</v>
      </c>
      <c r="Q139" s="32" t="e">
        <f>SUM(Q134:Q138)</f>
        <v>#DIV/0!</v>
      </c>
      <c r="R139" s="33">
        <f>AVERAGE(R134:R138)</f>
        <v>99.927999999999997</v>
      </c>
      <c r="S139" s="41" t="e">
        <f>SUM(S134:S138)</f>
        <v>#DIV/0!</v>
      </c>
      <c r="U139" s="46"/>
      <c r="V139" s="42"/>
      <c r="W139" s="42"/>
      <c r="X139" s="42"/>
      <c r="Y139" s="48"/>
    </row>
    <row r="140" spans="1:25" ht="15" thickBot="1" x14ac:dyDescent="0.4">
      <c r="A140" s="10"/>
      <c r="B140" s="10"/>
      <c r="C140" s="10"/>
      <c r="D140" s="49">
        <f>SUM(D134:D139)</f>
        <v>1757473</v>
      </c>
      <c r="E140" s="50">
        <f>SUM(E134:E139)</f>
        <v>1</v>
      </c>
      <c r="F140" s="51">
        <f>AVERAGE(F134:F139)</f>
        <v>99.966666666666654</v>
      </c>
      <c r="G140" s="26">
        <f>SUM(G134:G139)</f>
        <v>99.988659330754999</v>
      </c>
      <c r="I140" s="10"/>
      <c r="J140" s="49">
        <f>SUM(J134:J139)</f>
        <v>0</v>
      </c>
      <c r="K140" s="50" t="e">
        <f>SUM(K134:K139)</f>
        <v>#DIV/0!</v>
      </c>
      <c r="L140" s="51">
        <f>AVERAGE(L134:L139)</f>
        <v>99.966666666666654</v>
      </c>
      <c r="M140" s="26" t="e">
        <f>SUM(M134:M139)</f>
        <v>#DIV/0!</v>
      </c>
      <c r="O140" s="34"/>
      <c r="P140" s="34"/>
      <c r="Q140" s="34"/>
      <c r="R140" s="36"/>
      <c r="S140" s="40"/>
      <c r="U140" s="42"/>
      <c r="V140" s="42"/>
      <c r="W140" s="42"/>
      <c r="X140" s="44"/>
      <c r="Y140" s="45"/>
    </row>
    <row r="141" spans="1:25" s="28" customFormat="1" ht="15" thickTop="1" x14ac:dyDescent="0.35">
      <c r="A141" s="29" t="s">
        <v>149</v>
      </c>
      <c r="H141" s="27"/>
      <c r="N141" s="27"/>
    </row>
    <row r="142" spans="1:25" x14ac:dyDescent="0.35">
      <c r="A142" s="20" t="s">
        <v>150</v>
      </c>
      <c r="B142" s="20"/>
      <c r="C142" s="56" t="s">
        <v>115</v>
      </c>
      <c r="D142" s="11"/>
      <c r="E142" s="11"/>
      <c r="F142" s="11"/>
      <c r="G142" s="30" t="s">
        <v>115</v>
      </c>
      <c r="I142" s="56" t="s">
        <v>115</v>
      </c>
      <c r="J142" s="11"/>
      <c r="K142" s="11"/>
      <c r="L142" s="11"/>
      <c r="M142" s="30" t="s">
        <v>115</v>
      </c>
      <c r="O142" s="55" t="s">
        <v>116</v>
      </c>
      <c r="P142" s="34"/>
      <c r="Q142" s="34"/>
      <c r="R142" s="34"/>
      <c r="S142" s="35" t="s">
        <v>116</v>
      </c>
      <c r="U142" s="57" t="s">
        <v>117</v>
      </c>
      <c r="V142" s="42"/>
      <c r="W142" s="42"/>
      <c r="X142" s="42"/>
      <c r="Y142" s="43" t="s">
        <v>117</v>
      </c>
    </row>
    <row r="143" spans="1:25" ht="15" thickBot="1" x14ac:dyDescent="0.4">
      <c r="A143" s="2"/>
      <c r="B143" s="2"/>
      <c r="C143" s="2"/>
      <c r="D143" s="18" t="s">
        <v>118</v>
      </c>
      <c r="E143" s="19" t="s">
        <v>119</v>
      </c>
      <c r="F143" s="18" t="s">
        <v>120</v>
      </c>
      <c r="G143" s="12" t="s">
        <v>121</v>
      </c>
      <c r="I143" s="2"/>
      <c r="J143" s="18" t="s">
        <v>118</v>
      </c>
      <c r="K143" s="19" t="s">
        <v>119</v>
      </c>
      <c r="L143" s="18" t="s">
        <v>120</v>
      </c>
      <c r="M143" s="12" t="s">
        <v>121</v>
      </c>
      <c r="O143" s="34"/>
      <c r="P143" s="18" t="s">
        <v>118</v>
      </c>
      <c r="Q143" s="19" t="s">
        <v>119</v>
      </c>
      <c r="R143" s="18" t="s">
        <v>120</v>
      </c>
      <c r="S143" s="39" t="s">
        <v>121</v>
      </c>
      <c r="U143" s="42"/>
      <c r="V143" s="18" t="s">
        <v>118</v>
      </c>
      <c r="W143" s="19" t="s">
        <v>119</v>
      </c>
      <c r="X143" s="18" t="s">
        <v>120</v>
      </c>
      <c r="Y143" s="47" t="s">
        <v>121</v>
      </c>
    </row>
    <row r="144" spans="1:25" ht="15" thickTop="1" x14ac:dyDescent="0.35">
      <c r="A144" s="22" t="s">
        <v>122</v>
      </c>
      <c r="B144" s="2"/>
      <c r="C144" s="21" t="s">
        <v>25</v>
      </c>
      <c r="D144" s="25">
        <v>1313245</v>
      </c>
      <c r="E144" s="14">
        <f>D144/D150</f>
        <v>0.74723480815921495</v>
      </c>
      <c r="F144">
        <v>100</v>
      </c>
      <c r="G144" s="15">
        <f t="shared" ref="G144:G149" si="56">E144*F144</f>
        <v>74.723480815921491</v>
      </c>
      <c r="I144" s="21" t="s">
        <v>25</v>
      </c>
      <c r="J144" s="52"/>
      <c r="K144" s="14" t="e">
        <f>J144/J150</f>
        <v>#DIV/0!</v>
      </c>
      <c r="L144">
        <v>100</v>
      </c>
      <c r="M144" s="15" t="e">
        <f t="shared" ref="M144:M149" si="57">K144*L144</f>
        <v>#DIV/0!</v>
      </c>
      <c r="O144" s="38" t="s">
        <v>25</v>
      </c>
      <c r="P144" s="13"/>
      <c r="Q144" s="14" t="e">
        <f>P144/P149</f>
        <v>#DIV/0!</v>
      </c>
      <c r="R144">
        <v>99.96</v>
      </c>
      <c r="S144" s="40" t="e">
        <f t="shared" ref="S144:S147" si="58">Q144*R144</f>
        <v>#DIV/0!</v>
      </c>
      <c r="U144" s="46" t="s">
        <v>25</v>
      </c>
      <c r="V144" s="52"/>
      <c r="W144" s="14" t="e">
        <f>V144/V148</f>
        <v>#DIV/0!</v>
      </c>
      <c r="X144">
        <v>100</v>
      </c>
      <c r="Y144" s="48" t="e">
        <f t="shared" ref="Y144:Y145" si="59">W144*X144</f>
        <v>#DIV/0!</v>
      </c>
    </row>
    <row r="145" spans="1:25" x14ac:dyDescent="0.35">
      <c r="A145" s="23"/>
      <c r="B145" s="2"/>
      <c r="C145" s="21" t="s">
        <v>29</v>
      </c>
      <c r="D145" s="13">
        <v>132329</v>
      </c>
      <c r="E145" s="14">
        <f>D145/D150</f>
        <v>7.5295040094499319E-2</v>
      </c>
      <c r="F145">
        <v>99.96</v>
      </c>
      <c r="G145" s="15">
        <f t="shared" si="56"/>
        <v>7.5264922078461511</v>
      </c>
      <c r="I145" s="21" t="s">
        <v>29</v>
      </c>
      <c r="J145" s="52"/>
      <c r="K145" s="14" t="e">
        <f>J145/J150</f>
        <v>#DIV/0!</v>
      </c>
      <c r="L145">
        <v>99.96</v>
      </c>
      <c r="M145" s="15" t="e">
        <f t="shared" si="57"/>
        <v>#DIV/0!</v>
      </c>
      <c r="O145" s="38" t="s">
        <v>29</v>
      </c>
      <c r="P145" s="13"/>
      <c r="Q145" s="14" t="e">
        <f>P145/P149</f>
        <v>#DIV/0!</v>
      </c>
      <c r="R145">
        <v>99.92</v>
      </c>
      <c r="S145" s="40" t="e">
        <f t="shared" si="58"/>
        <v>#DIV/0!</v>
      </c>
      <c r="U145" s="46" t="s">
        <v>29</v>
      </c>
      <c r="V145" s="52"/>
      <c r="W145" s="14" t="e">
        <f>V145/V148</f>
        <v>#DIV/0!</v>
      </c>
      <c r="X145">
        <v>99.96</v>
      </c>
      <c r="Y145" s="48" t="e">
        <f t="shared" si="59"/>
        <v>#DIV/0!</v>
      </c>
    </row>
    <row r="146" spans="1:25" x14ac:dyDescent="0.35">
      <c r="A146" s="23">
        <v>12</v>
      </c>
      <c r="B146" s="2"/>
      <c r="C146" s="21" t="s">
        <v>30</v>
      </c>
      <c r="D146" s="13">
        <v>6568</v>
      </c>
      <c r="E146" s="14">
        <f>D146/D150</f>
        <v>3.737184013637763E-3</v>
      </c>
      <c r="F146">
        <v>100</v>
      </c>
      <c r="G146" s="15">
        <f t="shared" si="56"/>
        <v>0.37371840136377632</v>
      </c>
      <c r="I146" s="21" t="s">
        <v>30</v>
      </c>
      <c r="J146" s="52"/>
      <c r="K146" s="14" t="e">
        <f>J146/J150</f>
        <v>#DIV/0!</v>
      </c>
      <c r="L146">
        <v>100</v>
      </c>
      <c r="M146" s="15" t="e">
        <f t="shared" si="57"/>
        <v>#DIV/0!</v>
      </c>
      <c r="O146" s="38" t="s">
        <v>30</v>
      </c>
      <c r="P146" s="13"/>
      <c r="Q146" s="14" t="e">
        <f>P146/P149</f>
        <v>#DIV/0!</v>
      </c>
      <c r="R146">
        <v>99.96</v>
      </c>
      <c r="S146" s="40" t="e">
        <f t="shared" si="58"/>
        <v>#DIV/0!</v>
      </c>
      <c r="U146" s="46" t="s">
        <v>31</v>
      </c>
      <c r="V146" s="52"/>
      <c r="W146" s="14" t="e">
        <f>V146/V148</f>
        <v>#DIV/0!</v>
      </c>
      <c r="X146">
        <v>100</v>
      </c>
      <c r="Y146" s="48" t="e">
        <f>W146*X146</f>
        <v>#DIV/0!</v>
      </c>
    </row>
    <row r="147" spans="1:25" x14ac:dyDescent="0.35">
      <c r="A147" s="23">
        <v>3497</v>
      </c>
      <c r="B147" s="2"/>
      <c r="C147" s="21" t="s">
        <v>31</v>
      </c>
      <c r="D147" s="13">
        <v>213672</v>
      </c>
      <c r="E147" s="14">
        <f>D147/D150</f>
        <v>0.1215791081854458</v>
      </c>
      <c r="F147">
        <v>100</v>
      </c>
      <c r="G147" s="15">
        <f t="shared" si="56"/>
        <v>12.157910818544581</v>
      </c>
      <c r="I147" s="21" t="s">
        <v>31</v>
      </c>
      <c r="J147" s="52"/>
      <c r="K147" s="14" t="e">
        <f>J147/J150</f>
        <v>#DIV/0!</v>
      </c>
      <c r="L147">
        <v>100</v>
      </c>
      <c r="M147" s="15" t="e">
        <f t="shared" si="57"/>
        <v>#DIV/0!</v>
      </c>
      <c r="O147" s="38" t="s">
        <v>31</v>
      </c>
      <c r="P147" s="13"/>
      <c r="Q147" s="14" t="e">
        <f>P147/P149</f>
        <v>#DIV/0!</v>
      </c>
      <c r="R147">
        <v>100</v>
      </c>
      <c r="S147" s="40" t="e">
        <f t="shared" si="58"/>
        <v>#DIV/0!</v>
      </c>
      <c r="U147" s="46" t="s">
        <v>33</v>
      </c>
      <c r="V147" s="52"/>
      <c r="W147" s="14" t="e">
        <f>V147/V148</f>
        <v>#DIV/0!</v>
      </c>
      <c r="X147">
        <v>99.84</v>
      </c>
      <c r="Y147" s="48" t="e">
        <f>W147*X147</f>
        <v>#DIV/0!</v>
      </c>
    </row>
    <row r="148" spans="1:25" ht="15" thickBot="1" x14ac:dyDescent="0.4">
      <c r="A148" s="24">
        <f>SUM(A145:A147)</f>
        <v>3509</v>
      </c>
      <c r="B148" s="2"/>
      <c r="C148" s="21" t="s">
        <v>32</v>
      </c>
      <c r="D148">
        <v>173</v>
      </c>
      <c r="E148" s="14">
        <f>D148/D150</f>
        <v>9.8436789640580534E-5</v>
      </c>
      <c r="F148">
        <v>100</v>
      </c>
      <c r="G148" s="15">
        <f t="shared" si="56"/>
        <v>9.8436789640580537E-3</v>
      </c>
      <c r="I148" s="21" t="s">
        <v>32</v>
      </c>
      <c r="J148" s="52"/>
      <c r="K148" s="14" t="e">
        <f>J148/J150</f>
        <v>#DIV/0!</v>
      </c>
      <c r="L148">
        <v>100</v>
      </c>
      <c r="M148" s="15" t="e">
        <f t="shared" si="57"/>
        <v>#DIV/0!</v>
      </c>
      <c r="O148" s="38" t="s">
        <v>33</v>
      </c>
      <c r="P148" s="13"/>
      <c r="Q148" s="14" t="e">
        <f>P148/P149</f>
        <v>#DIV/0!</v>
      </c>
      <c r="R148">
        <v>99.8</v>
      </c>
      <c r="S148" s="40" t="e">
        <f>Q148*R148</f>
        <v>#DIV/0!</v>
      </c>
      <c r="U148" s="46"/>
      <c r="V148" s="52">
        <f>SUM(V144:V147)</f>
        <v>0</v>
      </c>
      <c r="W148" s="32" t="e">
        <f>SUM(W144:W147)</f>
        <v>#DIV/0!</v>
      </c>
      <c r="X148" s="33">
        <f>AVERAGE(X144:X147)</f>
        <v>99.949999999999989</v>
      </c>
      <c r="Y148" s="58" t="e">
        <f>SUM(Y144:Y147)</f>
        <v>#DIV/0!</v>
      </c>
    </row>
    <row r="149" spans="1:25" ht="15.5" thickTop="1" thickBot="1" x14ac:dyDescent="0.4">
      <c r="B149" s="2"/>
      <c r="C149" s="21" t="s">
        <v>33</v>
      </c>
      <c r="D149" s="13">
        <v>91486</v>
      </c>
      <c r="E149" s="16">
        <f>D149/D150</f>
        <v>5.2055422757561566E-2</v>
      </c>
      <c r="F149" s="17">
        <v>99.84</v>
      </c>
      <c r="G149" s="15">
        <f t="shared" si="56"/>
        <v>5.1972134081149468</v>
      </c>
      <c r="I149" s="21" t="s">
        <v>33</v>
      </c>
      <c r="J149" s="52"/>
      <c r="K149" s="16" t="e">
        <f>J149/J150</f>
        <v>#DIV/0!</v>
      </c>
      <c r="L149" s="17">
        <v>99.84</v>
      </c>
      <c r="M149" s="15" t="e">
        <f t="shared" si="57"/>
        <v>#DIV/0!</v>
      </c>
      <c r="O149" s="38"/>
      <c r="P149" s="31">
        <f>SUM(P144:P148)</f>
        <v>0</v>
      </c>
      <c r="Q149" s="32" t="e">
        <f>SUM(Q144:Q148)</f>
        <v>#DIV/0!</v>
      </c>
      <c r="R149" s="33">
        <f>AVERAGE(R144:R148)</f>
        <v>99.927999999999997</v>
      </c>
      <c r="S149" s="41" t="e">
        <f>SUM(S144:S148)</f>
        <v>#DIV/0!</v>
      </c>
      <c r="U149" s="46"/>
      <c r="V149" s="42"/>
      <c r="W149" s="42"/>
      <c r="X149" s="42"/>
      <c r="Y149" s="48"/>
    </row>
    <row r="150" spans="1:25" ht="15" thickBot="1" x14ac:dyDescent="0.4">
      <c r="A150" s="10"/>
      <c r="B150" s="10"/>
      <c r="C150" s="10"/>
      <c r="D150" s="49">
        <f>SUM(D144:D149)</f>
        <v>1757473</v>
      </c>
      <c r="E150" s="50">
        <f>SUM(E144:E149)</f>
        <v>1</v>
      </c>
      <c r="F150" s="51">
        <f>AVERAGE(F144:F149)</f>
        <v>99.966666666666654</v>
      </c>
      <c r="G150" s="26">
        <f>SUM(G144:G149)</f>
        <v>99.988659330754999</v>
      </c>
      <c r="I150" s="10"/>
      <c r="J150" s="49">
        <f>SUM(J144:J149)</f>
        <v>0</v>
      </c>
      <c r="K150" s="50" t="e">
        <f>SUM(K144:K149)</f>
        <v>#DIV/0!</v>
      </c>
      <c r="L150" s="51">
        <f>AVERAGE(L144:L149)</f>
        <v>99.966666666666654</v>
      </c>
      <c r="M150" s="26" t="e">
        <f>SUM(M144:M149)</f>
        <v>#DIV/0!</v>
      </c>
      <c r="O150" s="34"/>
      <c r="P150" s="34"/>
      <c r="Q150" s="34"/>
      <c r="R150" s="36"/>
      <c r="S150" s="40"/>
      <c r="U150" s="42"/>
      <c r="V150" s="42"/>
      <c r="W150" s="42"/>
      <c r="X150" s="44"/>
      <c r="Y150" s="45"/>
    </row>
    <row r="151" spans="1:25" s="28" customFormat="1" ht="15" thickTop="1" x14ac:dyDescent="0.35">
      <c r="A151" s="29" t="s">
        <v>151</v>
      </c>
      <c r="H151" s="27"/>
      <c r="N151" s="27"/>
    </row>
    <row r="152" spans="1:25" x14ac:dyDescent="0.35">
      <c r="A152" s="20" t="s">
        <v>152</v>
      </c>
      <c r="B152" s="20"/>
      <c r="C152" s="56" t="s">
        <v>115</v>
      </c>
      <c r="D152" s="11"/>
      <c r="E152" s="11"/>
      <c r="F152" s="11"/>
      <c r="G152" s="30" t="s">
        <v>115</v>
      </c>
      <c r="I152" s="56" t="s">
        <v>115</v>
      </c>
      <c r="J152" s="11"/>
      <c r="K152" s="11"/>
      <c r="L152" s="11"/>
      <c r="M152" s="30" t="s">
        <v>115</v>
      </c>
      <c r="O152" s="55" t="s">
        <v>116</v>
      </c>
      <c r="P152" s="34"/>
      <c r="Q152" s="34"/>
      <c r="R152" s="34"/>
      <c r="S152" s="35" t="s">
        <v>116</v>
      </c>
      <c r="U152" s="57" t="s">
        <v>117</v>
      </c>
      <c r="V152" s="42"/>
      <c r="W152" s="42"/>
      <c r="X152" s="42"/>
      <c r="Y152" s="43" t="s">
        <v>117</v>
      </c>
    </row>
    <row r="153" spans="1:25" ht="15" thickBot="1" x14ac:dyDescent="0.4">
      <c r="A153" s="2"/>
      <c r="B153" s="2"/>
      <c r="C153" s="2"/>
      <c r="D153" s="18" t="s">
        <v>118</v>
      </c>
      <c r="E153" s="19" t="s">
        <v>119</v>
      </c>
      <c r="F153" s="18" t="s">
        <v>120</v>
      </c>
      <c r="G153" s="12" t="s">
        <v>121</v>
      </c>
      <c r="I153" s="2"/>
      <c r="J153" s="18" t="s">
        <v>118</v>
      </c>
      <c r="K153" s="19" t="s">
        <v>119</v>
      </c>
      <c r="L153" s="18" t="s">
        <v>120</v>
      </c>
      <c r="M153" s="12" t="s">
        <v>121</v>
      </c>
      <c r="O153" s="34"/>
      <c r="P153" s="18" t="s">
        <v>118</v>
      </c>
      <c r="Q153" s="19" t="s">
        <v>119</v>
      </c>
      <c r="R153" s="18" t="s">
        <v>120</v>
      </c>
      <c r="S153" s="39" t="s">
        <v>121</v>
      </c>
      <c r="U153" s="42"/>
      <c r="V153" s="18" t="s">
        <v>118</v>
      </c>
      <c r="W153" s="19" t="s">
        <v>119</v>
      </c>
      <c r="X153" s="18" t="s">
        <v>120</v>
      </c>
      <c r="Y153" s="47" t="s">
        <v>121</v>
      </c>
    </row>
    <row r="154" spans="1:25" ht="15" thickTop="1" x14ac:dyDescent="0.35">
      <c r="A154" s="22" t="s">
        <v>122</v>
      </c>
      <c r="B154" s="2"/>
      <c r="C154" s="21" t="s">
        <v>25</v>
      </c>
      <c r="D154" s="25">
        <v>1317524</v>
      </c>
      <c r="E154" s="14">
        <f>D154/D160</f>
        <v>0.74777275614084771</v>
      </c>
      <c r="F154">
        <v>100</v>
      </c>
      <c r="G154" s="15">
        <f t="shared" ref="G154:G159" si="60">E154*F154</f>
        <v>74.777275614084772</v>
      </c>
      <c r="I154" s="21" t="s">
        <v>25</v>
      </c>
      <c r="J154" s="52"/>
      <c r="K154" s="14" t="e">
        <f>J154/J160</f>
        <v>#DIV/0!</v>
      </c>
      <c r="L154">
        <v>100</v>
      </c>
      <c r="M154" s="15" t="e">
        <f t="shared" ref="M154:M159" si="61">K154*L154</f>
        <v>#DIV/0!</v>
      </c>
      <c r="O154" s="38" t="s">
        <v>25</v>
      </c>
      <c r="P154" s="13"/>
      <c r="Q154" s="14" t="e">
        <f>P154/P159</f>
        <v>#DIV/0!</v>
      </c>
      <c r="R154">
        <v>99.96</v>
      </c>
      <c r="S154" s="40" t="e">
        <f t="shared" ref="S154:S157" si="62">Q154*R154</f>
        <v>#DIV/0!</v>
      </c>
      <c r="U154" s="46" t="s">
        <v>25</v>
      </c>
      <c r="V154" s="52"/>
      <c r="W154" s="14" t="e">
        <f>V154/V158</f>
        <v>#DIV/0!</v>
      </c>
      <c r="X154">
        <v>100</v>
      </c>
      <c r="Y154" s="48" t="e">
        <f t="shared" ref="Y154:Y155" si="63">W154*X154</f>
        <v>#DIV/0!</v>
      </c>
    </row>
    <row r="155" spans="1:25" x14ac:dyDescent="0.35">
      <c r="A155" s="23">
        <v>1314015</v>
      </c>
      <c r="B155" s="2"/>
      <c r="C155" s="21" t="s">
        <v>29</v>
      </c>
      <c r="D155" s="13">
        <v>132768</v>
      </c>
      <c r="E155" s="14">
        <f>D155/D160</f>
        <v>7.5353688651825748E-2</v>
      </c>
      <c r="F155">
        <v>99.96</v>
      </c>
      <c r="G155" s="15">
        <f t="shared" si="60"/>
        <v>7.5323547176365011</v>
      </c>
      <c r="I155" s="21" t="s">
        <v>29</v>
      </c>
      <c r="J155" s="52"/>
      <c r="K155" s="14" t="e">
        <f>J155/J160</f>
        <v>#DIV/0!</v>
      </c>
      <c r="L155">
        <v>99.96</v>
      </c>
      <c r="M155" s="15" t="e">
        <f t="shared" si="61"/>
        <v>#DIV/0!</v>
      </c>
      <c r="O155" s="38" t="s">
        <v>29</v>
      </c>
      <c r="P155" s="13"/>
      <c r="Q155" s="14" t="e">
        <f>P155/P159</f>
        <v>#DIV/0!</v>
      </c>
      <c r="R155">
        <v>99.92</v>
      </c>
      <c r="S155" s="40" t="e">
        <f t="shared" si="62"/>
        <v>#DIV/0!</v>
      </c>
      <c r="U155" s="46" t="s">
        <v>29</v>
      </c>
      <c r="V155" s="52"/>
      <c r="W155" s="14" t="e">
        <f>V155/V158</f>
        <v>#DIV/0!</v>
      </c>
      <c r="X155">
        <v>99.96</v>
      </c>
      <c r="Y155" s="48" t="e">
        <f t="shared" si="63"/>
        <v>#DIV/0!</v>
      </c>
    </row>
    <row r="156" spans="1:25" x14ac:dyDescent="0.35">
      <c r="A156" s="23">
        <v>12</v>
      </c>
      <c r="B156" s="2"/>
      <c r="C156" s="21" t="s">
        <v>30</v>
      </c>
      <c r="D156" s="13">
        <v>6512</v>
      </c>
      <c r="E156" s="14">
        <f>D156/D160</f>
        <v>3.6959449603872116E-3</v>
      </c>
      <c r="F156">
        <v>100</v>
      </c>
      <c r="G156" s="15">
        <f t="shared" si="60"/>
        <v>0.36959449603872119</v>
      </c>
      <c r="I156" s="21" t="s">
        <v>30</v>
      </c>
      <c r="J156" s="52"/>
      <c r="K156" s="14" t="e">
        <f>J156/J160</f>
        <v>#DIV/0!</v>
      </c>
      <c r="L156">
        <v>100</v>
      </c>
      <c r="M156" s="15" t="e">
        <f t="shared" si="61"/>
        <v>#DIV/0!</v>
      </c>
      <c r="O156" s="38" t="s">
        <v>30</v>
      </c>
      <c r="P156" s="13"/>
      <c r="Q156" s="14" t="e">
        <f>P156/P159</f>
        <v>#DIV/0!</v>
      </c>
      <c r="R156">
        <v>99.96</v>
      </c>
      <c r="S156" s="40" t="e">
        <f t="shared" si="62"/>
        <v>#DIV/0!</v>
      </c>
      <c r="U156" s="46" t="s">
        <v>31</v>
      </c>
      <c r="V156" s="52"/>
      <c r="W156" s="14" t="e">
        <f>V156/V158</f>
        <v>#DIV/0!</v>
      </c>
      <c r="X156">
        <v>100</v>
      </c>
      <c r="Y156" s="48" t="e">
        <f>W156*X156</f>
        <v>#DIV/0!</v>
      </c>
    </row>
    <row r="157" spans="1:25" x14ac:dyDescent="0.35">
      <c r="A157" s="23">
        <v>3497</v>
      </c>
      <c r="B157" s="2"/>
      <c r="C157" s="21" t="s">
        <v>31</v>
      </c>
      <c r="D157" s="13">
        <v>213593</v>
      </c>
      <c r="E157" s="14">
        <f>D157/D160</f>
        <v>0.12122665416523122</v>
      </c>
      <c r="F157">
        <v>100</v>
      </c>
      <c r="G157" s="15">
        <f t="shared" si="60"/>
        <v>12.122665416523121</v>
      </c>
      <c r="I157" s="21" t="s">
        <v>31</v>
      </c>
      <c r="J157" s="52"/>
      <c r="K157" s="14" t="e">
        <f>J157/J160</f>
        <v>#DIV/0!</v>
      </c>
      <c r="L157">
        <v>100</v>
      </c>
      <c r="M157" s="15" t="e">
        <f t="shared" si="61"/>
        <v>#DIV/0!</v>
      </c>
      <c r="O157" s="38" t="s">
        <v>31</v>
      </c>
      <c r="P157" s="13"/>
      <c r="Q157" s="14" t="e">
        <f>P157/P159</f>
        <v>#DIV/0!</v>
      </c>
      <c r="R157">
        <v>100</v>
      </c>
      <c r="S157" s="40" t="e">
        <f t="shared" si="62"/>
        <v>#DIV/0!</v>
      </c>
      <c r="U157" s="46" t="s">
        <v>33</v>
      </c>
      <c r="V157" s="52"/>
      <c r="W157" s="14" t="e">
        <f>V157/V158</f>
        <v>#DIV/0!</v>
      </c>
      <c r="X157">
        <v>99.84</v>
      </c>
      <c r="Y157" s="48" t="e">
        <f>W157*X157</f>
        <v>#DIV/0!</v>
      </c>
    </row>
    <row r="158" spans="1:25" ht="15" thickBot="1" x14ac:dyDescent="0.4">
      <c r="A158" s="24">
        <f>SUM(A155:A157)</f>
        <v>1317524</v>
      </c>
      <c r="B158" s="2"/>
      <c r="C158" s="21" t="s">
        <v>32</v>
      </c>
      <c r="D158">
        <v>173</v>
      </c>
      <c r="E158" s="14">
        <f>D158/D160</f>
        <v>9.8187726988173776E-5</v>
      </c>
      <c r="F158">
        <v>100</v>
      </c>
      <c r="G158" s="15">
        <f t="shared" si="60"/>
        <v>9.8187726988173771E-3</v>
      </c>
      <c r="I158" s="21" t="s">
        <v>32</v>
      </c>
      <c r="J158" s="52"/>
      <c r="K158" s="14" t="e">
        <f>J158/J160</f>
        <v>#DIV/0!</v>
      </c>
      <c r="L158">
        <v>100</v>
      </c>
      <c r="M158" s="15" t="e">
        <f t="shared" si="61"/>
        <v>#DIV/0!</v>
      </c>
      <c r="O158" s="38" t="s">
        <v>33</v>
      </c>
      <c r="P158" s="13"/>
      <c r="Q158" s="14" t="e">
        <f>P158/P159</f>
        <v>#DIV/0!</v>
      </c>
      <c r="R158">
        <v>99.8</v>
      </c>
      <c r="S158" s="40" t="e">
        <f>Q158*R158</f>
        <v>#DIV/0!</v>
      </c>
      <c r="U158" s="46"/>
      <c r="V158" s="52">
        <f>SUM(V154:V157)</f>
        <v>0</v>
      </c>
      <c r="W158" s="32" t="e">
        <f>SUM(W154:W157)</f>
        <v>#DIV/0!</v>
      </c>
      <c r="X158" s="33">
        <f>AVERAGE(X154:X157)</f>
        <v>99.949999999999989</v>
      </c>
      <c r="Y158" s="58" t="e">
        <f>SUM(Y154:Y157)</f>
        <v>#DIV/0!</v>
      </c>
    </row>
    <row r="159" spans="1:25" ht="15.5" thickTop="1" thickBot="1" x14ac:dyDescent="0.4">
      <c r="B159" s="2"/>
      <c r="C159" s="21" t="s">
        <v>33</v>
      </c>
      <c r="D159" s="13">
        <v>91361</v>
      </c>
      <c r="E159" s="16">
        <f>D159/D160</f>
        <v>5.1852768354719907E-2</v>
      </c>
      <c r="F159" s="17">
        <v>99.84</v>
      </c>
      <c r="G159" s="15">
        <f t="shared" si="60"/>
        <v>5.1769803925352358</v>
      </c>
      <c r="I159" s="21" t="s">
        <v>33</v>
      </c>
      <c r="J159" s="52"/>
      <c r="K159" s="16" t="e">
        <f>J159/J160</f>
        <v>#DIV/0!</v>
      </c>
      <c r="L159" s="17">
        <v>99.84</v>
      </c>
      <c r="M159" s="15" t="e">
        <f t="shared" si="61"/>
        <v>#DIV/0!</v>
      </c>
      <c r="O159" s="38"/>
      <c r="P159" s="31">
        <f>SUM(P154:P158)</f>
        <v>0</v>
      </c>
      <c r="Q159" s="32" t="e">
        <f>SUM(Q154:Q158)</f>
        <v>#DIV/0!</v>
      </c>
      <c r="R159" s="33">
        <f>AVERAGE(R154:R158)</f>
        <v>99.927999999999997</v>
      </c>
      <c r="S159" s="41" t="e">
        <f>SUM(S154:S158)</f>
        <v>#DIV/0!</v>
      </c>
      <c r="U159" s="46"/>
      <c r="V159" s="42"/>
      <c r="W159" s="42"/>
      <c r="X159" s="42"/>
      <c r="Y159" s="48"/>
    </row>
    <row r="160" spans="1:25" ht="15" thickBot="1" x14ac:dyDescent="0.4">
      <c r="A160" s="10"/>
      <c r="B160" s="10"/>
      <c r="C160" s="10"/>
      <c r="D160" s="49">
        <f>SUM(D154:D159)</f>
        <v>1761931</v>
      </c>
      <c r="E160" s="50">
        <f>SUM(E154:E159)</f>
        <v>1</v>
      </c>
      <c r="F160" s="51">
        <f>AVERAGE(F154:F159)</f>
        <v>99.966666666666654</v>
      </c>
      <c r="G160" s="26">
        <f>SUM(G154:G159)</f>
        <v>99.988689409517178</v>
      </c>
      <c r="I160" s="10"/>
      <c r="J160" s="49">
        <f>SUM(J154:J159)</f>
        <v>0</v>
      </c>
      <c r="K160" s="50" t="e">
        <f>SUM(K154:K159)</f>
        <v>#DIV/0!</v>
      </c>
      <c r="L160" s="51">
        <f>AVERAGE(L154:L159)</f>
        <v>99.966666666666654</v>
      </c>
      <c r="M160" s="26" t="e">
        <f>SUM(M154:M159)</f>
        <v>#DIV/0!</v>
      </c>
      <c r="O160" s="34"/>
      <c r="P160" s="34"/>
      <c r="Q160" s="34"/>
      <c r="R160" s="36"/>
      <c r="S160" s="40"/>
      <c r="U160" s="42"/>
      <c r="V160" s="42"/>
      <c r="W160" s="42"/>
      <c r="X160" s="44"/>
      <c r="Y160" s="45"/>
    </row>
    <row r="161" spans="1:25" s="28" customFormat="1" ht="15" thickTop="1" x14ac:dyDescent="0.35">
      <c r="A161" s="29" t="s">
        <v>153</v>
      </c>
      <c r="H161" s="27"/>
      <c r="N161" s="27"/>
    </row>
    <row r="162" spans="1:25" x14ac:dyDescent="0.35">
      <c r="A162" s="20" t="s">
        <v>154</v>
      </c>
      <c r="B162" s="20"/>
      <c r="C162" s="56" t="s">
        <v>115</v>
      </c>
      <c r="D162" s="11"/>
      <c r="E162" s="11"/>
      <c r="F162" s="11"/>
      <c r="G162" s="30" t="s">
        <v>115</v>
      </c>
      <c r="I162" s="56" t="s">
        <v>115</v>
      </c>
      <c r="J162" s="11"/>
      <c r="K162" s="11"/>
      <c r="L162" s="11"/>
      <c r="M162" s="30" t="s">
        <v>115</v>
      </c>
      <c r="O162" s="55" t="s">
        <v>116</v>
      </c>
      <c r="P162" s="34"/>
      <c r="Q162" s="34"/>
      <c r="R162" s="34"/>
      <c r="S162" s="35" t="s">
        <v>116</v>
      </c>
      <c r="U162" s="57" t="s">
        <v>117</v>
      </c>
      <c r="V162" s="42"/>
      <c r="W162" s="42"/>
      <c r="X162" s="42"/>
      <c r="Y162" s="43" t="s">
        <v>117</v>
      </c>
    </row>
    <row r="163" spans="1:25" ht="15" thickBot="1" x14ac:dyDescent="0.4">
      <c r="A163" s="2"/>
      <c r="B163" s="2"/>
      <c r="C163" s="2"/>
      <c r="D163" s="18" t="s">
        <v>118</v>
      </c>
      <c r="E163" s="19" t="s">
        <v>119</v>
      </c>
      <c r="F163" s="18" t="s">
        <v>120</v>
      </c>
      <c r="G163" s="12" t="s">
        <v>121</v>
      </c>
      <c r="I163" s="2"/>
      <c r="J163" s="18" t="s">
        <v>118</v>
      </c>
      <c r="K163" s="19" t="s">
        <v>119</v>
      </c>
      <c r="L163" s="18" t="s">
        <v>120</v>
      </c>
      <c r="M163" s="12" t="s">
        <v>121</v>
      </c>
      <c r="O163" s="34"/>
      <c r="P163" s="18" t="s">
        <v>118</v>
      </c>
      <c r="Q163" s="19" t="s">
        <v>119</v>
      </c>
      <c r="R163" s="18" t="s">
        <v>120</v>
      </c>
      <c r="S163" s="39" t="s">
        <v>121</v>
      </c>
      <c r="U163" s="42"/>
      <c r="V163" s="18" t="s">
        <v>118</v>
      </c>
      <c r="W163" s="19" t="s">
        <v>119</v>
      </c>
      <c r="X163" s="18" t="s">
        <v>120</v>
      </c>
      <c r="Y163" s="47" t="s">
        <v>121</v>
      </c>
    </row>
    <row r="164" spans="1:25" ht="15" thickTop="1" x14ac:dyDescent="0.35">
      <c r="A164" s="22" t="s">
        <v>122</v>
      </c>
      <c r="B164" s="2"/>
      <c r="C164" s="21" t="s">
        <v>25</v>
      </c>
      <c r="D164" s="25">
        <v>1309717</v>
      </c>
      <c r="E164" s="14">
        <f>D164/D170</f>
        <v>0.74664294375423645</v>
      </c>
      <c r="F164">
        <v>100</v>
      </c>
      <c r="G164" s="15">
        <f t="shared" ref="G164:G169" si="64">E164*F164</f>
        <v>74.664294375423651</v>
      </c>
      <c r="I164" s="21" t="s">
        <v>25</v>
      </c>
      <c r="J164" s="52"/>
      <c r="K164" s="14" t="e">
        <f>J164/J170</f>
        <v>#DIV/0!</v>
      </c>
      <c r="L164">
        <v>100</v>
      </c>
      <c r="M164" s="15" t="e">
        <f t="shared" ref="M164:M169" si="65">K164*L164</f>
        <v>#DIV/0!</v>
      </c>
      <c r="O164" s="38" t="s">
        <v>25</v>
      </c>
      <c r="P164" s="13"/>
      <c r="Q164" s="14" t="e">
        <f>P164/P169</f>
        <v>#DIV/0!</v>
      </c>
      <c r="R164">
        <v>99.96</v>
      </c>
      <c r="S164" s="40" t="e">
        <f t="shared" ref="S164:S167" si="66">Q164*R164</f>
        <v>#DIV/0!</v>
      </c>
      <c r="U164" s="46" t="s">
        <v>25</v>
      </c>
      <c r="V164" s="52"/>
      <c r="W164" s="14" t="e">
        <f>V164/V168</f>
        <v>#DIV/0!</v>
      </c>
      <c r="X164">
        <v>100</v>
      </c>
      <c r="Y164" s="48" t="e">
        <f t="shared" ref="Y164:Y165" si="67">W164*X164</f>
        <v>#DIV/0!</v>
      </c>
    </row>
    <row r="165" spans="1:25" x14ac:dyDescent="0.35">
      <c r="A165" s="23">
        <v>1306208</v>
      </c>
      <c r="B165" s="2"/>
      <c r="C165" s="21" t="s">
        <v>29</v>
      </c>
      <c r="D165" s="13">
        <v>132862</v>
      </c>
      <c r="E165" s="14">
        <f>D165/D170</f>
        <v>7.5741915843709262E-2</v>
      </c>
      <c r="F165">
        <v>99.96</v>
      </c>
      <c r="G165" s="15">
        <f t="shared" si="64"/>
        <v>7.571161907737177</v>
      </c>
      <c r="I165" s="21" t="s">
        <v>29</v>
      </c>
      <c r="J165" s="52"/>
      <c r="K165" s="14" t="e">
        <f>J165/J170</f>
        <v>#DIV/0!</v>
      </c>
      <c r="L165">
        <v>99.96</v>
      </c>
      <c r="M165" s="15" t="e">
        <f t="shared" si="65"/>
        <v>#DIV/0!</v>
      </c>
      <c r="O165" s="38" t="s">
        <v>29</v>
      </c>
      <c r="P165" s="13"/>
      <c r="Q165" s="14" t="e">
        <f>P165/P169</f>
        <v>#DIV/0!</v>
      </c>
      <c r="R165">
        <v>99.92</v>
      </c>
      <c r="S165" s="40" t="e">
        <f t="shared" si="66"/>
        <v>#DIV/0!</v>
      </c>
      <c r="U165" s="46" t="s">
        <v>29</v>
      </c>
      <c r="V165" s="52"/>
      <c r="W165" s="14" t="e">
        <f>V165/V168</f>
        <v>#DIV/0!</v>
      </c>
      <c r="X165">
        <v>99.96</v>
      </c>
      <c r="Y165" s="48" t="e">
        <f t="shared" si="67"/>
        <v>#DIV/0!</v>
      </c>
    </row>
    <row r="166" spans="1:25" x14ac:dyDescent="0.35">
      <c r="A166" s="23">
        <v>12</v>
      </c>
      <c r="B166" s="2"/>
      <c r="C166" s="21" t="s">
        <v>30</v>
      </c>
      <c r="D166" s="13">
        <v>6513</v>
      </c>
      <c r="E166" s="14">
        <f>D166/D170</f>
        <v>3.7129284361975463E-3</v>
      </c>
      <c r="F166">
        <v>100</v>
      </c>
      <c r="G166" s="15">
        <f t="shared" si="64"/>
        <v>0.37129284361975462</v>
      </c>
      <c r="I166" s="21" t="s">
        <v>30</v>
      </c>
      <c r="J166" s="52"/>
      <c r="K166" s="14" t="e">
        <f>J166/J170</f>
        <v>#DIV/0!</v>
      </c>
      <c r="L166">
        <v>100</v>
      </c>
      <c r="M166" s="15" t="e">
        <f t="shared" si="65"/>
        <v>#DIV/0!</v>
      </c>
      <c r="O166" s="38" t="s">
        <v>30</v>
      </c>
      <c r="P166" s="13"/>
      <c r="Q166" s="14" t="e">
        <f>P166/P169</f>
        <v>#DIV/0!</v>
      </c>
      <c r="R166">
        <v>99.96</v>
      </c>
      <c r="S166" s="40" t="e">
        <f t="shared" si="66"/>
        <v>#DIV/0!</v>
      </c>
      <c r="U166" s="46" t="s">
        <v>31</v>
      </c>
      <c r="V166" s="52"/>
      <c r="W166" s="14" t="e">
        <f>V166/V168</f>
        <v>#DIV/0!</v>
      </c>
      <c r="X166">
        <v>100</v>
      </c>
      <c r="Y166" s="48" t="e">
        <f>W166*X166</f>
        <v>#DIV/0!</v>
      </c>
    </row>
    <row r="167" spans="1:25" x14ac:dyDescent="0.35">
      <c r="A167" s="23">
        <v>3497</v>
      </c>
      <c r="B167" s="2"/>
      <c r="C167" s="21" t="s">
        <v>31</v>
      </c>
      <c r="D167" s="13">
        <v>213473</v>
      </c>
      <c r="E167" s="14">
        <f>D167/D170</f>
        <v>0.1216966024966066</v>
      </c>
      <c r="F167">
        <v>100</v>
      </c>
      <c r="G167" s="15">
        <f t="shared" si="64"/>
        <v>12.169660249660661</v>
      </c>
      <c r="I167" s="21" t="s">
        <v>31</v>
      </c>
      <c r="J167" s="52"/>
      <c r="K167" s="14" t="e">
        <f>J167/J170</f>
        <v>#DIV/0!</v>
      </c>
      <c r="L167">
        <v>100</v>
      </c>
      <c r="M167" s="15" t="e">
        <f t="shared" si="65"/>
        <v>#DIV/0!</v>
      </c>
      <c r="O167" s="38" t="s">
        <v>31</v>
      </c>
      <c r="P167" s="13"/>
      <c r="Q167" s="14" t="e">
        <f>P167/P169</f>
        <v>#DIV/0!</v>
      </c>
      <c r="R167">
        <v>100</v>
      </c>
      <c r="S167" s="40" t="e">
        <f t="shared" si="66"/>
        <v>#DIV/0!</v>
      </c>
      <c r="U167" s="46" t="s">
        <v>33</v>
      </c>
      <c r="V167" s="52"/>
      <c r="W167" s="14" t="e">
        <f>V167/V168</f>
        <v>#DIV/0!</v>
      </c>
      <c r="X167">
        <v>99.84</v>
      </c>
      <c r="Y167" s="48" t="e">
        <f>W167*X167</f>
        <v>#DIV/0!</v>
      </c>
    </row>
    <row r="168" spans="1:25" ht="15" thickBot="1" x14ac:dyDescent="0.4">
      <c r="A168" s="24">
        <f>SUM(A165:A167)</f>
        <v>1309717</v>
      </c>
      <c r="B168" s="2"/>
      <c r="C168" s="21" t="s">
        <v>32</v>
      </c>
      <c r="D168">
        <v>173</v>
      </c>
      <c r="E168" s="14">
        <f>D168/D170</f>
        <v>9.8623770837121991E-5</v>
      </c>
      <c r="F168">
        <v>100</v>
      </c>
      <c r="G168" s="15">
        <f t="shared" si="64"/>
        <v>9.8623770837121989E-3</v>
      </c>
      <c r="I168" s="21" t="s">
        <v>32</v>
      </c>
      <c r="J168" s="52"/>
      <c r="K168" s="14" t="e">
        <f>J168/J170</f>
        <v>#DIV/0!</v>
      </c>
      <c r="L168">
        <v>100</v>
      </c>
      <c r="M168" s="15" t="e">
        <f t="shared" si="65"/>
        <v>#DIV/0!</v>
      </c>
      <c r="O168" s="38" t="s">
        <v>33</v>
      </c>
      <c r="P168" s="13"/>
      <c r="Q168" s="14" t="e">
        <f>P168/P169</f>
        <v>#DIV/0!</v>
      </c>
      <c r="R168">
        <v>99.8</v>
      </c>
      <c r="S168" s="40" t="e">
        <f>Q168*R168</f>
        <v>#DIV/0!</v>
      </c>
      <c r="U168" s="46"/>
      <c r="V168" s="52">
        <f>SUM(V164:V167)</f>
        <v>0</v>
      </c>
      <c r="W168" s="32" t="e">
        <f>SUM(W164:W167)</f>
        <v>#DIV/0!</v>
      </c>
      <c r="X168" s="33">
        <f>AVERAGE(X164:X167)</f>
        <v>99.949999999999989</v>
      </c>
      <c r="Y168" s="58" t="e">
        <f>SUM(Y164:Y167)</f>
        <v>#DIV/0!</v>
      </c>
    </row>
    <row r="169" spans="1:25" ht="15.5" thickTop="1" thickBot="1" x14ac:dyDescent="0.4">
      <c r="B169" s="2"/>
      <c r="C169" s="21" t="s">
        <v>33</v>
      </c>
      <c r="D169" s="13">
        <v>91403</v>
      </c>
      <c r="E169" s="16">
        <f>D169/D170</f>
        <v>5.2106985698413072E-2</v>
      </c>
      <c r="F169" s="17">
        <v>99.84</v>
      </c>
      <c r="G169" s="15">
        <f t="shared" si="64"/>
        <v>5.2023614521295611</v>
      </c>
      <c r="I169" s="21" t="s">
        <v>33</v>
      </c>
      <c r="J169" s="52"/>
      <c r="K169" s="16" t="e">
        <f>J169/J170</f>
        <v>#DIV/0!</v>
      </c>
      <c r="L169" s="17">
        <v>99.84</v>
      </c>
      <c r="M169" s="15" t="e">
        <f t="shared" si="65"/>
        <v>#DIV/0!</v>
      </c>
      <c r="O169" s="38"/>
      <c r="P169" s="31">
        <f>SUM(P164:P168)</f>
        <v>0</v>
      </c>
      <c r="Q169" s="32" t="e">
        <f>SUM(Q164:Q168)</f>
        <v>#DIV/0!</v>
      </c>
      <c r="R169" s="33">
        <f>AVERAGE(R164:R168)</f>
        <v>99.927999999999997</v>
      </c>
      <c r="S169" s="41" t="e">
        <f>SUM(S164:S168)</f>
        <v>#DIV/0!</v>
      </c>
      <c r="U169" s="46"/>
      <c r="V169" s="42"/>
      <c r="W169" s="42"/>
      <c r="X169" s="42"/>
      <c r="Y169" s="48"/>
    </row>
    <row r="170" spans="1:25" ht="15" thickBot="1" x14ac:dyDescent="0.4">
      <c r="A170" s="10"/>
      <c r="B170" s="10"/>
      <c r="C170" s="10"/>
      <c r="D170" s="49">
        <f>SUM(D164:D169)</f>
        <v>1754141</v>
      </c>
      <c r="E170" s="50">
        <f>SUM(E164:E169)</f>
        <v>1</v>
      </c>
      <c r="F170" s="51">
        <f>AVERAGE(F164:F169)</f>
        <v>99.966666666666654</v>
      </c>
      <c r="G170" s="26">
        <f>SUM(G164:G169)</f>
        <v>99.988633205654523</v>
      </c>
      <c r="I170" s="10"/>
      <c r="J170" s="49">
        <f>SUM(J164:J169)</f>
        <v>0</v>
      </c>
      <c r="K170" s="50" t="e">
        <f>SUM(K164:K169)</f>
        <v>#DIV/0!</v>
      </c>
      <c r="L170" s="51">
        <f>AVERAGE(L164:L169)</f>
        <v>99.966666666666654</v>
      </c>
      <c r="M170" s="26" t="e">
        <f>SUM(M164:M169)</f>
        <v>#DIV/0!</v>
      </c>
      <c r="O170" s="34"/>
      <c r="P170" s="34"/>
      <c r="Q170" s="34"/>
      <c r="R170" s="36"/>
      <c r="S170" s="40"/>
      <c r="U170" s="42"/>
      <c r="V170" s="42"/>
      <c r="W170" s="42"/>
      <c r="X170" s="44"/>
      <c r="Y170" s="45"/>
    </row>
    <row r="171" spans="1:25" s="28" customFormat="1" ht="15" thickTop="1" x14ac:dyDescent="0.35">
      <c r="A171" s="29" t="s">
        <v>155</v>
      </c>
      <c r="H171" s="27"/>
      <c r="N171" s="27"/>
    </row>
    <row r="172" spans="1:25" x14ac:dyDescent="0.35">
      <c r="A172" s="20" t="s">
        <v>156</v>
      </c>
      <c r="B172" s="20"/>
      <c r="C172" s="56" t="s">
        <v>115</v>
      </c>
      <c r="D172" s="11"/>
      <c r="E172" s="11"/>
      <c r="F172" s="11"/>
      <c r="G172" s="30" t="s">
        <v>115</v>
      </c>
      <c r="I172" s="56" t="s">
        <v>115</v>
      </c>
      <c r="J172" s="11"/>
      <c r="K172" s="11"/>
      <c r="L172" s="11"/>
      <c r="M172" s="30" t="s">
        <v>115</v>
      </c>
      <c r="O172" s="55" t="s">
        <v>116</v>
      </c>
      <c r="P172" s="34"/>
      <c r="Q172" s="34"/>
      <c r="R172" s="34"/>
      <c r="S172" s="35" t="s">
        <v>116</v>
      </c>
      <c r="U172" s="57" t="s">
        <v>117</v>
      </c>
      <c r="V172" s="42"/>
      <c r="W172" s="42"/>
      <c r="X172" s="42"/>
      <c r="Y172" s="43" t="s">
        <v>117</v>
      </c>
    </row>
    <row r="173" spans="1:25" ht="15" thickBot="1" x14ac:dyDescent="0.4">
      <c r="A173" s="2"/>
      <c r="B173" s="2"/>
      <c r="C173" s="2"/>
      <c r="D173" s="18" t="s">
        <v>118</v>
      </c>
      <c r="E173" s="19" t="s">
        <v>119</v>
      </c>
      <c r="F173" s="18" t="s">
        <v>120</v>
      </c>
      <c r="G173" s="12" t="s">
        <v>121</v>
      </c>
      <c r="I173" s="2"/>
      <c r="J173" s="18" t="s">
        <v>118</v>
      </c>
      <c r="K173" s="19" t="s">
        <v>119</v>
      </c>
      <c r="L173" s="18" t="s">
        <v>120</v>
      </c>
      <c r="M173" s="12" t="s">
        <v>121</v>
      </c>
      <c r="O173" s="34"/>
      <c r="P173" s="18" t="s">
        <v>118</v>
      </c>
      <c r="Q173" s="19" t="s">
        <v>119</v>
      </c>
      <c r="R173" s="18" t="s">
        <v>120</v>
      </c>
      <c r="S173" s="39" t="s">
        <v>121</v>
      </c>
      <c r="U173" s="42"/>
      <c r="V173" s="18" t="s">
        <v>118</v>
      </c>
      <c r="W173" s="19" t="s">
        <v>119</v>
      </c>
      <c r="X173" s="18" t="s">
        <v>120</v>
      </c>
      <c r="Y173" s="47" t="s">
        <v>121</v>
      </c>
    </row>
    <row r="174" spans="1:25" ht="15" thickTop="1" x14ac:dyDescent="0.35">
      <c r="A174" s="22" t="s">
        <v>122</v>
      </c>
      <c r="B174" s="2"/>
      <c r="C174" s="21" t="s">
        <v>25</v>
      </c>
      <c r="D174" s="25">
        <v>1307863</v>
      </c>
      <c r="E174" s="14">
        <f>D174/D180</f>
        <v>0.74665099372644705</v>
      </c>
      <c r="F174">
        <v>100</v>
      </c>
      <c r="G174" s="15">
        <f t="shared" ref="G174:G179" si="68">E174*F174</f>
        <v>74.665099372644704</v>
      </c>
      <c r="I174" s="21" t="s">
        <v>25</v>
      </c>
      <c r="J174" s="52"/>
      <c r="K174" s="14" t="e">
        <f>J174/J180</f>
        <v>#DIV/0!</v>
      </c>
      <c r="L174">
        <v>100</v>
      </c>
      <c r="M174" s="15" t="e">
        <f t="shared" ref="M174:M179" si="69">K174*L174</f>
        <v>#DIV/0!</v>
      </c>
      <c r="O174" s="38" t="s">
        <v>25</v>
      </c>
      <c r="P174" s="13"/>
      <c r="Q174" s="14" t="e">
        <f>P174/P179</f>
        <v>#DIV/0!</v>
      </c>
      <c r="R174">
        <v>99.96</v>
      </c>
      <c r="S174" s="40" t="e">
        <f t="shared" ref="S174:S177" si="70">Q174*R174</f>
        <v>#DIV/0!</v>
      </c>
      <c r="U174" s="46" t="s">
        <v>25</v>
      </c>
      <c r="V174" s="52"/>
      <c r="W174" s="14" t="e">
        <f>V174/V178</f>
        <v>#DIV/0!</v>
      </c>
      <c r="X174">
        <v>100</v>
      </c>
      <c r="Y174" s="48" t="e">
        <f t="shared" ref="Y174:Y175" si="71">W174*X174</f>
        <v>#DIV/0!</v>
      </c>
    </row>
    <row r="175" spans="1:25" x14ac:dyDescent="0.35">
      <c r="A175" s="23">
        <v>1304353</v>
      </c>
      <c r="B175" s="2"/>
      <c r="C175" s="21" t="s">
        <v>29</v>
      </c>
      <c r="D175" s="13">
        <v>132955</v>
      </c>
      <c r="E175" s="14">
        <f>D175/D180</f>
        <v>7.5903196948686344E-2</v>
      </c>
      <c r="F175">
        <v>99.96</v>
      </c>
      <c r="G175" s="15">
        <f t="shared" si="68"/>
        <v>7.5872835669906866</v>
      </c>
      <c r="I175" s="21" t="s">
        <v>29</v>
      </c>
      <c r="J175" s="52"/>
      <c r="K175" s="14" t="e">
        <f>J175/J180</f>
        <v>#DIV/0!</v>
      </c>
      <c r="L175">
        <v>99.96</v>
      </c>
      <c r="M175" s="15" t="e">
        <f t="shared" si="69"/>
        <v>#DIV/0!</v>
      </c>
      <c r="O175" s="38" t="s">
        <v>29</v>
      </c>
      <c r="P175" s="13"/>
      <c r="Q175" s="14" t="e">
        <f>P175/P179</f>
        <v>#DIV/0!</v>
      </c>
      <c r="R175">
        <v>99.92</v>
      </c>
      <c r="S175" s="40" t="e">
        <f t="shared" si="70"/>
        <v>#DIV/0!</v>
      </c>
      <c r="U175" s="46" t="s">
        <v>29</v>
      </c>
      <c r="V175" s="52"/>
      <c r="W175" s="14" t="e">
        <f>V175/V178</f>
        <v>#DIV/0!</v>
      </c>
      <c r="X175">
        <v>99.96</v>
      </c>
      <c r="Y175" s="48" t="e">
        <f t="shared" si="71"/>
        <v>#DIV/0!</v>
      </c>
    </row>
    <row r="176" spans="1:25" x14ac:dyDescent="0.35">
      <c r="A176" s="23">
        <v>12</v>
      </c>
      <c r="B176" s="2"/>
      <c r="C176" s="21" t="s">
        <v>30</v>
      </c>
      <c r="D176" s="13">
        <v>6513</v>
      </c>
      <c r="E176" s="14">
        <f>D176/D180</f>
        <v>3.7182318959557304E-3</v>
      </c>
      <c r="F176">
        <v>100</v>
      </c>
      <c r="G176" s="15">
        <f t="shared" si="68"/>
        <v>0.37182318959557303</v>
      </c>
      <c r="I176" s="21" t="s">
        <v>30</v>
      </c>
      <c r="J176" s="52"/>
      <c r="K176" s="14" t="e">
        <f>J176/J180</f>
        <v>#DIV/0!</v>
      </c>
      <c r="L176">
        <v>100</v>
      </c>
      <c r="M176" s="15" t="e">
        <f t="shared" si="69"/>
        <v>#DIV/0!</v>
      </c>
      <c r="O176" s="38" t="s">
        <v>30</v>
      </c>
      <c r="P176" s="13"/>
      <c r="Q176" s="14" t="e">
        <f>P176/P179</f>
        <v>#DIV/0!</v>
      </c>
      <c r="R176">
        <v>99.96</v>
      </c>
      <c r="S176" s="40" t="e">
        <f t="shared" si="70"/>
        <v>#DIV/0!</v>
      </c>
      <c r="U176" s="46" t="s">
        <v>31</v>
      </c>
      <c r="V176" s="52"/>
      <c r="W176" s="14" t="e">
        <f>V176/V178</f>
        <v>#DIV/0!</v>
      </c>
      <c r="X176">
        <v>100</v>
      </c>
      <c r="Y176" s="48" t="e">
        <f>W176*X176</f>
        <v>#DIV/0!</v>
      </c>
    </row>
    <row r="177" spans="1:25" x14ac:dyDescent="0.35">
      <c r="A177" s="23">
        <v>3498</v>
      </c>
      <c r="B177" s="2"/>
      <c r="C177" s="21" t="s">
        <v>31</v>
      </c>
      <c r="D177" s="13">
        <v>212702</v>
      </c>
      <c r="E177" s="14">
        <f>D177/D180</f>
        <v>0.12143027187679653</v>
      </c>
      <c r="F177">
        <v>100</v>
      </c>
      <c r="G177" s="15">
        <f t="shared" si="68"/>
        <v>12.143027187679653</v>
      </c>
      <c r="I177" s="21" t="s">
        <v>31</v>
      </c>
      <c r="J177" s="52"/>
      <c r="K177" s="14" t="e">
        <f>J177/J180</f>
        <v>#DIV/0!</v>
      </c>
      <c r="L177">
        <v>100</v>
      </c>
      <c r="M177" s="15" t="e">
        <f t="shared" si="69"/>
        <v>#DIV/0!</v>
      </c>
      <c r="O177" s="38" t="s">
        <v>31</v>
      </c>
      <c r="P177" s="13"/>
      <c r="Q177" s="14" t="e">
        <f>P177/P179</f>
        <v>#DIV/0!</v>
      </c>
      <c r="R177">
        <v>100</v>
      </c>
      <c r="S177" s="40" t="e">
        <f t="shared" si="70"/>
        <v>#DIV/0!</v>
      </c>
      <c r="U177" s="46" t="s">
        <v>33</v>
      </c>
      <c r="V177" s="52"/>
      <c r="W177" s="14" t="e">
        <f>V177/V178</f>
        <v>#DIV/0!</v>
      </c>
      <c r="X177">
        <v>99.84</v>
      </c>
      <c r="Y177" s="48" t="e">
        <f>W177*X177</f>
        <v>#DIV/0!</v>
      </c>
    </row>
    <row r="178" spans="1:25" ht="15" thickBot="1" x14ac:dyDescent="0.4">
      <c r="A178" s="24">
        <f>SUM(A175:A177)</f>
        <v>1307863</v>
      </c>
      <c r="B178" s="2"/>
      <c r="C178" s="21" t="s">
        <v>32</v>
      </c>
      <c r="D178">
        <v>173</v>
      </c>
      <c r="E178" s="14">
        <f>D178/D180</f>
        <v>9.8764642714623281E-5</v>
      </c>
      <c r="F178">
        <v>100</v>
      </c>
      <c r="G178" s="15">
        <f t="shared" si="68"/>
        <v>9.876464271462328E-3</v>
      </c>
      <c r="I178" s="21" t="s">
        <v>32</v>
      </c>
      <c r="J178" s="52"/>
      <c r="K178" s="14" t="e">
        <f>J178/J180</f>
        <v>#DIV/0!</v>
      </c>
      <c r="L178">
        <v>100</v>
      </c>
      <c r="M178" s="15" t="e">
        <f t="shared" si="69"/>
        <v>#DIV/0!</v>
      </c>
      <c r="O178" s="38" t="s">
        <v>33</v>
      </c>
      <c r="P178" s="13"/>
      <c r="Q178" s="14" t="e">
        <f>P178/P179</f>
        <v>#DIV/0!</v>
      </c>
      <c r="R178">
        <v>99.8</v>
      </c>
      <c r="S178" s="40" t="e">
        <f>Q178*R178</f>
        <v>#DIV/0!</v>
      </c>
      <c r="U178" s="46"/>
      <c r="V178" s="52">
        <f>SUM(V174:V177)</f>
        <v>0</v>
      </c>
      <c r="W178" s="32" t="e">
        <f>SUM(W174:W177)</f>
        <v>#DIV/0!</v>
      </c>
      <c r="X178" s="33">
        <f>AVERAGE(X174:X177)</f>
        <v>99.949999999999989</v>
      </c>
      <c r="Y178" s="58" t="e">
        <f>SUM(Y174:Y177)</f>
        <v>#DIV/0!</v>
      </c>
    </row>
    <row r="179" spans="1:25" ht="15.5" thickTop="1" thickBot="1" x14ac:dyDescent="0.4">
      <c r="B179" s="2"/>
      <c r="C179" s="21" t="s">
        <v>33</v>
      </c>
      <c r="D179" s="13">
        <v>91433</v>
      </c>
      <c r="E179" s="16">
        <f>D179/D180</f>
        <v>5.219854090939971E-2</v>
      </c>
      <c r="F179" s="17">
        <v>99.84</v>
      </c>
      <c r="G179" s="15">
        <f t="shared" si="68"/>
        <v>5.2115023243944671</v>
      </c>
      <c r="I179" s="21" t="s">
        <v>33</v>
      </c>
      <c r="J179" s="52"/>
      <c r="K179" s="16" t="e">
        <f>J179/J180</f>
        <v>#DIV/0!</v>
      </c>
      <c r="L179" s="17">
        <v>99.84</v>
      </c>
      <c r="M179" s="15" t="e">
        <f t="shared" si="69"/>
        <v>#DIV/0!</v>
      </c>
      <c r="O179" s="38"/>
      <c r="P179" s="31">
        <f>SUM(P174:P178)</f>
        <v>0</v>
      </c>
      <c r="Q179" s="32" t="e">
        <f>SUM(Q174:Q178)</f>
        <v>#DIV/0!</v>
      </c>
      <c r="R179" s="33">
        <f>AVERAGE(R174:R178)</f>
        <v>99.927999999999997</v>
      </c>
      <c r="S179" s="41" t="e">
        <f>SUM(S174:S178)</f>
        <v>#DIV/0!</v>
      </c>
      <c r="U179" s="46"/>
      <c r="V179" s="42"/>
      <c r="W179" s="42"/>
      <c r="X179" s="42"/>
      <c r="Y179" s="48"/>
    </row>
    <row r="180" spans="1:25" ht="15" thickBot="1" x14ac:dyDescent="0.4">
      <c r="A180" s="10"/>
      <c r="B180" s="10"/>
      <c r="C180" s="10"/>
      <c r="D180" s="49">
        <f>SUM(D174:D179)</f>
        <v>1751639</v>
      </c>
      <c r="E180" s="50">
        <f>SUM(E174:E179)</f>
        <v>1</v>
      </c>
      <c r="F180" s="51">
        <f>AVERAGE(F174:F179)</f>
        <v>99.966666666666654</v>
      </c>
      <c r="G180" s="26">
        <f>SUM(G174:G179)</f>
        <v>99.98861210557655</v>
      </c>
      <c r="I180" s="10"/>
      <c r="J180" s="49">
        <f>SUM(J174:J179)</f>
        <v>0</v>
      </c>
      <c r="K180" s="50" t="e">
        <f>SUM(K174:K179)</f>
        <v>#DIV/0!</v>
      </c>
      <c r="L180" s="51">
        <f>AVERAGE(L174:L179)</f>
        <v>99.966666666666654</v>
      </c>
      <c r="M180" s="26" t="e">
        <f>SUM(M174:M179)</f>
        <v>#DIV/0!</v>
      </c>
      <c r="O180" s="34"/>
      <c r="P180" s="34"/>
      <c r="Q180" s="34"/>
      <c r="R180" s="36"/>
      <c r="S180" s="40"/>
      <c r="U180" s="42"/>
      <c r="V180" s="42"/>
      <c r="W180" s="42"/>
      <c r="X180" s="44"/>
      <c r="Y180" s="45"/>
    </row>
    <row r="181" spans="1:25" s="28" customFormat="1" ht="15" thickTop="1" x14ac:dyDescent="0.35">
      <c r="A181" s="29" t="s">
        <v>157</v>
      </c>
      <c r="H181" s="27"/>
      <c r="N181" s="27"/>
    </row>
    <row r="182" spans="1:25" x14ac:dyDescent="0.35">
      <c r="A182" s="20" t="s">
        <v>158</v>
      </c>
      <c r="B182" s="20"/>
      <c r="C182" s="56" t="s">
        <v>115</v>
      </c>
      <c r="D182" s="11"/>
      <c r="E182" s="11"/>
      <c r="F182" s="11"/>
      <c r="G182" s="30" t="s">
        <v>115</v>
      </c>
      <c r="I182" s="56" t="s">
        <v>115</v>
      </c>
      <c r="J182" s="11"/>
      <c r="K182" s="11"/>
      <c r="L182" s="11"/>
      <c r="M182" s="30" t="s">
        <v>115</v>
      </c>
      <c r="O182" s="55" t="s">
        <v>116</v>
      </c>
      <c r="P182" s="34"/>
      <c r="Q182" s="34"/>
      <c r="R182" s="34"/>
      <c r="S182" s="35" t="s">
        <v>116</v>
      </c>
      <c r="U182" s="57" t="s">
        <v>117</v>
      </c>
      <c r="V182" s="42"/>
      <c r="W182" s="42"/>
      <c r="X182" s="42"/>
      <c r="Y182" s="43" t="s">
        <v>117</v>
      </c>
    </row>
    <row r="183" spans="1:25" ht="15" thickBot="1" x14ac:dyDescent="0.4">
      <c r="A183" s="2"/>
      <c r="B183" s="2"/>
      <c r="C183" s="2"/>
      <c r="D183" s="18" t="s">
        <v>118</v>
      </c>
      <c r="E183" s="19" t="s">
        <v>119</v>
      </c>
      <c r="F183" s="18" t="s">
        <v>120</v>
      </c>
      <c r="G183" s="12" t="s">
        <v>121</v>
      </c>
      <c r="I183" s="2"/>
      <c r="J183" s="18" t="s">
        <v>118</v>
      </c>
      <c r="K183" s="19" t="s">
        <v>119</v>
      </c>
      <c r="L183" s="18" t="s">
        <v>120</v>
      </c>
      <c r="M183" s="12" t="s">
        <v>121</v>
      </c>
      <c r="O183" s="34"/>
      <c r="P183" s="18" t="s">
        <v>118</v>
      </c>
      <c r="Q183" s="19" t="s">
        <v>119</v>
      </c>
      <c r="R183" s="18" t="s">
        <v>120</v>
      </c>
      <c r="S183" s="39" t="s">
        <v>121</v>
      </c>
      <c r="U183" s="42"/>
      <c r="V183" s="18" t="s">
        <v>118</v>
      </c>
      <c r="W183" s="19" t="s">
        <v>119</v>
      </c>
      <c r="X183" s="18" t="s">
        <v>120</v>
      </c>
      <c r="Y183" s="47" t="s">
        <v>121</v>
      </c>
    </row>
    <row r="184" spans="1:25" ht="15" thickTop="1" x14ac:dyDescent="0.35">
      <c r="A184" s="22" t="s">
        <v>122</v>
      </c>
      <c r="B184" s="2"/>
      <c r="C184" s="21" t="s">
        <v>25</v>
      </c>
      <c r="D184" s="25">
        <v>1305467</v>
      </c>
      <c r="E184" s="14">
        <f>D184/D190</f>
        <v>0.74675264501839611</v>
      </c>
      <c r="F184">
        <v>100</v>
      </c>
      <c r="G184" s="15">
        <f t="shared" ref="G184:G189" si="72">E184*F184</f>
        <v>74.675264501839607</v>
      </c>
      <c r="I184" s="21" t="s">
        <v>25</v>
      </c>
      <c r="J184" s="52"/>
      <c r="K184" s="14" t="e">
        <f>J184/J190</f>
        <v>#DIV/0!</v>
      </c>
      <c r="L184">
        <v>100</v>
      </c>
      <c r="M184" s="15" t="e">
        <f t="shared" ref="M184:M189" si="73">K184*L184</f>
        <v>#DIV/0!</v>
      </c>
      <c r="O184" s="38" t="s">
        <v>25</v>
      </c>
      <c r="P184" s="13"/>
      <c r="Q184" s="14" t="e">
        <f>P184/P189</f>
        <v>#DIV/0!</v>
      </c>
      <c r="R184">
        <v>99.96</v>
      </c>
      <c r="S184" s="40" t="e">
        <f t="shared" ref="S184:S187" si="74">Q184*R184</f>
        <v>#DIV/0!</v>
      </c>
      <c r="U184" s="46" t="s">
        <v>25</v>
      </c>
      <c r="V184" s="52"/>
      <c r="W184" s="14" t="e">
        <f>V184/V188</f>
        <v>#DIV/0!</v>
      </c>
      <c r="X184">
        <v>100</v>
      </c>
      <c r="Y184" s="48" t="e">
        <f t="shared" ref="Y184:Y185" si="75">W184*X184</f>
        <v>#DIV/0!</v>
      </c>
    </row>
    <row r="185" spans="1:25" x14ac:dyDescent="0.35">
      <c r="A185" s="23">
        <v>1301957</v>
      </c>
      <c r="B185" s="2"/>
      <c r="C185" s="21" t="s">
        <v>29</v>
      </c>
      <c r="D185" s="13">
        <v>132655</v>
      </c>
      <c r="E185" s="14">
        <f>D185/D190</f>
        <v>7.5881253317713393E-2</v>
      </c>
      <c r="F185">
        <v>99.96</v>
      </c>
      <c r="G185" s="15">
        <f t="shared" si="72"/>
        <v>7.5850900816386302</v>
      </c>
      <c r="I185" s="21" t="s">
        <v>29</v>
      </c>
      <c r="J185" s="52"/>
      <c r="K185" s="14" t="e">
        <f>J185/J190</f>
        <v>#DIV/0!</v>
      </c>
      <c r="L185">
        <v>99.96</v>
      </c>
      <c r="M185" s="15" t="e">
        <f t="shared" si="73"/>
        <v>#DIV/0!</v>
      </c>
      <c r="O185" s="38" t="s">
        <v>29</v>
      </c>
      <c r="P185" s="13"/>
      <c r="Q185" s="14" t="e">
        <f>P185/P189</f>
        <v>#DIV/0!</v>
      </c>
      <c r="R185">
        <v>99.92</v>
      </c>
      <c r="S185" s="40" t="e">
        <f t="shared" si="74"/>
        <v>#DIV/0!</v>
      </c>
      <c r="U185" s="46" t="s">
        <v>29</v>
      </c>
      <c r="V185" s="52"/>
      <c r="W185" s="14" t="e">
        <f>V185/V188</f>
        <v>#DIV/0!</v>
      </c>
      <c r="X185">
        <v>99.96</v>
      </c>
      <c r="Y185" s="48" t="e">
        <f t="shared" si="75"/>
        <v>#DIV/0!</v>
      </c>
    </row>
    <row r="186" spans="1:25" x14ac:dyDescent="0.35">
      <c r="A186" s="23">
        <v>12</v>
      </c>
      <c r="B186" s="2"/>
      <c r="C186" s="21" t="s">
        <v>30</v>
      </c>
      <c r="D186" s="13">
        <v>6506</v>
      </c>
      <c r="E186" s="14">
        <f>D186/D190</f>
        <v>3.7215591880068095E-3</v>
      </c>
      <c r="F186">
        <v>100</v>
      </c>
      <c r="G186" s="15">
        <f t="shared" si="72"/>
        <v>0.37215591880068094</v>
      </c>
      <c r="I186" s="21" t="s">
        <v>30</v>
      </c>
      <c r="J186" s="52"/>
      <c r="K186" s="14" t="e">
        <f>J186/J190</f>
        <v>#DIV/0!</v>
      </c>
      <c r="L186">
        <v>100</v>
      </c>
      <c r="M186" s="15" t="e">
        <f t="shared" si="73"/>
        <v>#DIV/0!</v>
      </c>
      <c r="O186" s="38" t="s">
        <v>30</v>
      </c>
      <c r="P186" s="13"/>
      <c r="Q186" s="14" t="e">
        <f>P186/P189</f>
        <v>#DIV/0!</v>
      </c>
      <c r="R186">
        <v>99.96</v>
      </c>
      <c r="S186" s="40" t="e">
        <f t="shared" si="74"/>
        <v>#DIV/0!</v>
      </c>
      <c r="U186" s="46" t="s">
        <v>31</v>
      </c>
      <c r="V186" s="52"/>
      <c r="W186" s="14" t="e">
        <f>V186/V188</f>
        <v>#DIV/0!</v>
      </c>
      <c r="X186">
        <v>100</v>
      </c>
      <c r="Y186" s="48" t="e">
        <f>W186*X186</f>
        <v>#DIV/0!</v>
      </c>
    </row>
    <row r="187" spans="1:25" x14ac:dyDescent="0.35">
      <c r="A187" s="23">
        <v>3498</v>
      </c>
      <c r="B187" s="2"/>
      <c r="C187" s="21" t="s">
        <v>31</v>
      </c>
      <c r="D187" s="13">
        <v>212619</v>
      </c>
      <c r="E187" s="14">
        <f>D187/D190</f>
        <v>0.1216222245611466</v>
      </c>
      <c r="F187">
        <v>100</v>
      </c>
      <c r="G187" s="15">
        <f t="shared" si="72"/>
        <v>12.162222456114661</v>
      </c>
      <c r="I187" s="21" t="s">
        <v>31</v>
      </c>
      <c r="J187" s="52"/>
      <c r="K187" s="14" t="e">
        <f>J187/J190</f>
        <v>#DIV/0!</v>
      </c>
      <c r="L187">
        <v>100</v>
      </c>
      <c r="M187" s="15" t="e">
        <f t="shared" si="73"/>
        <v>#DIV/0!</v>
      </c>
      <c r="O187" s="38" t="s">
        <v>31</v>
      </c>
      <c r="P187" s="13"/>
      <c r="Q187" s="14" t="e">
        <f>P187/P189</f>
        <v>#DIV/0!</v>
      </c>
      <c r="R187">
        <v>100</v>
      </c>
      <c r="S187" s="40" t="e">
        <f t="shared" si="74"/>
        <v>#DIV/0!</v>
      </c>
      <c r="U187" s="46" t="s">
        <v>33</v>
      </c>
      <c r="V187" s="52"/>
      <c r="W187" s="14" t="e">
        <f>V187/V188</f>
        <v>#DIV/0!</v>
      </c>
      <c r="X187">
        <v>99.84</v>
      </c>
      <c r="Y187" s="48" t="e">
        <f>W187*X187</f>
        <v>#DIV/0!</v>
      </c>
    </row>
    <row r="188" spans="1:25" ht="15" thickBot="1" x14ac:dyDescent="0.4">
      <c r="A188" s="24">
        <f>SUM(A185:A187)</f>
        <v>1305467</v>
      </c>
      <c r="B188" s="2"/>
      <c r="C188" s="21" t="s">
        <v>32</v>
      </c>
      <c r="D188">
        <v>173</v>
      </c>
      <c r="E188" s="14">
        <f>D188/D190</f>
        <v>9.8959382035840462E-5</v>
      </c>
      <c r="F188">
        <v>100</v>
      </c>
      <c r="G188" s="15">
        <f t="shared" si="72"/>
        <v>9.8959382035840454E-3</v>
      </c>
      <c r="I188" s="21" t="s">
        <v>32</v>
      </c>
      <c r="J188" s="52"/>
      <c r="K188" s="14" t="e">
        <f>J188/J190</f>
        <v>#DIV/0!</v>
      </c>
      <c r="L188">
        <v>100</v>
      </c>
      <c r="M188" s="15" t="e">
        <f t="shared" si="73"/>
        <v>#DIV/0!</v>
      </c>
      <c r="O188" s="38" t="s">
        <v>33</v>
      </c>
      <c r="P188" s="13"/>
      <c r="Q188" s="14" t="e">
        <f>P188/P189</f>
        <v>#DIV/0!</v>
      </c>
      <c r="R188">
        <v>99.8</v>
      </c>
      <c r="S188" s="40" t="e">
        <f>Q188*R188</f>
        <v>#DIV/0!</v>
      </c>
      <c r="U188" s="46"/>
      <c r="V188" s="52">
        <f>SUM(V184:V187)</f>
        <v>0</v>
      </c>
      <c r="W188" s="32" t="e">
        <f>SUM(W184:W187)</f>
        <v>#DIV/0!</v>
      </c>
      <c r="X188" s="33">
        <f>AVERAGE(X184:X187)</f>
        <v>99.949999999999989</v>
      </c>
      <c r="Y188" s="58" t="e">
        <f>SUM(Y184:Y187)</f>
        <v>#DIV/0!</v>
      </c>
    </row>
    <row r="189" spans="1:25" ht="15.5" thickTop="1" thickBot="1" x14ac:dyDescent="0.4">
      <c r="B189" s="2"/>
      <c r="C189" s="21" t="s">
        <v>33</v>
      </c>
      <c r="D189" s="13">
        <v>90772</v>
      </c>
      <c r="E189" s="16">
        <f>D189/D190</f>
        <v>5.1923358532701212E-2</v>
      </c>
      <c r="F189" s="17">
        <v>99.84</v>
      </c>
      <c r="G189" s="15">
        <f t="shared" si="72"/>
        <v>5.1840281159048889</v>
      </c>
      <c r="I189" s="21" t="s">
        <v>33</v>
      </c>
      <c r="J189" s="52"/>
      <c r="K189" s="16" t="e">
        <f>J189/J190</f>
        <v>#DIV/0!</v>
      </c>
      <c r="L189" s="17">
        <v>99.84</v>
      </c>
      <c r="M189" s="15" t="e">
        <f t="shared" si="73"/>
        <v>#DIV/0!</v>
      </c>
      <c r="O189" s="38"/>
      <c r="P189" s="31">
        <f>SUM(P184:P188)</f>
        <v>0</v>
      </c>
      <c r="Q189" s="32" t="e">
        <f>SUM(Q184:Q188)</f>
        <v>#DIV/0!</v>
      </c>
      <c r="R189" s="33">
        <f>AVERAGE(R184:R188)</f>
        <v>99.927999999999997</v>
      </c>
      <c r="S189" s="41" t="e">
        <f>SUM(S184:S188)</f>
        <v>#DIV/0!</v>
      </c>
      <c r="U189" s="46"/>
      <c r="V189" s="42"/>
      <c r="W189" s="42"/>
      <c r="X189" s="42"/>
      <c r="Y189" s="48"/>
    </row>
    <row r="190" spans="1:25" ht="15" thickBot="1" x14ac:dyDescent="0.4">
      <c r="A190" s="10"/>
      <c r="B190" s="10"/>
      <c r="C190" s="10"/>
      <c r="D190" s="49">
        <f>SUM(D184:D189)</f>
        <v>1748192</v>
      </c>
      <c r="E190" s="50">
        <f>SUM(E184:E189)</f>
        <v>0.99999999999999989</v>
      </c>
      <c r="F190" s="51">
        <f>AVERAGE(F184:F189)</f>
        <v>99.966666666666654</v>
      </c>
      <c r="G190" s="26">
        <f>SUM(G184:G189)</f>
        <v>99.98865701250206</v>
      </c>
      <c r="I190" s="10"/>
      <c r="J190" s="49">
        <f>SUM(J184:J189)</f>
        <v>0</v>
      </c>
      <c r="K190" s="50" t="e">
        <f>SUM(K184:K189)</f>
        <v>#DIV/0!</v>
      </c>
      <c r="L190" s="51">
        <f>AVERAGE(L184:L189)</f>
        <v>99.966666666666654</v>
      </c>
      <c r="M190" s="26" t="e">
        <f>SUM(M184:M189)</f>
        <v>#DIV/0!</v>
      </c>
      <c r="O190" s="34"/>
      <c r="P190" s="34"/>
      <c r="Q190" s="34"/>
      <c r="R190" s="36"/>
      <c r="S190" s="40"/>
      <c r="U190" s="42"/>
      <c r="V190" s="42"/>
      <c r="W190" s="42"/>
      <c r="X190" s="44"/>
      <c r="Y190" s="45"/>
    </row>
    <row r="191" spans="1:25" ht="15" thickTop="1" x14ac:dyDescent="0.35">
      <c r="A191" s="29" t="s">
        <v>159</v>
      </c>
      <c r="B191" s="28"/>
      <c r="C191" s="28"/>
      <c r="D191" s="28"/>
      <c r="E191" s="28"/>
      <c r="F191" s="28"/>
      <c r="G191" s="28"/>
      <c r="I191" s="28"/>
      <c r="J191" s="28"/>
      <c r="K191" s="28"/>
      <c r="L191" s="28"/>
      <c r="M191" s="28"/>
      <c r="O191" s="28"/>
      <c r="P191" s="28"/>
      <c r="Q191" s="28"/>
      <c r="R191" s="28"/>
      <c r="S191" s="28"/>
      <c r="U191" s="28"/>
      <c r="V191" s="28"/>
      <c r="W191" s="28"/>
      <c r="X191" s="28"/>
      <c r="Y191" s="28"/>
    </row>
    <row r="192" spans="1:25" x14ac:dyDescent="0.35">
      <c r="A192" s="20" t="s">
        <v>160</v>
      </c>
      <c r="B192" s="20"/>
      <c r="C192" s="56" t="s">
        <v>115</v>
      </c>
      <c r="D192" s="11"/>
      <c r="E192" s="11"/>
      <c r="F192" s="11"/>
      <c r="G192" s="30" t="s">
        <v>115</v>
      </c>
      <c r="I192" s="56" t="s">
        <v>115</v>
      </c>
      <c r="J192" s="11"/>
      <c r="K192" s="11"/>
      <c r="L192" s="11"/>
      <c r="M192" s="30" t="s">
        <v>115</v>
      </c>
      <c r="O192" s="55" t="s">
        <v>116</v>
      </c>
      <c r="P192" s="34"/>
      <c r="Q192" s="34"/>
      <c r="R192" s="34"/>
      <c r="S192" s="35" t="s">
        <v>116</v>
      </c>
      <c r="U192" s="57" t="s">
        <v>117</v>
      </c>
      <c r="V192" s="42"/>
      <c r="W192" s="42"/>
      <c r="X192" s="42"/>
      <c r="Y192" s="43" t="s">
        <v>117</v>
      </c>
    </row>
    <row r="193" spans="1:25" ht="15" thickBot="1" x14ac:dyDescent="0.4">
      <c r="A193" s="2"/>
      <c r="B193" s="2"/>
      <c r="C193" s="2"/>
      <c r="D193" s="18" t="s">
        <v>118</v>
      </c>
      <c r="E193" s="19" t="s">
        <v>119</v>
      </c>
      <c r="F193" s="18" t="s">
        <v>120</v>
      </c>
      <c r="G193" s="12" t="s">
        <v>121</v>
      </c>
      <c r="I193" s="2"/>
      <c r="J193" s="18" t="s">
        <v>118</v>
      </c>
      <c r="K193" s="19" t="s">
        <v>119</v>
      </c>
      <c r="L193" s="18" t="s">
        <v>120</v>
      </c>
      <c r="M193" s="12" t="s">
        <v>121</v>
      </c>
      <c r="O193" s="34"/>
      <c r="P193" s="18" t="s">
        <v>118</v>
      </c>
      <c r="Q193" s="19" t="s">
        <v>119</v>
      </c>
      <c r="R193" s="18" t="s">
        <v>120</v>
      </c>
      <c r="S193" s="39" t="s">
        <v>121</v>
      </c>
      <c r="U193" s="42"/>
      <c r="V193" s="18" t="s">
        <v>118</v>
      </c>
      <c r="W193" s="19" t="s">
        <v>119</v>
      </c>
      <c r="X193" s="18" t="s">
        <v>120</v>
      </c>
      <c r="Y193" s="47" t="s">
        <v>121</v>
      </c>
    </row>
    <row r="194" spans="1:25" ht="15" thickTop="1" x14ac:dyDescent="0.35">
      <c r="A194" s="22" t="s">
        <v>122</v>
      </c>
      <c r="B194" s="2"/>
      <c r="C194" s="21" t="s">
        <v>25</v>
      </c>
      <c r="D194" s="25">
        <v>1299251</v>
      </c>
      <c r="E194" s="14">
        <f>D194/D200</f>
        <v>0.74576933717989491</v>
      </c>
      <c r="F194">
        <v>100</v>
      </c>
      <c r="G194" s="15">
        <f t="shared" ref="G194:G199" si="76">E194*F194</f>
        <v>74.57693371798949</v>
      </c>
      <c r="I194" s="21" t="s">
        <v>25</v>
      </c>
      <c r="J194" s="52"/>
      <c r="K194" s="14" t="e">
        <f>J194/J200</f>
        <v>#DIV/0!</v>
      </c>
      <c r="L194">
        <v>100</v>
      </c>
      <c r="M194" s="15" t="e">
        <f t="shared" ref="M194:M199" si="77">K194*L194</f>
        <v>#DIV/0!</v>
      </c>
      <c r="O194" s="38" t="s">
        <v>25</v>
      </c>
      <c r="P194" s="13"/>
      <c r="Q194" s="14" t="e">
        <f>P194/P199</f>
        <v>#DIV/0!</v>
      </c>
      <c r="R194">
        <v>99.96</v>
      </c>
      <c r="S194" s="40" t="e">
        <f t="shared" ref="S194:S197" si="78">Q194*R194</f>
        <v>#DIV/0!</v>
      </c>
      <c r="U194" s="46" t="s">
        <v>25</v>
      </c>
      <c r="V194" s="52"/>
      <c r="W194" s="14" t="e">
        <f>V194/V198</f>
        <v>#DIV/0!</v>
      </c>
      <c r="X194">
        <v>100</v>
      </c>
      <c r="Y194" s="48" t="e">
        <f t="shared" ref="Y194:Y195" si="79">W194*X194</f>
        <v>#DIV/0!</v>
      </c>
    </row>
    <row r="195" spans="1:25" x14ac:dyDescent="0.35">
      <c r="A195" s="23">
        <v>1295741</v>
      </c>
      <c r="B195" s="2"/>
      <c r="C195" s="21" t="s">
        <v>29</v>
      </c>
      <c r="D195" s="13">
        <v>132805</v>
      </c>
      <c r="E195" s="14">
        <f>D195/D200</f>
        <v>7.6229994684765254E-2</v>
      </c>
      <c r="F195">
        <v>99.96</v>
      </c>
      <c r="G195" s="15">
        <f t="shared" si="76"/>
        <v>7.6199502686891343</v>
      </c>
      <c r="I195" s="21" t="s">
        <v>29</v>
      </c>
      <c r="J195" s="52"/>
      <c r="K195" s="14" t="e">
        <f>J195/J200</f>
        <v>#DIV/0!</v>
      </c>
      <c r="L195">
        <v>99.96</v>
      </c>
      <c r="M195" s="15" t="e">
        <f t="shared" si="77"/>
        <v>#DIV/0!</v>
      </c>
      <c r="O195" s="38" t="s">
        <v>29</v>
      </c>
      <c r="P195" s="13"/>
      <c r="Q195" s="14" t="e">
        <f>P195/P199</f>
        <v>#DIV/0!</v>
      </c>
      <c r="R195">
        <v>99.92</v>
      </c>
      <c r="S195" s="40" t="e">
        <f t="shared" si="78"/>
        <v>#DIV/0!</v>
      </c>
      <c r="U195" s="46" t="s">
        <v>29</v>
      </c>
      <c r="V195" s="52"/>
      <c r="W195" s="14" t="e">
        <f>V195/V198</f>
        <v>#DIV/0!</v>
      </c>
      <c r="X195">
        <v>99.96</v>
      </c>
      <c r="Y195" s="48" t="e">
        <f t="shared" si="79"/>
        <v>#DIV/0!</v>
      </c>
    </row>
    <row r="196" spans="1:25" x14ac:dyDescent="0.35">
      <c r="A196" s="23">
        <v>12</v>
      </c>
      <c r="B196" s="2"/>
      <c r="C196" s="21" t="s">
        <v>30</v>
      </c>
      <c r="D196" s="13">
        <v>6506</v>
      </c>
      <c r="E196" s="14">
        <f>D196/D200</f>
        <v>3.7344403103729733E-3</v>
      </c>
      <c r="F196">
        <v>100</v>
      </c>
      <c r="G196" s="15">
        <f t="shared" si="76"/>
        <v>0.37344403103729734</v>
      </c>
      <c r="I196" s="21" t="s">
        <v>30</v>
      </c>
      <c r="J196" s="52"/>
      <c r="K196" s="14" t="e">
        <f>J196/J200</f>
        <v>#DIV/0!</v>
      </c>
      <c r="L196">
        <v>100</v>
      </c>
      <c r="M196" s="15" t="e">
        <f t="shared" si="77"/>
        <v>#DIV/0!</v>
      </c>
      <c r="O196" s="38" t="s">
        <v>30</v>
      </c>
      <c r="P196" s="13"/>
      <c r="Q196" s="14" t="e">
        <f>P196/P199</f>
        <v>#DIV/0!</v>
      </c>
      <c r="R196">
        <v>99.96</v>
      </c>
      <c r="S196" s="40" t="e">
        <f t="shared" si="78"/>
        <v>#DIV/0!</v>
      </c>
      <c r="U196" s="46" t="s">
        <v>31</v>
      </c>
      <c r="V196" s="52"/>
      <c r="W196" s="14" t="e">
        <f>V196/V198</f>
        <v>#DIV/0!</v>
      </c>
      <c r="X196">
        <v>100</v>
      </c>
      <c r="Y196" s="48" t="e">
        <f>W196*X196</f>
        <v>#DIV/0!</v>
      </c>
    </row>
    <row r="197" spans="1:25" x14ac:dyDescent="0.35">
      <c r="A197" s="23">
        <v>3498</v>
      </c>
      <c r="B197" s="2"/>
      <c r="C197" s="21" t="s">
        <v>31</v>
      </c>
      <c r="D197" s="13">
        <v>212610</v>
      </c>
      <c r="E197" s="14">
        <f>D197/D200</f>
        <v>0.1220380194264368</v>
      </c>
      <c r="F197">
        <v>100</v>
      </c>
      <c r="G197" s="15">
        <f t="shared" si="76"/>
        <v>12.203801942643681</v>
      </c>
      <c r="I197" s="21" t="s">
        <v>31</v>
      </c>
      <c r="J197" s="52"/>
      <c r="K197" s="14" t="e">
        <f>J197/J200</f>
        <v>#DIV/0!</v>
      </c>
      <c r="L197">
        <v>100</v>
      </c>
      <c r="M197" s="15" t="e">
        <f t="shared" si="77"/>
        <v>#DIV/0!</v>
      </c>
      <c r="O197" s="38" t="s">
        <v>31</v>
      </c>
      <c r="P197" s="13"/>
      <c r="Q197" s="14" t="e">
        <f>P197/P199</f>
        <v>#DIV/0!</v>
      </c>
      <c r="R197">
        <v>100</v>
      </c>
      <c r="S197" s="40" t="e">
        <f t="shared" si="78"/>
        <v>#DIV/0!</v>
      </c>
      <c r="U197" s="46" t="s">
        <v>33</v>
      </c>
      <c r="V197" s="52"/>
      <c r="W197" s="14" t="e">
        <f>V197/V198</f>
        <v>#DIV/0!</v>
      </c>
      <c r="X197">
        <v>99.84</v>
      </c>
      <c r="Y197" s="48" t="e">
        <f>W197*X197</f>
        <v>#DIV/0!</v>
      </c>
    </row>
    <row r="198" spans="1:25" ht="15" thickBot="1" x14ac:dyDescent="0.4">
      <c r="A198" s="24">
        <f>SUM(A195:A197)</f>
        <v>1299251</v>
      </c>
      <c r="B198" s="2"/>
      <c r="C198" s="21" t="s">
        <v>32</v>
      </c>
      <c r="D198">
        <v>173</v>
      </c>
      <c r="E198" s="14">
        <f>D198/D200</f>
        <v>9.9301901889720936E-5</v>
      </c>
      <c r="F198">
        <v>100</v>
      </c>
      <c r="G198" s="15">
        <f t="shared" si="76"/>
        <v>9.9301901889720934E-3</v>
      </c>
      <c r="I198" s="21" t="s">
        <v>32</v>
      </c>
      <c r="J198" s="52"/>
      <c r="K198" s="14" t="e">
        <f>J198/J200</f>
        <v>#DIV/0!</v>
      </c>
      <c r="L198">
        <v>100</v>
      </c>
      <c r="M198" s="15" t="e">
        <f t="shared" si="77"/>
        <v>#DIV/0!</v>
      </c>
      <c r="O198" s="38" t="s">
        <v>33</v>
      </c>
      <c r="P198" s="13"/>
      <c r="Q198" s="14" t="e">
        <f>P198/P199</f>
        <v>#DIV/0!</v>
      </c>
      <c r="R198">
        <v>99.8</v>
      </c>
      <c r="S198" s="40" t="e">
        <f>Q198*R198</f>
        <v>#DIV/0!</v>
      </c>
      <c r="U198" s="46"/>
      <c r="V198" s="52">
        <f>SUM(V194:V197)</f>
        <v>0</v>
      </c>
      <c r="W198" s="32" t="e">
        <f>SUM(W194:W197)</f>
        <v>#DIV/0!</v>
      </c>
      <c r="X198" s="33">
        <f>AVERAGE(X194:X197)</f>
        <v>99.949999999999989</v>
      </c>
      <c r="Y198" s="58" t="e">
        <f>SUM(Y194:Y197)</f>
        <v>#DIV/0!</v>
      </c>
    </row>
    <row r="199" spans="1:25" ht="15.5" thickTop="1" thickBot="1" x14ac:dyDescent="0.4">
      <c r="B199" s="2"/>
      <c r="C199" s="21" t="s">
        <v>33</v>
      </c>
      <c r="D199" s="13">
        <v>90817</v>
      </c>
      <c r="E199" s="16">
        <f>D199/D200</f>
        <v>5.2128906496640384E-2</v>
      </c>
      <c r="F199" s="17">
        <v>99.84</v>
      </c>
      <c r="G199" s="15">
        <f t="shared" si="76"/>
        <v>5.2045500246245764</v>
      </c>
      <c r="I199" s="21" t="s">
        <v>33</v>
      </c>
      <c r="J199" s="52"/>
      <c r="K199" s="16" t="e">
        <f>J199/J200</f>
        <v>#DIV/0!</v>
      </c>
      <c r="L199" s="17">
        <v>99.84</v>
      </c>
      <c r="M199" s="15" t="e">
        <f t="shared" si="77"/>
        <v>#DIV/0!</v>
      </c>
      <c r="O199" s="38"/>
      <c r="P199" s="31">
        <f>SUM(P194:P198)</f>
        <v>0</v>
      </c>
      <c r="Q199" s="32" t="e">
        <f>SUM(Q194:Q198)</f>
        <v>#DIV/0!</v>
      </c>
      <c r="R199" s="33">
        <f>AVERAGE(R194:R198)</f>
        <v>99.927999999999997</v>
      </c>
      <c r="S199" s="41" t="e">
        <f>SUM(S194:S198)</f>
        <v>#DIV/0!</v>
      </c>
      <c r="U199" s="46"/>
      <c r="V199" s="42"/>
      <c r="W199" s="42"/>
      <c r="X199" s="42"/>
      <c r="Y199" s="48"/>
    </row>
    <row r="200" spans="1:25" ht="15" thickBot="1" x14ac:dyDescent="0.4">
      <c r="A200" s="10"/>
      <c r="B200" s="10"/>
      <c r="C200" s="10"/>
      <c r="D200" s="49">
        <f>SUM(D194:D199)</f>
        <v>1742162</v>
      </c>
      <c r="E200" s="50">
        <f>SUM(E194:E199)</f>
        <v>0.99999999999999989</v>
      </c>
      <c r="F200" s="51">
        <f>AVERAGE(F194:F199)</f>
        <v>99.966666666666654</v>
      </c>
      <c r="G200" s="26">
        <f>SUM(G194:G199)</f>
        <v>99.98861017517315</v>
      </c>
      <c r="I200" s="10"/>
      <c r="J200" s="49">
        <f>SUM(J194:J199)</f>
        <v>0</v>
      </c>
      <c r="K200" s="50" t="e">
        <f>SUM(K194:K199)</f>
        <v>#DIV/0!</v>
      </c>
      <c r="L200" s="51">
        <f>AVERAGE(L194:L199)</f>
        <v>99.966666666666654</v>
      </c>
      <c r="M200" s="26" t="e">
        <f>SUM(M194:M199)</f>
        <v>#DIV/0!</v>
      </c>
      <c r="O200" s="34"/>
      <c r="P200" s="34"/>
      <c r="Q200" s="34"/>
      <c r="R200" s="36"/>
      <c r="S200" s="40"/>
      <c r="U200" s="42"/>
      <c r="V200" s="42"/>
      <c r="W200" s="42"/>
      <c r="X200" s="44"/>
      <c r="Y200" s="45"/>
    </row>
    <row r="201" spans="1:25" ht="15" thickTop="1" x14ac:dyDescent="0.35">
      <c r="A201" s="29" t="s">
        <v>161</v>
      </c>
      <c r="B201" s="28"/>
      <c r="C201" s="28"/>
      <c r="D201" s="28"/>
      <c r="E201" s="28"/>
      <c r="F201" s="28"/>
      <c r="G201" s="28"/>
      <c r="I201" s="28"/>
      <c r="J201" s="28"/>
      <c r="K201" s="28"/>
      <c r="L201" s="28"/>
      <c r="M201" s="28"/>
      <c r="O201" s="28"/>
      <c r="P201" s="28"/>
      <c r="Q201" s="28"/>
      <c r="R201" s="28"/>
      <c r="S201" s="28"/>
      <c r="U201" s="28"/>
      <c r="V201" s="28"/>
      <c r="W201" s="28"/>
      <c r="X201" s="28"/>
      <c r="Y201" s="28"/>
    </row>
    <row r="202" spans="1:25" x14ac:dyDescent="0.35">
      <c r="A202" s="20" t="s">
        <v>162</v>
      </c>
      <c r="B202" s="20"/>
      <c r="C202" s="56" t="s">
        <v>115</v>
      </c>
      <c r="D202" s="11"/>
      <c r="E202" s="11"/>
      <c r="F202" s="11"/>
      <c r="G202" s="30" t="s">
        <v>115</v>
      </c>
      <c r="I202" s="56" t="s">
        <v>115</v>
      </c>
      <c r="J202" s="11"/>
      <c r="K202" s="11"/>
      <c r="L202" s="11"/>
      <c r="M202" s="30" t="s">
        <v>115</v>
      </c>
      <c r="O202" s="55" t="s">
        <v>116</v>
      </c>
      <c r="P202" s="34"/>
      <c r="Q202" s="34"/>
      <c r="R202" s="34"/>
      <c r="S202" s="35" t="s">
        <v>116</v>
      </c>
      <c r="U202" s="57" t="s">
        <v>117</v>
      </c>
      <c r="V202" s="42"/>
      <c r="W202" s="42"/>
      <c r="X202" s="42"/>
      <c r="Y202" s="43" t="s">
        <v>117</v>
      </c>
    </row>
    <row r="203" spans="1:25" ht="15" thickBot="1" x14ac:dyDescent="0.4">
      <c r="A203" s="2"/>
      <c r="B203" s="2"/>
      <c r="C203" s="2"/>
      <c r="D203" s="18" t="s">
        <v>118</v>
      </c>
      <c r="E203" s="19" t="s">
        <v>119</v>
      </c>
      <c r="F203" s="18" t="s">
        <v>120</v>
      </c>
      <c r="G203" s="12" t="s">
        <v>121</v>
      </c>
      <c r="I203" s="2"/>
      <c r="J203" s="18" t="s">
        <v>118</v>
      </c>
      <c r="K203" s="19" t="s">
        <v>119</v>
      </c>
      <c r="L203" s="18" t="s">
        <v>120</v>
      </c>
      <c r="M203" s="12" t="s">
        <v>121</v>
      </c>
      <c r="O203" s="34"/>
      <c r="P203" s="18" t="s">
        <v>118</v>
      </c>
      <c r="Q203" s="19" t="s">
        <v>119</v>
      </c>
      <c r="R203" s="18" t="s">
        <v>120</v>
      </c>
      <c r="S203" s="39" t="s">
        <v>121</v>
      </c>
      <c r="U203" s="42"/>
      <c r="V203" s="18" t="s">
        <v>118</v>
      </c>
      <c r="W203" s="19" t="s">
        <v>119</v>
      </c>
      <c r="X203" s="18" t="s">
        <v>120</v>
      </c>
      <c r="Y203" s="47" t="s">
        <v>121</v>
      </c>
    </row>
    <row r="204" spans="1:25" ht="15" thickTop="1" x14ac:dyDescent="0.35">
      <c r="A204" s="22" t="s">
        <v>122</v>
      </c>
      <c r="B204" s="2"/>
      <c r="C204" s="21" t="s">
        <v>25</v>
      </c>
      <c r="D204" s="25">
        <v>1299522</v>
      </c>
      <c r="E204" s="14">
        <f>D204/D210</f>
        <v>0.7458131578841648</v>
      </c>
      <c r="F204">
        <v>100</v>
      </c>
      <c r="G204" s="15">
        <f t="shared" ref="G204:G209" si="80">E204*F204</f>
        <v>74.581315788416475</v>
      </c>
      <c r="I204" s="21" t="s">
        <v>25</v>
      </c>
      <c r="J204" s="52"/>
      <c r="K204" s="14" t="e">
        <f>J204/J210</f>
        <v>#DIV/0!</v>
      </c>
      <c r="L204">
        <v>100</v>
      </c>
      <c r="M204" s="15" t="e">
        <f t="shared" ref="M204:M209" si="81">K204*L204</f>
        <v>#DIV/0!</v>
      </c>
      <c r="O204" s="38" t="s">
        <v>25</v>
      </c>
      <c r="P204" s="13"/>
      <c r="Q204" s="14" t="e">
        <f>P204/P209</f>
        <v>#DIV/0!</v>
      </c>
      <c r="R204">
        <v>99.96</v>
      </c>
      <c r="S204" s="40" t="e">
        <f t="shared" ref="S204:S207" si="82">Q204*R204</f>
        <v>#DIV/0!</v>
      </c>
      <c r="U204" s="46" t="s">
        <v>25</v>
      </c>
      <c r="V204" s="52"/>
      <c r="W204" s="14" t="e">
        <f>V204/V208</f>
        <v>#DIV/0!</v>
      </c>
      <c r="X204">
        <v>100</v>
      </c>
      <c r="Y204" s="48" t="e">
        <f t="shared" ref="Y204:Y205" si="83">W204*X204</f>
        <v>#DIV/0!</v>
      </c>
    </row>
    <row r="205" spans="1:25" x14ac:dyDescent="0.35">
      <c r="A205" s="23">
        <v>1296012</v>
      </c>
      <c r="B205" s="2"/>
      <c r="C205" s="21" t="s">
        <v>29</v>
      </c>
      <c r="D205" s="13">
        <v>132979</v>
      </c>
      <c r="E205" s="14">
        <f>D205/D210</f>
        <v>7.6318437027059441E-2</v>
      </c>
      <c r="F205">
        <v>99.96</v>
      </c>
      <c r="G205" s="15">
        <f t="shared" si="80"/>
        <v>7.6287909652248613</v>
      </c>
      <c r="I205" s="21" t="s">
        <v>29</v>
      </c>
      <c r="J205" s="52"/>
      <c r="K205" s="14" t="e">
        <f>J205/J210</f>
        <v>#DIV/0!</v>
      </c>
      <c r="L205">
        <v>99.96</v>
      </c>
      <c r="M205" s="15" t="e">
        <f t="shared" si="81"/>
        <v>#DIV/0!</v>
      </c>
      <c r="O205" s="38" t="s">
        <v>29</v>
      </c>
      <c r="P205" s="13"/>
      <c r="Q205" s="14" t="e">
        <f>P205/P209</f>
        <v>#DIV/0!</v>
      </c>
      <c r="R205">
        <v>99.92</v>
      </c>
      <c r="S205" s="40" t="e">
        <f t="shared" si="82"/>
        <v>#DIV/0!</v>
      </c>
      <c r="U205" s="46" t="s">
        <v>29</v>
      </c>
      <c r="V205" s="52"/>
      <c r="W205" s="14" t="e">
        <f>V205/V208</f>
        <v>#DIV/0!</v>
      </c>
      <c r="X205">
        <v>99.96</v>
      </c>
      <c r="Y205" s="48" t="e">
        <f t="shared" si="83"/>
        <v>#DIV/0!</v>
      </c>
    </row>
    <row r="206" spans="1:25" x14ac:dyDescent="0.35">
      <c r="A206" s="23">
        <v>12</v>
      </c>
      <c r="B206" s="2"/>
      <c r="C206" s="21" t="s">
        <v>30</v>
      </c>
      <c r="D206" s="13">
        <v>6510</v>
      </c>
      <c r="E206" s="14">
        <f>D206/D210</f>
        <v>3.7361765770998201E-3</v>
      </c>
      <c r="F206">
        <v>100</v>
      </c>
      <c r="G206" s="15">
        <f t="shared" si="80"/>
        <v>0.37361765770998201</v>
      </c>
      <c r="I206" s="21" t="s">
        <v>30</v>
      </c>
      <c r="J206" s="52"/>
      <c r="K206" s="14" t="e">
        <f>J206/J210</f>
        <v>#DIV/0!</v>
      </c>
      <c r="L206">
        <v>100</v>
      </c>
      <c r="M206" s="15" t="e">
        <f t="shared" si="81"/>
        <v>#DIV/0!</v>
      </c>
      <c r="O206" s="38" t="s">
        <v>30</v>
      </c>
      <c r="P206" s="13"/>
      <c r="Q206" s="14" t="e">
        <f>P206/P209</f>
        <v>#DIV/0!</v>
      </c>
      <c r="R206">
        <v>99.96</v>
      </c>
      <c r="S206" s="40" t="e">
        <f t="shared" si="82"/>
        <v>#DIV/0!</v>
      </c>
      <c r="U206" s="46" t="s">
        <v>31</v>
      </c>
      <c r="V206" s="52"/>
      <c r="W206" s="14" t="e">
        <f>V206/V208</f>
        <v>#DIV/0!</v>
      </c>
      <c r="X206">
        <v>100</v>
      </c>
      <c r="Y206" s="48" t="e">
        <f>W206*X206</f>
        <v>#DIV/0!</v>
      </c>
    </row>
    <row r="207" spans="1:25" x14ac:dyDescent="0.35">
      <c r="A207" s="23">
        <v>3498</v>
      </c>
      <c r="B207" s="2"/>
      <c r="C207" s="21" t="s">
        <v>31</v>
      </c>
      <c r="D207" s="13">
        <v>212271</v>
      </c>
      <c r="E207" s="14">
        <f>D207/D210</f>
        <v>0.12182518251882579</v>
      </c>
      <c r="F207">
        <v>100</v>
      </c>
      <c r="G207" s="15">
        <f t="shared" si="80"/>
        <v>12.182518251882579</v>
      </c>
      <c r="I207" s="21" t="s">
        <v>31</v>
      </c>
      <c r="J207" s="52"/>
      <c r="K207" s="14" t="e">
        <f>J207/J210</f>
        <v>#DIV/0!</v>
      </c>
      <c r="L207">
        <v>100</v>
      </c>
      <c r="M207" s="15" t="e">
        <f t="shared" si="81"/>
        <v>#DIV/0!</v>
      </c>
      <c r="O207" s="38" t="s">
        <v>31</v>
      </c>
      <c r="P207" s="13"/>
      <c r="Q207" s="14" t="e">
        <f>P207/P209</f>
        <v>#DIV/0!</v>
      </c>
      <c r="R207">
        <v>100</v>
      </c>
      <c r="S207" s="40" t="e">
        <f t="shared" si="82"/>
        <v>#DIV/0!</v>
      </c>
      <c r="U207" s="46" t="s">
        <v>33</v>
      </c>
      <c r="V207" s="52"/>
      <c r="W207" s="14" t="e">
        <f>V207/V208</f>
        <v>#DIV/0!</v>
      </c>
      <c r="X207">
        <v>99.84</v>
      </c>
      <c r="Y207" s="48" t="e">
        <f>W207*X207</f>
        <v>#DIV/0!</v>
      </c>
    </row>
    <row r="208" spans="1:25" ht="15" thickBot="1" x14ac:dyDescent="0.4">
      <c r="A208" s="24">
        <f>SUM(A205:A207)</f>
        <v>1299522</v>
      </c>
      <c r="B208" s="2"/>
      <c r="C208" s="21" t="s">
        <v>32</v>
      </c>
      <c r="D208">
        <v>173</v>
      </c>
      <c r="E208" s="14">
        <f>D208/D210</f>
        <v>9.9287027317706433E-5</v>
      </c>
      <c r="F208">
        <v>100</v>
      </c>
      <c r="G208" s="15">
        <f t="shared" si="80"/>
        <v>9.9287027317706434E-3</v>
      </c>
      <c r="I208" s="21" t="s">
        <v>32</v>
      </c>
      <c r="J208" s="52"/>
      <c r="K208" s="14" t="e">
        <f>J208/J210</f>
        <v>#DIV/0!</v>
      </c>
      <c r="L208">
        <v>100</v>
      </c>
      <c r="M208" s="15" t="e">
        <f t="shared" si="81"/>
        <v>#DIV/0!</v>
      </c>
      <c r="O208" s="38" t="s">
        <v>33</v>
      </c>
      <c r="P208" s="13"/>
      <c r="Q208" s="14" t="e">
        <f>P208/P209</f>
        <v>#DIV/0!</v>
      </c>
      <c r="R208">
        <v>99.8</v>
      </c>
      <c r="S208" s="40" t="e">
        <f>Q208*R208</f>
        <v>#DIV/0!</v>
      </c>
      <c r="U208" s="46"/>
      <c r="V208" s="52">
        <f>SUM(V204:V207)</f>
        <v>0</v>
      </c>
      <c r="W208" s="32" t="e">
        <f>SUM(W204:W207)</f>
        <v>#DIV/0!</v>
      </c>
      <c r="X208" s="33">
        <f>AVERAGE(X204:X207)</f>
        <v>99.949999999999989</v>
      </c>
      <c r="Y208" s="58" t="e">
        <f>SUM(Y204:Y207)</f>
        <v>#DIV/0!</v>
      </c>
    </row>
    <row r="209" spans="1:25" ht="15.5" thickTop="1" thickBot="1" x14ac:dyDescent="0.4">
      <c r="B209" s="2"/>
      <c r="C209" s="21" t="s">
        <v>33</v>
      </c>
      <c r="D209" s="13">
        <v>90968</v>
      </c>
      <c r="E209" s="16">
        <f>D209/D210</f>
        <v>5.220775896553248E-2</v>
      </c>
      <c r="F209" s="17">
        <v>99.84</v>
      </c>
      <c r="G209" s="15">
        <f t="shared" si="80"/>
        <v>5.2124226551187629</v>
      </c>
      <c r="I209" s="21" t="s">
        <v>33</v>
      </c>
      <c r="J209" s="52"/>
      <c r="K209" s="16" t="e">
        <f>J209/J210</f>
        <v>#DIV/0!</v>
      </c>
      <c r="L209" s="17">
        <v>99.84</v>
      </c>
      <c r="M209" s="15" t="e">
        <f t="shared" si="81"/>
        <v>#DIV/0!</v>
      </c>
      <c r="O209" s="38"/>
      <c r="P209" s="31">
        <f>SUM(P204:P208)</f>
        <v>0</v>
      </c>
      <c r="Q209" s="32" t="e">
        <f>SUM(Q204:Q208)</f>
        <v>#DIV/0!</v>
      </c>
      <c r="R209" s="33">
        <f>AVERAGE(R204:R208)</f>
        <v>99.927999999999997</v>
      </c>
      <c r="S209" s="41" t="e">
        <f>SUM(S204:S208)</f>
        <v>#DIV/0!</v>
      </c>
      <c r="U209" s="46"/>
      <c r="V209" s="42"/>
      <c r="W209" s="42"/>
      <c r="X209" s="42"/>
      <c r="Y209" s="48"/>
    </row>
    <row r="210" spans="1:25" ht="15" thickBot="1" x14ac:dyDescent="0.4">
      <c r="A210" s="10"/>
      <c r="B210" s="10"/>
      <c r="C210" s="10"/>
      <c r="D210" s="49">
        <f>SUM(D204:D209)</f>
        <v>1742423</v>
      </c>
      <c r="E210" s="50">
        <f>SUM(E204:E209)</f>
        <v>1</v>
      </c>
      <c r="F210" s="51">
        <f>AVERAGE(F204:F209)</f>
        <v>99.966666666666654</v>
      </c>
      <c r="G210" s="26">
        <f>SUM(G204:G209)</f>
        <v>99.988594021084438</v>
      </c>
      <c r="I210" s="10"/>
      <c r="J210" s="49">
        <f>SUM(J204:J209)</f>
        <v>0</v>
      </c>
      <c r="K210" s="50" t="e">
        <f>SUM(K204:K209)</f>
        <v>#DIV/0!</v>
      </c>
      <c r="L210" s="51">
        <f>AVERAGE(L204:L209)</f>
        <v>99.966666666666654</v>
      </c>
      <c r="M210" s="26" t="e">
        <f>SUM(M204:M209)</f>
        <v>#DIV/0!</v>
      </c>
      <c r="O210" s="34"/>
      <c r="P210" s="34"/>
      <c r="Q210" s="34"/>
      <c r="R210" s="36"/>
      <c r="S210" s="40"/>
      <c r="U210" s="42"/>
      <c r="V210" s="42"/>
      <c r="W210" s="42"/>
      <c r="X210" s="44"/>
      <c r="Y210" s="45"/>
    </row>
    <row r="211" spans="1:25" ht="15" thickTop="1" x14ac:dyDescent="0.35">
      <c r="A211" s="29" t="s">
        <v>163</v>
      </c>
      <c r="B211" s="28"/>
      <c r="C211" s="28"/>
      <c r="D211" s="28"/>
      <c r="E211" s="28"/>
      <c r="F211" s="28"/>
      <c r="G211" s="28"/>
      <c r="I211" s="28"/>
      <c r="J211" s="28"/>
      <c r="K211" s="28"/>
      <c r="L211" s="28"/>
      <c r="M211" s="28"/>
      <c r="O211" s="28"/>
      <c r="P211" s="28"/>
      <c r="Q211" s="28"/>
      <c r="R211" s="28"/>
      <c r="S211" s="28"/>
      <c r="U211" s="28"/>
      <c r="V211" s="28"/>
      <c r="W211" s="28"/>
      <c r="X211" s="28"/>
      <c r="Y211" s="28"/>
    </row>
    <row r="212" spans="1:25" x14ac:dyDescent="0.35">
      <c r="A212" s="20" t="s">
        <v>164</v>
      </c>
      <c r="B212" s="20"/>
      <c r="C212" s="56" t="s">
        <v>115</v>
      </c>
      <c r="D212" s="11"/>
      <c r="E212" s="11"/>
      <c r="F212" s="11"/>
      <c r="G212" s="30" t="s">
        <v>115</v>
      </c>
      <c r="I212" s="56" t="s">
        <v>115</v>
      </c>
      <c r="J212" s="11"/>
      <c r="K212" s="11"/>
      <c r="L212" s="11"/>
      <c r="M212" s="30" t="s">
        <v>115</v>
      </c>
      <c r="O212" s="55" t="s">
        <v>116</v>
      </c>
      <c r="P212" s="34"/>
      <c r="Q212" s="34"/>
      <c r="R212" s="34"/>
      <c r="S212" s="35" t="s">
        <v>116</v>
      </c>
      <c r="U212" s="57" t="s">
        <v>117</v>
      </c>
      <c r="V212" s="42"/>
      <c r="W212" s="42"/>
      <c r="X212" s="42"/>
      <c r="Y212" s="43" t="s">
        <v>117</v>
      </c>
    </row>
    <row r="213" spans="1:25" ht="15" thickBot="1" x14ac:dyDescent="0.4">
      <c r="A213" s="2"/>
      <c r="B213" s="2"/>
      <c r="C213" s="2"/>
      <c r="D213" s="18" t="s">
        <v>118</v>
      </c>
      <c r="E213" s="19" t="s">
        <v>119</v>
      </c>
      <c r="F213" s="18" t="s">
        <v>120</v>
      </c>
      <c r="G213" s="12" t="s">
        <v>121</v>
      </c>
      <c r="I213" s="2"/>
      <c r="J213" s="18" t="s">
        <v>118</v>
      </c>
      <c r="K213" s="19" t="s">
        <v>119</v>
      </c>
      <c r="L213" s="18" t="s">
        <v>120</v>
      </c>
      <c r="M213" s="12" t="s">
        <v>121</v>
      </c>
      <c r="O213" s="34"/>
      <c r="P213" s="18" t="s">
        <v>118</v>
      </c>
      <c r="Q213" s="19" t="s">
        <v>119</v>
      </c>
      <c r="R213" s="18" t="s">
        <v>120</v>
      </c>
      <c r="S213" s="39" t="s">
        <v>121</v>
      </c>
      <c r="U213" s="42"/>
      <c r="V213" s="18" t="s">
        <v>118</v>
      </c>
      <c r="W213" s="19" t="s">
        <v>119</v>
      </c>
      <c r="X213" s="18" t="s">
        <v>120</v>
      </c>
      <c r="Y213" s="47" t="s">
        <v>121</v>
      </c>
    </row>
    <row r="214" spans="1:25" ht="15" thickTop="1" x14ac:dyDescent="0.35">
      <c r="A214" s="22" t="s">
        <v>122</v>
      </c>
      <c r="B214" s="2"/>
      <c r="C214" s="21" t="s">
        <v>25</v>
      </c>
      <c r="D214" s="25">
        <v>1266952</v>
      </c>
      <c r="E214" s="14">
        <f>D214/D220</f>
        <v>0.74091973435822345</v>
      </c>
      <c r="F214">
        <v>100</v>
      </c>
      <c r="G214" s="15">
        <f t="shared" ref="G214:G219" si="84">E214*F214</f>
        <v>74.091973435822339</v>
      </c>
      <c r="I214" s="21" t="s">
        <v>25</v>
      </c>
      <c r="J214" s="52"/>
      <c r="K214" s="14" t="e">
        <f>J214/J220</f>
        <v>#DIV/0!</v>
      </c>
      <c r="L214">
        <v>100</v>
      </c>
      <c r="M214" s="15" t="e">
        <f t="shared" ref="M214:M219" si="85">K214*L214</f>
        <v>#DIV/0!</v>
      </c>
      <c r="O214" s="38" t="s">
        <v>25</v>
      </c>
      <c r="P214" s="13"/>
      <c r="Q214" s="14" t="e">
        <f>P214/P219</f>
        <v>#DIV/0!</v>
      </c>
      <c r="R214">
        <v>99.96</v>
      </c>
      <c r="S214" s="40" t="e">
        <f t="shared" ref="S214:S217" si="86">Q214*R214</f>
        <v>#DIV/0!</v>
      </c>
      <c r="U214" s="46" t="s">
        <v>25</v>
      </c>
      <c r="V214" s="52"/>
      <c r="W214" s="14" t="e">
        <f>V214/V218</f>
        <v>#DIV/0!</v>
      </c>
      <c r="X214">
        <v>100</v>
      </c>
      <c r="Y214" s="48" t="e">
        <f t="shared" ref="Y214:Y215" si="87">W214*X214</f>
        <v>#DIV/0!</v>
      </c>
    </row>
    <row r="215" spans="1:25" x14ac:dyDescent="0.35">
      <c r="A215" s="23">
        <v>1263442</v>
      </c>
      <c r="B215" s="2"/>
      <c r="C215" s="21" t="s">
        <v>29</v>
      </c>
      <c r="D215" s="13">
        <v>133217</v>
      </c>
      <c r="E215" s="14">
        <f>D215/D220</f>
        <v>7.7905954015621309E-2</v>
      </c>
      <c r="F215">
        <v>99.96</v>
      </c>
      <c r="G215" s="15">
        <f t="shared" si="84"/>
        <v>7.7874791634015059</v>
      </c>
      <c r="I215" s="21" t="s">
        <v>29</v>
      </c>
      <c r="J215" s="52"/>
      <c r="K215" s="14" t="e">
        <f>J215/J220</f>
        <v>#DIV/0!</v>
      </c>
      <c r="L215">
        <v>99.96</v>
      </c>
      <c r="M215" s="15" t="e">
        <f t="shared" si="85"/>
        <v>#DIV/0!</v>
      </c>
      <c r="O215" s="38" t="s">
        <v>29</v>
      </c>
      <c r="P215" s="13"/>
      <c r="Q215" s="14" t="e">
        <f>P215/P219</f>
        <v>#DIV/0!</v>
      </c>
      <c r="R215">
        <v>99.92</v>
      </c>
      <c r="S215" s="40" t="e">
        <f t="shared" si="86"/>
        <v>#DIV/0!</v>
      </c>
      <c r="U215" s="46" t="s">
        <v>29</v>
      </c>
      <c r="V215" s="52"/>
      <c r="W215" s="14" t="e">
        <f>V215/V218</f>
        <v>#DIV/0!</v>
      </c>
      <c r="X215">
        <v>99.96</v>
      </c>
      <c r="Y215" s="48" t="e">
        <f t="shared" si="87"/>
        <v>#DIV/0!</v>
      </c>
    </row>
    <row r="216" spans="1:25" x14ac:dyDescent="0.35">
      <c r="A216" s="23">
        <v>12</v>
      </c>
      <c r="B216" s="2"/>
      <c r="C216" s="21" t="s">
        <v>30</v>
      </c>
      <c r="D216" s="13">
        <v>6512</v>
      </c>
      <c r="E216" s="14">
        <f>D216/D220</f>
        <v>3.8082494918045442E-3</v>
      </c>
      <c r="F216">
        <v>100</v>
      </c>
      <c r="G216" s="15">
        <f t="shared" si="84"/>
        <v>0.3808249491804544</v>
      </c>
      <c r="I216" s="21" t="s">
        <v>30</v>
      </c>
      <c r="J216" s="52"/>
      <c r="K216" s="14" t="e">
        <f>J216/J220</f>
        <v>#DIV/0!</v>
      </c>
      <c r="L216">
        <v>100</v>
      </c>
      <c r="M216" s="15" t="e">
        <f t="shared" si="85"/>
        <v>#DIV/0!</v>
      </c>
      <c r="O216" s="38" t="s">
        <v>30</v>
      </c>
      <c r="P216" s="13"/>
      <c r="Q216" s="14" t="e">
        <f>P216/P219</f>
        <v>#DIV/0!</v>
      </c>
      <c r="R216">
        <v>99.96</v>
      </c>
      <c r="S216" s="40" t="e">
        <f t="shared" si="86"/>
        <v>#DIV/0!</v>
      </c>
      <c r="U216" s="46" t="s">
        <v>31</v>
      </c>
      <c r="V216" s="52"/>
      <c r="W216" s="14" t="e">
        <f>V216/V218</f>
        <v>#DIV/0!</v>
      </c>
      <c r="X216">
        <v>100</v>
      </c>
      <c r="Y216" s="48" t="e">
        <f>W216*X216</f>
        <v>#DIV/0!</v>
      </c>
    </row>
    <row r="217" spans="1:25" x14ac:dyDescent="0.35">
      <c r="A217" s="23">
        <v>3498</v>
      </c>
      <c r="B217" s="2"/>
      <c r="C217" s="21" t="s">
        <v>31</v>
      </c>
      <c r="D217" s="13">
        <v>212222</v>
      </c>
      <c r="E217" s="14">
        <f>D217/D220</f>
        <v>0.12410846493392874</v>
      </c>
      <c r="F217">
        <v>100</v>
      </c>
      <c r="G217" s="15">
        <f t="shared" si="84"/>
        <v>12.410846493392874</v>
      </c>
      <c r="I217" s="21" t="s">
        <v>31</v>
      </c>
      <c r="J217" s="52"/>
      <c r="K217" s="14" t="e">
        <f>J217/J220</f>
        <v>#DIV/0!</v>
      </c>
      <c r="L217">
        <v>100</v>
      </c>
      <c r="M217" s="15" t="e">
        <f t="shared" si="85"/>
        <v>#DIV/0!</v>
      </c>
      <c r="O217" s="38" t="s">
        <v>31</v>
      </c>
      <c r="P217" s="13"/>
      <c r="Q217" s="14" t="e">
        <f>P217/P219</f>
        <v>#DIV/0!</v>
      </c>
      <c r="R217">
        <v>100</v>
      </c>
      <c r="S217" s="40" t="e">
        <f t="shared" si="86"/>
        <v>#DIV/0!</v>
      </c>
      <c r="U217" s="46" t="s">
        <v>33</v>
      </c>
      <c r="V217" s="52"/>
      <c r="W217" s="14" t="e">
        <f>V217/V218</f>
        <v>#DIV/0!</v>
      </c>
      <c r="X217">
        <v>99.84</v>
      </c>
      <c r="Y217" s="48" t="e">
        <f>W217*X217</f>
        <v>#DIV/0!</v>
      </c>
    </row>
    <row r="218" spans="1:25" ht="15" thickBot="1" x14ac:dyDescent="0.4">
      <c r="A218" s="24">
        <f>SUM(A215:A217)</f>
        <v>1266952</v>
      </c>
      <c r="B218" s="2"/>
      <c r="C218" s="21" t="s">
        <v>32</v>
      </c>
      <c r="D218">
        <v>173</v>
      </c>
      <c r="E218" s="14">
        <f>D218/D220</f>
        <v>1.0117124724849296E-4</v>
      </c>
      <c r="F218">
        <v>100</v>
      </c>
      <c r="G218" s="15">
        <f t="shared" si="84"/>
        <v>1.0117124724849295E-2</v>
      </c>
      <c r="I218" s="21" t="s">
        <v>32</v>
      </c>
      <c r="J218" s="52"/>
      <c r="K218" s="14" t="e">
        <f>J218/J220</f>
        <v>#DIV/0!</v>
      </c>
      <c r="L218">
        <v>100</v>
      </c>
      <c r="M218" s="15" t="e">
        <f t="shared" si="85"/>
        <v>#DIV/0!</v>
      </c>
      <c r="O218" s="38" t="s">
        <v>33</v>
      </c>
      <c r="P218" s="13"/>
      <c r="Q218" s="14" t="e">
        <f>P218/P219</f>
        <v>#DIV/0!</v>
      </c>
      <c r="R218">
        <v>99.8</v>
      </c>
      <c r="S218" s="40" t="e">
        <f>Q218*R218</f>
        <v>#DIV/0!</v>
      </c>
      <c r="U218" s="46"/>
      <c r="V218" s="52">
        <f>SUM(V214:V217)</f>
        <v>0</v>
      </c>
      <c r="W218" s="32" t="e">
        <f>SUM(W214:W217)</f>
        <v>#DIV/0!</v>
      </c>
      <c r="X218" s="33">
        <f>AVERAGE(X214:X217)</f>
        <v>99.949999999999989</v>
      </c>
      <c r="Y218" s="58" t="e">
        <f>SUM(Y214:Y217)</f>
        <v>#DIV/0!</v>
      </c>
    </row>
    <row r="219" spans="1:25" ht="15.5" thickTop="1" thickBot="1" x14ac:dyDescent="0.4">
      <c r="B219" s="2"/>
      <c r="C219" s="21" t="s">
        <v>33</v>
      </c>
      <c r="D219" s="13">
        <v>90896</v>
      </c>
      <c r="E219" s="16">
        <f>D219/D220</f>
        <v>5.3156425953173506E-2</v>
      </c>
      <c r="F219" s="17">
        <v>99.84</v>
      </c>
      <c r="G219" s="15">
        <f t="shared" si="84"/>
        <v>5.3071375671648431</v>
      </c>
      <c r="I219" s="21" t="s">
        <v>33</v>
      </c>
      <c r="J219" s="52"/>
      <c r="K219" s="16" t="e">
        <f>J219/J220</f>
        <v>#DIV/0!</v>
      </c>
      <c r="L219" s="17">
        <v>99.84</v>
      </c>
      <c r="M219" s="15" t="e">
        <f t="shared" si="85"/>
        <v>#DIV/0!</v>
      </c>
      <c r="O219" s="38"/>
      <c r="P219" s="31">
        <f>SUM(P214:P218)</f>
        <v>0</v>
      </c>
      <c r="Q219" s="32" t="e">
        <f>SUM(Q214:Q218)</f>
        <v>#DIV/0!</v>
      </c>
      <c r="R219" s="33">
        <f>AVERAGE(R214:R218)</f>
        <v>99.927999999999997</v>
      </c>
      <c r="S219" s="41" t="e">
        <f>SUM(S214:S218)</f>
        <v>#DIV/0!</v>
      </c>
      <c r="U219" s="46"/>
      <c r="V219" s="42"/>
      <c r="W219" s="42"/>
      <c r="X219" s="42"/>
      <c r="Y219" s="48"/>
    </row>
    <row r="220" spans="1:25" ht="15" thickBot="1" x14ac:dyDescent="0.4">
      <c r="A220" s="10"/>
      <c r="B220" s="10"/>
      <c r="C220" s="10"/>
      <c r="D220" s="49">
        <f>SUM(D214:D219)</f>
        <v>1709972</v>
      </c>
      <c r="E220" s="50">
        <f>SUM(E214:E219)</f>
        <v>1.0000000000000002</v>
      </c>
      <c r="F220" s="51">
        <f>AVERAGE(F214:F219)</f>
        <v>99.966666666666654</v>
      </c>
      <c r="G220" s="26">
        <f>SUM(G214:G219)</f>
        <v>99.988378733686844</v>
      </c>
      <c r="I220" s="10"/>
      <c r="J220" s="49">
        <f>SUM(J214:J219)</f>
        <v>0</v>
      </c>
      <c r="K220" s="50" t="e">
        <f>SUM(K214:K219)</f>
        <v>#DIV/0!</v>
      </c>
      <c r="L220" s="51">
        <f>AVERAGE(L214:L219)</f>
        <v>99.966666666666654</v>
      </c>
      <c r="M220" s="26" t="e">
        <f>SUM(M214:M219)</f>
        <v>#DIV/0!</v>
      </c>
      <c r="O220" s="34"/>
      <c r="P220" s="34"/>
      <c r="Q220" s="34"/>
      <c r="R220" s="36"/>
      <c r="S220" s="40"/>
      <c r="U220" s="42"/>
      <c r="V220" s="42"/>
      <c r="W220" s="42"/>
      <c r="X220" s="44"/>
      <c r="Y220" s="45"/>
    </row>
    <row r="221" spans="1:25" ht="15" thickTop="1" x14ac:dyDescent="0.35">
      <c r="A221" s="29" t="s">
        <v>165</v>
      </c>
      <c r="B221" s="28"/>
      <c r="C221" s="28"/>
      <c r="D221" s="28"/>
      <c r="E221" s="28"/>
      <c r="F221" s="28"/>
      <c r="G221" s="28"/>
      <c r="I221" s="28"/>
      <c r="J221" s="28"/>
      <c r="K221" s="28"/>
      <c r="L221" s="28"/>
      <c r="M221" s="28"/>
      <c r="O221" s="28"/>
      <c r="P221" s="28"/>
      <c r="Q221" s="28"/>
      <c r="R221" s="28"/>
      <c r="S221" s="28"/>
      <c r="U221" s="28"/>
      <c r="V221" s="28"/>
      <c r="W221" s="28"/>
      <c r="X221" s="28"/>
      <c r="Y221" s="28"/>
    </row>
    <row r="222" spans="1:25" x14ac:dyDescent="0.35">
      <c r="A222" s="20" t="s">
        <v>166</v>
      </c>
      <c r="B222" s="20"/>
      <c r="C222" s="56" t="s">
        <v>115</v>
      </c>
      <c r="D222" s="11"/>
      <c r="E222" s="11"/>
      <c r="F222" s="11"/>
      <c r="G222" s="30" t="s">
        <v>115</v>
      </c>
      <c r="I222" s="56" t="s">
        <v>115</v>
      </c>
      <c r="J222" s="11"/>
      <c r="K222" s="11"/>
      <c r="L222" s="11"/>
      <c r="M222" s="30" t="s">
        <v>115</v>
      </c>
      <c r="O222" s="55" t="s">
        <v>116</v>
      </c>
      <c r="P222" s="34"/>
      <c r="Q222" s="34"/>
      <c r="R222" s="34"/>
      <c r="S222" s="35" t="s">
        <v>116</v>
      </c>
      <c r="U222" s="57" t="s">
        <v>117</v>
      </c>
      <c r="V222" s="42"/>
      <c r="W222" s="42"/>
      <c r="X222" s="42"/>
      <c r="Y222" s="43" t="s">
        <v>117</v>
      </c>
    </row>
    <row r="223" spans="1:25" ht="15" thickBot="1" x14ac:dyDescent="0.4">
      <c r="A223" s="2"/>
      <c r="B223" s="2"/>
      <c r="C223" s="2"/>
      <c r="D223" s="18" t="s">
        <v>118</v>
      </c>
      <c r="E223" s="19" t="s">
        <v>119</v>
      </c>
      <c r="F223" s="18" t="s">
        <v>120</v>
      </c>
      <c r="G223" s="12" t="s">
        <v>121</v>
      </c>
      <c r="I223" s="2"/>
      <c r="J223" s="18" t="s">
        <v>118</v>
      </c>
      <c r="K223" s="19" t="s">
        <v>119</v>
      </c>
      <c r="L223" s="18" t="s">
        <v>120</v>
      </c>
      <c r="M223" s="12" t="s">
        <v>121</v>
      </c>
      <c r="O223" s="34"/>
      <c r="P223" s="18" t="s">
        <v>118</v>
      </c>
      <c r="Q223" s="19" t="s">
        <v>119</v>
      </c>
      <c r="R223" s="18" t="s">
        <v>120</v>
      </c>
      <c r="S223" s="39" t="s">
        <v>121</v>
      </c>
      <c r="U223" s="42"/>
      <c r="V223" s="18" t="s">
        <v>118</v>
      </c>
      <c r="W223" s="19" t="s">
        <v>119</v>
      </c>
      <c r="X223" s="18" t="s">
        <v>120</v>
      </c>
      <c r="Y223" s="47" t="s">
        <v>121</v>
      </c>
    </row>
    <row r="224" spans="1:25" ht="15" thickTop="1" x14ac:dyDescent="0.35">
      <c r="A224" s="22" t="s">
        <v>122</v>
      </c>
      <c r="B224" s="2"/>
      <c r="C224" s="21" t="s">
        <v>25</v>
      </c>
      <c r="D224" s="25">
        <v>1271352</v>
      </c>
      <c r="E224" s="14">
        <f>D224/D230</f>
        <v>0.74145838484974314</v>
      </c>
      <c r="F224">
        <v>100</v>
      </c>
      <c r="G224" s="15">
        <f t="shared" ref="G224:G229" si="88">E224*F224</f>
        <v>74.14583848497432</v>
      </c>
      <c r="I224" s="21" t="s">
        <v>25</v>
      </c>
      <c r="J224" s="52"/>
      <c r="K224" s="14" t="e">
        <f>J224/J230</f>
        <v>#DIV/0!</v>
      </c>
      <c r="L224">
        <v>100</v>
      </c>
      <c r="M224" s="15" t="e">
        <f t="shared" ref="M224:M229" si="89">K224*L224</f>
        <v>#DIV/0!</v>
      </c>
      <c r="O224" s="38" t="s">
        <v>25</v>
      </c>
      <c r="P224" s="13"/>
      <c r="Q224" s="14" t="e">
        <f>P224/P229</f>
        <v>#DIV/0!</v>
      </c>
      <c r="R224">
        <v>99.96</v>
      </c>
      <c r="S224" s="40" t="e">
        <f t="shared" ref="S224:S227" si="90">Q224*R224</f>
        <v>#DIV/0!</v>
      </c>
      <c r="U224" s="46" t="s">
        <v>25</v>
      </c>
      <c r="V224" s="52"/>
      <c r="W224" s="14" t="e">
        <f>V224/V228</f>
        <v>#DIV/0!</v>
      </c>
      <c r="X224">
        <v>100</v>
      </c>
      <c r="Y224" s="48" t="e">
        <f t="shared" ref="Y224:Y225" si="91">W224*X224</f>
        <v>#DIV/0!</v>
      </c>
    </row>
    <row r="225" spans="1:25" x14ac:dyDescent="0.35">
      <c r="A225" s="23">
        <v>1267842</v>
      </c>
      <c r="B225" s="2"/>
      <c r="C225" s="21" t="s">
        <v>29</v>
      </c>
      <c r="D225" s="13">
        <v>133939</v>
      </c>
      <c r="E225" s="14">
        <f>D225/D230</f>
        <v>7.8113846211269378E-2</v>
      </c>
      <c r="F225">
        <v>99.96</v>
      </c>
      <c r="G225" s="15">
        <f t="shared" si="88"/>
        <v>7.8082600672784865</v>
      </c>
      <c r="I225" s="21" t="s">
        <v>29</v>
      </c>
      <c r="J225" s="52"/>
      <c r="K225" s="14" t="e">
        <f>J225/J230</f>
        <v>#DIV/0!</v>
      </c>
      <c r="L225">
        <v>99.96</v>
      </c>
      <c r="M225" s="15" t="e">
        <f t="shared" si="89"/>
        <v>#DIV/0!</v>
      </c>
      <c r="O225" s="38" t="s">
        <v>29</v>
      </c>
      <c r="P225" s="13"/>
      <c r="Q225" s="14" t="e">
        <f>P225/P229</f>
        <v>#DIV/0!</v>
      </c>
      <c r="R225">
        <v>99.92</v>
      </c>
      <c r="S225" s="40" t="e">
        <f t="shared" si="90"/>
        <v>#DIV/0!</v>
      </c>
      <c r="U225" s="46" t="s">
        <v>29</v>
      </c>
      <c r="V225" s="52"/>
      <c r="W225" s="14" t="e">
        <f>V225/V228</f>
        <v>#DIV/0!</v>
      </c>
      <c r="X225">
        <v>99.96</v>
      </c>
      <c r="Y225" s="48" t="e">
        <f t="shared" si="91"/>
        <v>#DIV/0!</v>
      </c>
    </row>
    <row r="226" spans="1:25" x14ac:dyDescent="0.35">
      <c r="A226" s="23">
        <v>12</v>
      </c>
      <c r="B226" s="2"/>
      <c r="C226" s="21" t="s">
        <v>30</v>
      </c>
      <c r="D226" s="13">
        <v>6494</v>
      </c>
      <c r="E226" s="14">
        <f>D226/D230</f>
        <v>3.7873309289750061E-3</v>
      </c>
      <c r="F226">
        <v>100</v>
      </c>
      <c r="G226" s="15">
        <f t="shared" si="88"/>
        <v>0.37873309289750062</v>
      </c>
      <c r="I226" s="21" t="s">
        <v>30</v>
      </c>
      <c r="J226" s="52"/>
      <c r="K226" s="14" t="e">
        <f>J226/J230</f>
        <v>#DIV/0!</v>
      </c>
      <c r="L226">
        <v>100</v>
      </c>
      <c r="M226" s="15" t="e">
        <f t="shared" si="89"/>
        <v>#DIV/0!</v>
      </c>
      <c r="O226" s="38" t="s">
        <v>30</v>
      </c>
      <c r="P226" s="13"/>
      <c r="Q226" s="14" t="e">
        <f>P226/P229</f>
        <v>#DIV/0!</v>
      </c>
      <c r="R226">
        <v>99.96</v>
      </c>
      <c r="S226" s="40" t="e">
        <f t="shared" si="90"/>
        <v>#DIV/0!</v>
      </c>
      <c r="U226" s="46" t="s">
        <v>31</v>
      </c>
      <c r="V226" s="52"/>
      <c r="W226" s="14" t="e">
        <f>V226/V228</f>
        <v>#DIV/0!</v>
      </c>
      <c r="X226">
        <v>100</v>
      </c>
      <c r="Y226" s="48" t="e">
        <f>W226*X226</f>
        <v>#DIV/0!</v>
      </c>
    </row>
    <row r="227" spans="1:25" x14ac:dyDescent="0.35">
      <c r="A227" s="23">
        <v>3498</v>
      </c>
      <c r="B227" s="2"/>
      <c r="C227" s="21" t="s">
        <v>31</v>
      </c>
      <c r="D227" s="13">
        <v>211820</v>
      </c>
      <c r="E227" s="14">
        <f>D227/D230</f>
        <v>0.12353440674091251</v>
      </c>
      <c r="F227">
        <v>100</v>
      </c>
      <c r="G227" s="15">
        <f t="shared" si="88"/>
        <v>12.353440674091251</v>
      </c>
      <c r="I227" s="21" t="s">
        <v>31</v>
      </c>
      <c r="J227" s="52"/>
      <c r="K227" s="14" t="e">
        <f>J227/J230</f>
        <v>#DIV/0!</v>
      </c>
      <c r="L227">
        <v>100</v>
      </c>
      <c r="M227" s="15" t="e">
        <f t="shared" si="89"/>
        <v>#DIV/0!</v>
      </c>
      <c r="O227" s="38" t="s">
        <v>31</v>
      </c>
      <c r="P227" s="13"/>
      <c r="Q227" s="14" t="e">
        <f>P227/P229</f>
        <v>#DIV/0!</v>
      </c>
      <c r="R227">
        <v>100</v>
      </c>
      <c r="S227" s="40" t="e">
        <f t="shared" si="90"/>
        <v>#DIV/0!</v>
      </c>
      <c r="U227" s="46" t="s">
        <v>33</v>
      </c>
      <c r="V227" s="52"/>
      <c r="W227" s="14" t="e">
        <f>V227/V228</f>
        <v>#DIV/0!</v>
      </c>
      <c r="X227">
        <v>99.84</v>
      </c>
      <c r="Y227" s="48" t="e">
        <f>W227*X227</f>
        <v>#DIV/0!</v>
      </c>
    </row>
    <row r="228" spans="1:25" ht="15" thickBot="1" x14ac:dyDescent="0.4">
      <c r="A228" s="24">
        <f>SUM(A225:A227)</f>
        <v>1271352</v>
      </c>
      <c r="B228" s="2"/>
      <c r="C228" s="21" t="s">
        <v>32</v>
      </c>
      <c r="D228">
        <v>173</v>
      </c>
      <c r="E228" s="14">
        <f>D228/D230</f>
        <v>1.0089440263515185E-4</v>
      </c>
      <c r="F228">
        <v>100</v>
      </c>
      <c r="G228" s="15">
        <f t="shared" si="88"/>
        <v>1.0089440263515185E-2</v>
      </c>
      <c r="I228" s="21" t="s">
        <v>32</v>
      </c>
      <c r="J228" s="52"/>
      <c r="K228" s="14" t="e">
        <f>J228/J230</f>
        <v>#DIV/0!</v>
      </c>
      <c r="L228">
        <v>100</v>
      </c>
      <c r="M228" s="15" t="e">
        <f t="shared" si="89"/>
        <v>#DIV/0!</v>
      </c>
      <c r="O228" s="38" t="s">
        <v>33</v>
      </c>
      <c r="P228" s="13"/>
      <c r="Q228" s="14" t="e">
        <f>P228/P229</f>
        <v>#DIV/0!</v>
      </c>
      <c r="R228">
        <v>99.8</v>
      </c>
      <c r="S228" s="40" t="e">
        <f>Q228*R228</f>
        <v>#DIV/0!</v>
      </c>
      <c r="U228" s="46"/>
      <c r="V228" s="52">
        <f>SUM(V224:V227)</f>
        <v>0</v>
      </c>
      <c r="W228" s="32" t="e">
        <f>SUM(W224:W227)</f>
        <v>#DIV/0!</v>
      </c>
      <c r="X228" s="33">
        <f>AVERAGE(X224:X227)</f>
        <v>99.949999999999989</v>
      </c>
      <c r="Y228" s="58" t="e">
        <f>SUM(Y224:Y227)</f>
        <v>#DIV/0!</v>
      </c>
    </row>
    <row r="229" spans="1:25" ht="15.5" thickTop="1" thickBot="1" x14ac:dyDescent="0.4">
      <c r="B229" s="2"/>
      <c r="C229" s="21" t="s">
        <v>33</v>
      </c>
      <c r="D229" s="13">
        <v>90886</v>
      </c>
      <c r="E229" s="16">
        <f>D229/D230</f>
        <v>5.3005136866464797E-2</v>
      </c>
      <c r="F229" s="17">
        <v>99.84</v>
      </c>
      <c r="G229" s="15">
        <f t="shared" si="88"/>
        <v>5.2920328647478456</v>
      </c>
      <c r="I229" s="21" t="s">
        <v>33</v>
      </c>
      <c r="J229" s="52"/>
      <c r="K229" s="16" t="e">
        <f>J229/J230</f>
        <v>#DIV/0!</v>
      </c>
      <c r="L229" s="17">
        <v>99.84</v>
      </c>
      <c r="M229" s="15" t="e">
        <f t="shared" si="89"/>
        <v>#DIV/0!</v>
      </c>
      <c r="O229" s="38"/>
      <c r="P229" s="31">
        <f>SUM(P224:P228)</f>
        <v>0</v>
      </c>
      <c r="Q229" s="32" t="e">
        <f>SUM(Q224:Q228)</f>
        <v>#DIV/0!</v>
      </c>
      <c r="R229" s="33">
        <f>AVERAGE(R224:R228)</f>
        <v>99.927999999999997</v>
      </c>
      <c r="S229" s="41" t="e">
        <f>SUM(S224:S228)</f>
        <v>#DIV/0!</v>
      </c>
      <c r="U229" s="46"/>
      <c r="V229" s="42"/>
      <c r="W229" s="42"/>
      <c r="X229" s="42"/>
      <c r="Y229" s="48"/>
    </row>
    <row r="230" spans="1:25" ht="15" thickBot="1" x14ac:dyDescent="0.4">
      <c r="A230" s="10"/>
      <c r="B230" s="10"/>
      <c r="C230" s="10"/>
      <c r="D230" s="49">
        <f>SUM(D224:D229)</f>
        <v>1714664</v>
      </c>
      <c r="E230" s="50">
        <f>SUM(E224:E229)</f>
        <v>1</v>
      </c>
      <c r="F230" s="51">
        <f>AVERAGE(F224:F229)</f>
        <v>99.966666666666654</v>
      </c>
      <c r="G230" s="26">
        <f>SUM(G224:G229)</f>
        <v>99.988394624252919</v>
      </c>
      <c r="I230" s="10"/>
      <c r="J230" s="49">
        <f>SUM(J224:J229)</f>
        <v>0</v>
      </c>
      <c r="K230" s="50" t="e">
        <f>SUM(K224:K229)</f>
        <v>#DIV/0!</v>
      </c>
      <c r="L230" s="51">
        <f>AVERAGE(L224:L229)</f>
        <v>99.966666666666654</v>
      </c>
      <c r="M230" s="26" t="e">
        <f>SUM(M224:M229)</f>
        <v>#DIV/0!</v>
      </c>
      <c r="O230" s="34"/>
      <c r="P230" s="34"/>
      <c r="Q230" s="34"/>
      <c r="R230" s="36"/>
      <c r="S230" s="40"/>
      <c r="U230" s="42"/>
      <c r="V230" s="42"/>
      <c r="W230" s="42"/>
      <c r="X230" s="44"/>
      <c r="Y230" s="45"/>
    </row>
    <row r="231" spans="1:25" ht="15" thickTop="1" x14ac:dyDescent="0.35">
      <c r="A231" s="29" t="s">
        <v>167</v>
      </c>
      <c r="B231" s="28"/>
      <c r="C231" s="28"/>
      <c r="D231" s="28"/>
      <c r="E231" s="28"/>
      <c r="F231" s="28"/>
      <c r="G231" s="28"/>
      <c r="I231" s="28"/>
      <c r="J231" s="28"/>
      <c r="K231" s="28"/>
      <c r="L231" s="28"/>
      <c r="M231" s="28"/>
      <c r="O231" s="28"/>
      <c r="P231" s="28"/>
      <c r="Q231" s="28"/>
      <c r="R231" s="28"/>
      <c r="S231" s="28"/>
      <c r="U231" s="28"/>
      <c r="V231" s="28"/>
      <c r="W231" s="28"/>
      <c r="X231" s="28"/>
      <c r="Y231" s="28"/>
    </row>
    <row r="232" spans="1:25" x14ac:dyDescent="0.35">
      <c r="A232" s="20" t="s">
        <v>168</v>
      </c>
      <c r="B232" s="20"/>
      <c r="C232" s="56" t="s">
        <v>115</v>
      </c>
      <c r="D232" s="11"/>
      <c r="E232" s="11"/>
      <c r="F232" s="11"/>
      <c r="G232" s="30" t="s">
        <v>115</v>
      </c>
      <c r="I232" s="56" t="s">
        <v>115</v>
      </c>
      <c r="J232" s="11"/>
      <c r="K232" s="11"/>
      <c r="L232" s="11"/>
      <c r="M232" s="30" t="s">
        <v>115</v>
      </c>
      <c r="O232" s="55" t="s">
        <v>116</v>
      </c>
      <c r="P232" s="34"/>
      <c r="Q232" s="34"/>
      <c r="R232" s="34"/>
      <c r="S232" s="35" t="s">
        <v>116</v>
      </c>
      <c r="U232" s="57" t="s">
        <v>117</v>
      </c>
      <c r="V232" s="42"/>
      <c r="W232" s="42"/>
      <c r="X232" s="42"/>
      <c r="Y232" s="43" t="s">
        <v>117</v>
      </c>
    </row>
    <row r="233" spans="1:25" ht="15" thickBot="1" x14ac:dyDescent="0.4">
      <c r="A233" s="2"/>
      <c r="B233" s="2"/>
      <c r="C233" s="2"/>
      <c r="D233" s="18" t="s">
        <v>118</v>
      </c>
      <c r="E233" s="19" t="s">
        <v>119</v>
      </c>
      <c r="F233" s="18" t="s">
        <v>120</v>
      </c>
      <c r="G233" s="12" t="s">
        <v>121</v>
      </c>
      <c r="I233" s="2"/>
      <c r="J233" s="18" t="s">
        <v>118</v>
      </c>
      <c r="K233" s="19" t="s">
        <v>119</v>
      </c>
      <c r="L233" s="18" t="s">
        <v>120</v>
      </c>
      <c r="M233" s="12" t="s">
        <v>121</v>
      </c>
      <c r="O233" s="34"/>
      <c r="P233" s="18" t="s">
        <v>118</v>
      </c>
      <c r="Q233" s="19" t="s">
        <v>119</v>
      </c>
      <c r="R233" s="18" t="s">
        <v>120</v>
      </c>
      <c r="S233" s="39" t="s">
        <v>121</v>
      </c>
      <c r="U233" s="42"/>
      <c r="V233" s="18" t="s">
        <v>118</v>
      </c>
      <c r="W233" s="19" t="s">
        <v>119</v>
      </c>
      <c r="X233" s="18" t="s">
        <v>120</v>
      </c>
      <c r="Y233" s="47" t="s">
        <v>121</v>
      </c>
    </row>
    <row r="234" spans="1:25" ht="15" thickTop="1" x14ac:dyDescent="0.35">
      <c r="A234" s="22" t="s">
        <v>122</v>
      </c>
      <c r="B234" s="2"/>
      <c r="C234" s="21" t="s">
        <v>25</v>
      </c>
      <c r="D234" s="25">
        <v>1278159</v>
      </c>
      <c r="E234" s="14">
        <f>D234/D240</f>
        <v>0.74536696592323903</v>
      </c>
      <c r="F234">
        <v>100</v>
      </c>
      <c r="G234" s="15">
        <f t="shared" ref="G234:G239" si="92">E234*F234</f>
        <v>74.536696592323906</v>
      </c>
      <c r="I234" s="21" t="s">
        <v>25</v>
      </c>
      <c r="J234" s="52">
        <v>3685578.0810845601</v>
      </c>
      <c r="K234" s="14">
        <f>J234/J240</f>
        <v>0.78993644933070617</v>
      </c>
      <c r="L234">
        <v>100</v>
      </c>
      <c r="M234" s="15">
        <f t="shared" ref="M234:M239" si="93">K234*L234</f>
        <v>78.993644933070613</v>
      </c>
      <c r="O234" s="38" t="s">
        <v>25</v>
      </c>
      <c r="P234" s="13">
        <v>71404</v>
      </c>
      <c r="Q234" s="14">
        <f>P234/P239</f>
        <v>0.36863380812497742</v>
      </c>
      <c r="R234">
        <v>99.96</v>
      </c>
      <c r="S234" s="40">
        <f t="shared" ref="S234:S237" si="94">Q234*R234</f>
        <v>36.848635460172744</v>
      </c>
      <c r="U234" s="46" t="s">
        <v>25</v>
      </c>
      <c r="V234" s="52">
        <v>3924874000</v>
      </c>
      <c r="W234" s="14">
        <f>V234/V238</f>
        <v>0.73230206965470435</v>
      </c>
      <c r="X234">
        <v>100</v>
      </c>
      <c r="Y234" s="48">
        <f t="shared" ref="Y234:Y235" si="95">W234*X234</f>
        <v>73.23020696547043</v>
      </c>
    </row>
    <row r="235" spans="1:25" x14ac:dyDescent="0.35">
      <c r="A235" s="23">
        <v>1274649</v>
      </c>
      <c r="B235" s="2"/>
      <c r="C235" s="21" t="s">
        <v>29</v>
      </c>
      <c r="D235" s="13">
        <v>134233</v>
      </c>
      <c r="E235" s="14">
        <f>D235/D240</f>
        <v>7.8278871358550967E-2</v>
      </c>
      <c r="F235">
        <v>99.9</v>
      </c>
      <c r="G235" s="15">
        <f t="shared" si="92"/>
        <v>7.8200592487192422</v>
      </c>
      <c r="I235" s="21" t="s">
        <v>29</v>
      </c>
      <c r="J235" s="52">
        <v>523249.18572616577</v>
      </c>
      <c r="K235" s="14">
        <f>J235/J240</f>
        <v>0.11214892068331336</v>
      </c>
      <c r="L235">
        <v>99</v>
      </c>
      <c r="M235" s="15">
        <f t="shared" si="93"/>
        <v>11.102743147648024</v>
      </c>
      <c r="O235" s="38" t="s">
        <v>29</v>
      </c>
      <c r="P235" s="13">
        <v>3682</v>
      </c>
      <c r="Q235" s="14">
        <f>P235/P239</f>
        <v>1.9008874594086702E-2</v>
      </c>
      <c r="R235">
        <v>99.92</v>
      </c>
      <c r="S235" s="40">
        <f t="shared" si="94"/>
        <v>1.8993667494411433</v>
      </c>
      <c r="U235" s="46" t="s">
        <v>29</v>
      </c>
      <c r="V235" s="52">
        <v>26986000</v>
      </c>
      <c r="W235" s="14">
        <f>V235/V238</f>
        <v>5.0350415457163337E-3</v>
      </c>
      <c r="X235">
        <v>99.96</v>
      </c>
      <c r="Y235" s="48">
        <f t="shared" si="95"/>
        <v>0.50330275290980464</v>
      </c>
    </row>
    <row r="236" spans="1:25" x14ac:dyDescent="0.35">
      <c r="A236" s="23">
        <v>12</v>
      </c>
      <c r="B236" s="2"/>
      <c r="C236" s="21" t="s">
        <v>30</v>
      </c>
      <c r="D236" s="13">
        <v>6494</v>
      </c>
      <c r="E236" s="14">
        <f>D236/D240</f>
        <v>3.7870195153384789E-3</v>
      </c>
      <c r="F236">
        <v>100</v>
      </c>
      <c r="G236" s="15">
        <f t="shared" si="92"/>
        <v>0.37870195153384789</v>
      </c>
      <c r="I236" s="21" t="s">
        <v>30</v>
      </c>
      <c r="J236" s="52">
        <v>9375.8304920196533</v>
      </c>
      <c r="K236" s="14">
        <f>J236/J240</f>
        <v>2.0095382828555098E-3</v>
      </c>
      <c r="L236">
        <v>100</v>
      </c>
      <c r="M236" s="15">
        <f t="shared" si="93"/>
        <v>0.20095382828555097</v>
      </c>
      <c r="O236" s="38" t="s">
        <v>30</v>
      </c>
      <c r="P236" s="13">
        <v>113879</v>
      </c>
      <c r="Q236" s="14">
        <f>P236/P239</f>
        <v>0.58791733565996729</v>
      </c>
      <c r="R236">
        <v>99.96</v>
      </c>
      <c r="S236" s="40">
        <f t="shared" si="94"/>
        <v>58.768216872570328</v>
      </c>
      <c r="U236" s="46" t="s">
        <v>31</v>
      </c>
      <c r="V236" s="52">
        <v>1404718000</v>
      </c>
      <c r="W236" s="14">
        <f>V236/V238</f>
        <v>0.26209195471783731</v>
      </c>
      <c r="X236">
        <v>100</v>
      </c>
      <c r="Y236" s="48">
        <f>W236*X236</f>
        <v>26.20919547178373</v>
      </c>
    </row>
    <row r="237" spans="1:25" x14ac:dyDescent="0.35">
      <c r="A237" s="23">
        <v>3498</v>
      </c>
      <c r="B237" s="2"/>
      <c r="C237" s="21" t="s">
        <v>31</v>
      </c>
      <c r="D237" s="13">
        <v>204840</v>
      </c>
      <c r="E237" s="14">
        <f>D237/D240</f>
        <v>0.11945381544840375</v>
      </c>
      <c r="F237">
        <v>100</v>
      </c>
      <c r="G237" s="15">
        <f t="shared" si="92"/>
        <v>11.945381544840375</v>
      </c>
      <c r="I237" s="21" t="s">
        <v>31</v>
      </c>
      <c r="J237" s="52">
        <v>91369.325023651123</v>
      </c>
      <c r="K237" s="14">
        <f>J237/J240</f>
        <v>1.9583348554560235E-2</v>
      </c>
      <c r="L237">
        <v>100</v>
      </c>
      <c r="M237" s="15">
        <f t="shared" si="93"/>
        <v>1.9583348554560236</v>
      </c>
      <c r="O237" s="38" t="s">
        <v>31</v>
      </c>
      <c r="P237" s="13">
        <v>4424</v>
      </c>
      <c r="Q237" s="14">
        <f>P237/P239</f>
        <v>2.2839560348788583E-2</v>
      </c>
      <c r="R237">
        <v>100</v>
      </c>
      <c r="S237" s="40">
        <f t="shared" si="94"/>
        <v>2.2839560348788583</v>
      </c>
      <c r="U237" s="46" t="s">
        <v>33</v>
      </c>
      <c r="V237" s="52">
        <v>3060000</v>
      </c>
      <c r="W237" s="14">
        <f>V237/V238</f>
        <v>5.7093408174208775E-4</v>
      </c>
      <c r="X237">
        <v>99.84</v>
      </c>
      <c r="Y237" s="48">
        <f>W237*X237</f>
        <v>5.7002058721130046E-2</v>
      </c>
    </row>
    <row r="238" spans="1:25" ht="15" thickBot="1" x14ac:dyDescent="0.4">
      <c r="A238" s="24">
        <f>SUM(A235:A237)</f>
        <v>1278159</v>
      </c>
      <c r="B238" s="2"/>
      <c r="C238" s="21" t="s">
        <v>32</v>
      </c>
      <c r="D238">
        <v>173</v>
      </c>
      <c r="E238" s="14">
        <f>D238/D240</f>
        <v>1.008861065835474E-4</v>
      </c>
      <c r="F238">
        <v>100</v>
      </c>
      <c r="G238" s="15">
        <f t="shared" si="92"/>
        <v>1.008861065835474E-2</v>
      </c>
      <c r="I238" s="21" t="s">
        <v>32</v>
      </c>
      <c r="J238" s="52">
        <v>8303.5963687896729</v>
      </c>
      <c r="K238" s="14">
        <f>J238/J240</f>
        <v>1.779724452427512E-3</v>
      </c>
      <c r="L238">
        <v>100</v>
      </c>
      <c r="M238" s="15">
        <f t="shared" si="93"/>
        <v>0.17797244524275119</v>
      </c>
      <c r="O238" s="38" t="s">
        <v>33</v>
      </c>
      <c r="P238" s="13">
        <v>310</v>
      </c>
      <c r="Q238" s="14">
        <f>P238/P239</f>
        <v>1.6004212721800319E-3</v>
      </c>
      <c r="R238">
        <v>99.8</v>
      </c>
      <c r="S238" s="40">
        <f>Q238*R238</f>
        <v>0.15972204296356718</v>
      </c>
      <c r="U238" s="46"/>
      <c r="V238" s="52">
        <f>SUM(V234:V237)</f>
        <v>5359638000</v>
      </c>
      <c r="W238" s="32">
        <f>SUM(W234:W237)</f>
        <v>1</v>
      </c>
      <c r="X238" s="33">
        <f>AVERAGE(X234:X237)</f>
        <v>99.949999999999989</v>
      </c>
      <c r="Y238" s="58">
        <f>SUM(Y234:Y237)</f>
        <v>99.999707248885088</v>
      </c>
    </row>
    <row r="239" spans="1:25" ht="15.5" thickTop="1" thickBot="1" x14ac:dyDescent="0.4">
      <c r="B239" s="2"/>
      <c r="C239" s="21" t="s">
        <v>33</v>
      </c>
      <c r="D239" s="13">
        <v>90906</v>
      </c>
      <c r="E239" s="16">
        <f>D239/D240</f>
        <v>5.3012441647884163E-2</v>
      </c>
      <c r="F239" s="17">
        <v>99.82</v>
      </c>
      <c r="G239" s="15">
        <f t="shared" si="92"/>
        <v>5.2917019252917967</v>
      </c>
      <c r="I239" s="21" t="s">
        <v>33</v>
      </c>
      <c r="J239" s="52">
        <v>347788.01568031311</v>
      </c>
      <c r="K239" s="16">
        <f>J239/J240</f>
        <v>7.4542018696137136E-2</v>
      </c>
      <c r="L239" s="17">
        <v>99.84</v>
      </c>
      <c r="M239" s="15">
        <f t="shared" si="93"/>
        <v>7.4422751466223316</v>
      </c>
      <c r="O239" s="38"/>
      <c r="P239" s="31">
        <f>SUM(P234:P238)</f>
        <v>193699</v>
      </c>
      <c r="Q239" s="32">
        <f>SUM(Q234:Q238)</f>
        <v>1</v>
      </c>
      <c r="R239" s="33">
        <f>AVERAGE(R234:R238)</f>
        <v>99.927999999999997</v>
      </c>
      <c r="S239" s="41">
        <f>SUM(S234:S238)</f>
        <v>99.959897160026642</v>
      </c>
      <c r="U239" s="46"/>
      <c r="V239" s="42"/>
      <c r="W239" s="42"/>
      <c r="X239" s="42"/>
      <c r="Y239" s="48"/>
    </row>
    <row r="240" spans="1:25" ht="15" thickBot="1" x14ac:dyDescent="0.4">
      <c r="A240" s="10"/>
      <c r="B240" s="10"/>
      <c r="C240" s="10"/>
      <c r="D240" s="49">
        <f>SUM(D234:D239)</f>
        <v>1714805</v>
      </c>
      <c r="E240" s="50">
        <f>SUM(E234:E239)</f>
        <v>0.99999999999999989</v>
      </c>
      <c r="F240" s="51">
        <f>AVERAGE(F234:F239)</f>
        <v>99.953333333333333</v>
      </c>
      <c r="G240" s="26">
        <f>SUM(G234:G239)</f>
        <v>99.982629873367529</v>
      </c>
      <c r="I240" s="10"/>
      <c r="J240" s="49">
        <f>SUM(J234:J239)</f>
        <v>4665664.0343754999</v>
      </c>
      <c r="K240" s="50">
        <f>SUM(K234:K239)</f>
        <v>1</v>
      </c>
      <c r="L240" s="51">
        <f>AVERAGE(L234:L239)</f>
        <v>99.806666666666672</v>
      </c>
      <c r="M240" s="26">
        <f>SUM(M234:M239)</f>
        <v>99.875924356325299</v>
      </c>
      <c r="O240" s="34"/>
      <c r="P240" s="34"/>
      <c r="Q240" s="34"/>
      <c r="R240" s="36"/>
      <c r="S240" s="40"/>
      <c r="U240" s="42"/>
      <c r="V240" s="42"/>
      <c r="W240" s="42"/>
      <c r="X240" s="44"/>
      <c r="Y240" s="45"/>
    </row>
    <row r="241" spans="1:25" ht="15" thickTop="1" x14ac:dyDescent="0.35">
      <c r="A241" s="29" t="s">
        <v>169</v>
      </c>
      <c r="B241" s="28"/>
      <c r="C241" s="28"/>
      <c r="D241" s="28"/>
      <c r="E241" s="28"/>
      <c r="F241" s="28"/>
      <c r="G241" s="28"/>
      <c r="I241" s="28"/>
      <c r="J241" s="28"/>
      <c r="K241" s="28"/>
      <c r="L241" s="28"/>
      <c r="M241" s="28"/>
      <c r="O241" s="28"/>
      <c r="P241" s="28"/>
      <c r="Q241" s="28"/>
      <c r="R241" s="28"/>
      <c r="S241" s="28"/>
      <c r="U241" s="28"/>
      <c r="V241" s="28"/>
      <c r="W241" s="28"/>
      <c r="X241" s="28"/>
      <c r="Y241" s="28"/>
    </row>
    <row r="242" spans="1:25" x14ac:dyDescent="0.35">
      <c r="A242" s="20" t="s">
        <v>170</v>
      </c>
      <c r="B242" s="20"/>
      <c r="C242" s="56" t="s">
        <v>115</v>
      </c>
      <c r="D242" s="11"/>
      <c r="E242" s="11"/>
      <c r="F242" s="11"/>
      <c r="G242" s="30" t="s">
        <v>115</v>
      </c>
      <c r="I242" s="56" t="s">
        <v>115</v>
      </c>
      <c r="J242" s="11"/>
      <c r="K242" s="11"/>
      <c r="L242" s="11"/>
      <c r="M242" s="30" t="s">
        <v>115</v>
      </c>
      <c r="O242" s="55" t="s">
        <v>116</v>
      </c>
      <c r="P242" s="34"/>
      <c r="Q242" s="34"/>
      <c r="R242" s="34"/>
      <c r="S242" s="35" t="s">
        <v>116</v>
      </c>
      <c r="U242" s="57" t="s">
        <v>117</v>
      </c>
      <c r="V242" s="42"/>
      <c r="W242" s="42"/>
      <c r="X242" s="42"/>
      <c r="Y242" s="43" t="s">
        <v>117</v>
      </c>
    </row>
    <row r="243" spans="1:25" ht="15" thickBot="1" x14ac:dyDescent="0.4">
      <c r="A243" s="2"/>
      <c r="B243" s="2"/>
      <c r="C243" s="2"/>
      <c r="D243" s="18" t="s">
        <v>118</v>
      </c>
      <c r="E243" s="19" t="s">
        <v>119</v>
      </c>
      <c r="F243" s="18" t="s">
        <v>120</v>
      </c>
      <c r="G243" s="12" t="s">
        <v>121</v>
      </c>
      <c r="I243" s="2"/>
      <c r="J243" s="18" t="s">
        <v>118</v>
      </c>
      <c r="K243" s="19" t="s">
        <v>119</v>
      </c>
      <c r="L243" s="18" t="s">
        <v>120</v>
      </c>
      <c r="M243" s="12" t="s">
        <v>121</v>
      </c>
      <c r="O243" s="34"/>
      <c r="P243" s="18" t="s">
        <v>118</v>
      </c>
      <c r="Q243" s="19" t="s">
        <v>119</v>
      </c>
      <c r="R243" s="18" t="s">
        <v>120</v>
      </c>
      <c r="S243" s="39" t="s">
        <v>121</v>
      </c>
      <c r="U243" s="42"/>
      <c r="V243" s="18" t="s">
        <v>118</v>
      </c>
      <c r="W243" s="19" t="s">
        <v>119</v>
      </c>
      <c r="X243" s="18" t="s">
        <v>120</v>
      </c>
      <c r="Y243" s="47" t="s">
        <v>121</v>
      </c>
    </row>
    <row r="244" spans="1:25" ht="15" thickTop="1" x14ac:dyDescent="0.35">
      <c r="A244" s="22" t="s">
        <v>122</v>
      </c>
      <c r="B244" s="2"/>
      <c r="C244" s="21" t="s">
        <v>25</v>
      </c>
      <c r="D244" s="25">
        <v>1280852</v>
      </c>
      <c r="E244" s="14">
        <f>D244/D250</f>
        <v>0.74606160932609045</v>
      </c>
      <c r="F244">
        <v>100</v>
      </c>
      <c r="G244" s="15">
        <f t="shared" ref="G244:G249" si="96">E244*F244</f>
        <v>74.606160932609043</v>
      </c>
      <c r="I244" s="21" t="s">
        <v>25</v>
      </c>
      <c r="J244" s="52">
        <v>3994051.55443954</v>
      </c>
      <c r="K244" s="14">
        <f>J244/J250</f>
        <v>0.80373618199069663</v>
      </c>
      <c r="L244">
        <v>100</v>
      </c>
      <c r="M244" s="15">
        <f t="shared" ref="M244:M249" si="97">K244*L244</f>
        <v>80.373618199069668</v>
      </c>
      <c r="O244" s="38" t="s">
        <v>25</v>
      </c>
      <c r="P244" s="13">
        <v>73617</v>
      </c>
      <c r="Q244" s="14">
        <f>P244/P249</f>
        <v>0.37969023193922236</v>
      </c>
      <c r="R244">
        <v>99.96</v>
      </c>
      <c r="S244" s="40">
        <f t="shared" ref="S244:S247" si="98">Q244*R244</f>
        <v>37.953835584644665</v>
      </c>
      <c r="U244" s="46" t="s">
        <v>25</v>
      </c>
      <c r="V244" s="52">
        <v>3440211000</v>
      </c>
      <c r="W244" s="14">
        <f>V244/V248</f>
        <v>0.71733949262186514</v>
      </c>
      <c r="X244">
        <v>100</v>
      </c>
      <c r="Y244" s="48">
        <f t="shared" ref="Y244:Y245" si="99">W244*X244</f>
        <v>71.733949262186513</v>
      </c>
    </row>
    <row r="245" spans="1:25" x14ac:dyDescent="0.35">
      <c r="A245" s="23">
        <v>1277337</v>
      </c>
      <c r="B245" s="2"/>
      <c r="C245" s="21" t="s">
        <v>29</v>
      </c>
      <c r="D245" s="13">
        <v>133996</v>
      </c>
      <c r="E245" s="14">
        <f>D245/D250</f>
        <v>7.8049041890287732E-2</v>
      </c>
      <c r="F245">
        <v>99.9</v>
      </c>
      <c r="G245" s="15">
        <f t="shared" si="96"/>
        <v>7.7970992848397449</v>
      </c>
      <c r="I245" s="21" t="s">
        <v>29</v>
      </c>
      <c r="J245" s="52">
        <v>515852.80557823181</v>
      </c>
      <c r="K245" s="14">
        <f>J245/J250</f>
        <v>0.10380676332627276</v>
      </c>
      <c r="L245">
        <v>99</v>
      </c>
      <c r="M245" s="15">
        <f t="shared" si="97"/>
        <v>10.276869569301002</v>
      </c>
      <c r="O245" s="38" t="s">
        <v>29</v>
      </c>
      <c r="P245" s="13">
        <v>3464</v>
      </c>
      <c r="Q245" s="14">
        <f>P245/P249</f>
        <v>1.7866076632265186E-2</v>
      </c>
      <c r="R245">
        <v>99.92</v>
      </c>
      <c r="S245" s="40">
        <f t="shared" si="98"/>
        <v>1.7851783770959375</v>
      </c>
      <c r="U245" s="46" t="s">
        <v>29</v>
      </c>
      <c r="V245" s="52">
        <v>31520000</v>
      </c>
      <c r="W245" s="14">
        <f>V245/V248</f>
        <v>6.5724284956478517E-3</v>
      </c>
      <c r="X245">
        <v>99.96</v>
      </c>
      <c r="Y245" s="48">
        <f t="shared" si="99"/>
        <v>0.65697995242495921</v>
      </c>
    </row>
    <row r="246" spans="1:25" x14ac:dyDescent="0.35">
      <c r="A246" s="23">
        <v>12</v>
      </c>
      <c r="B246" s="2"/>
      <c r="C246" s="21" t="s">
        <v>30</v>
      </c>
      <c r="D246" s="13">
        <v>6505</v>
      </c>
      <c r="E246" s="14">
        <f>D246/D250</f>
        <v>3.7889863689686385E-3</v>
      </c>
      <c r="F246">
        <v>100</v>
      </c>
      <c r="G246" s="15">
        <f t="shared" si="96"/>
        <v>0.37889863689686387</v>
      </c>
      <c r="I246" s="21" t="s">
        <v>30</v>
      </c>
      <c r="J246" s="52">
        <v>10039.329941749573</v>
      </c>
      <c r="K246" s="14">
        <f>J246/J250</f>
        <v>2.020247512368165E-3</v>
      </c>
      <c r="L246">
        <v>100</v>
      </c>
      <c r="M246" s="15">
        <f t="shared" si="97"/>
        <v>0.20202475123681651</v>
      </c>
      <c r="O246" s="38" t="s">
        <v>30</v>
      </c>
      <c r="P246" s="13">
        <v>112179</v>
      </c>
      <c r="Q246" s="14">
        <f>P246/P249</f>
        <v>0.57857927555741229</v>
      </c>
      <c r="R246">
        <v>99.96</v>
      </c>
      <c r="S246" s="40">
        <f t="shared" si="98"/>
        <v>57.83478438471893</v>
      </c>
      <c r="U246" s="46" t="s">
        <v>31</v>
      </c>
      <c r="V246" s="52">
        <v>1320733000</v>
      </c>
      <c r="W246" s="14">
        <f>V246/V248</f>
        <v>0.27539413719360639</v>
      </c>
      <c r="X246">
        <v>100</v>
      </c>
      <c r="Y246" s="48">
        <f>W246*X246</f>
        <v>27.539413719360638</v>
      </c>
    </row>
    <row r="247" spans="1:25" x14ac:dyDescent="0.35">
      <c r="A247" s="23">
        <v>3503</v>
      </c>
      <c r="B247" s="2"/>
      <c r="C247" s="21" t="s">
        <v>31</v>
      </c>
      <c r="D247" s="13">
        <v>204640</v>
      </c>
      <c r="E247" s="14">
        <f>D247/D250</f>
        <v>0.11919725911541001</v>
      </c>
      <c r="F247">
        <v>100</v>
      </c>
      <c r="G247" s="15">
        <f t="shared" si="96"/>
        <v>11.919725911541001</v>
      </c>
      <c r="I247" s="21" t="s">
        <v>31</v>
      </c>
      <c r="J247" s="52">
        <v>102669.96155071259</v>
      </c>
      <c r="K247" s="14">
        <f>J247/J250</f>
        <v>2.0660615361906814E-2</v>
      </c>
      <c r="L247">
        <v>100</v>
      </c>
      <c r="M247" s="15">
        <f t="shared" si="97"/>
        <v>2.0660615361906816</v>
      </c>
      <c r="O247" s="38" t="s">
        <v>31</v>
      </c>
      <c r="P247" s="13">
        <v>4268</v>
      </c>
      <c r="Q247" s="14">
        <f>P247/P249</f>
        <v>2.2012821901416804E-2</v>
      </c>
      <c r="R247">
        <v>100</v>
      </c>
      <c r="S247" s="40">
        <f t="shared" si="98"/>
        <v>2.2012821901416806</v>
      </c>
      <c r="U247" s="46" t="s">
        <v>33</v>
      </c>
      <c r="V247" s="52">
        <v>3328000</v>
      </c>
      <c r="W247" s="14">
        <f>V247/V248</f>
        <v>6.9394168888058528E-4</v>
      </c>
      <c r="X247">
        <v>99.84</v>
      </c>
      <c r="Y247" s="48">
        <f>W247*X247</f>
        <v>6.9283138217837631E-2</v>
      </c>
    </row>
    <row r="248" spans="1:25" ht="15" thickBot="1" x14ac:dyDescent="0.4">
      <c r="A248" s="24">
        <f>SUM(A245:A247)</f>
        <v>1280852</v>
      </c>
      <c r="B248" s="2"/>
      <c r="C248" s="21" t="s">
        <v>32</v>
      </c>
      <c r="D248">
        <v>173</v>
      </c>
      <c r="E248" s="14">
        <f>D248/D250</f>
        <v>1.0076781580808216E-4</v>
      </c>
      <c r="F248">
        <v>100</v>
      </c>
      <c r="G248" s="15">
        <f t="shared" si="96"/>
        <v>1.0076781580808216E-2</v>
      </c>
      <c r="I248" s="21" t="s">
        <v>32</v>
      </c>
      <c r="J248" s="52">
        <v>3547.3260087966919</v>
      </c>
      <c r="K248" s="14">
        <f>J248/J250</f>
        <v>7.1384012542788226E-4</v>
      </c>
      <c r="L248">
        <v>100</v>
      </c>
      <c r="M248" s="15">
        <f t="shared" si="97"/>
        <v>7.1384012542788228E-2</v>
      </c>
      <c r="O248" s="38" t="s">
        <v>33</v>
      </c>
      <c r="P248" s="13">
        <v>359</v>
      </c>
      <c r="Q248" s="14">
        <f>P248/P249</f>
        <v>1.8515939696833723E-3</v>
      </c>
      <c r="R248">
        <v>99.8</v>
      </c>
      <c r="S248" s="40">
        <f>Q248*R248</f>
        <v>0.18478907817440055</v>
      </c>
      <c r="U248" s="46"/>
      <c r="V248" s="52">
        <f>SUM(V244:V247)</f>
        <v>4795792000</v>
      </c>
      <c r="W248" s="32">
        <f>SUM(W244:W247)</f>
        <v>1</v>
      </c>
      <c r="X248" s="33">
        <f>AVERAGE(X244:X247)</f>
        <v>99.949999999999989</v>
      </c>
      <c r="Y248" s="58">
        <f>SUM(Y244:Y247)</f>
        <v>99.999626072189955</v>
      </c>
    </row>
    <row r="249" spans="1:25" ht="15.5" thickTop="1" thickBot="1" x14ac:dyDescent="0.4">
      <c r="B249" s="2"/>
      <c r="C249" s="21" t="s">
        <v>33</v>
      </c>
      <c r="D249" s="13">
        <v>90652</v>
      </c>
      <c r="E249" s="16">
        <f>D249/D250</f>
        <v>5.2802335483435055E-2</v>
      </c>
      <c r="F249" s="17">
        <v>99.82</v>
      </c>
      <c r="G249" s="15">
        <f t="shared" si="96"/>
        <v>5.2707291279564865</v>
      </c>
      <c r="I249" s="21" t="s">
        <v>33</v>
      </c>
      <c r="J249" s="52">
        <v>343195.44058704376</v>
      </c>
      <c r="K249" s="16">
        <f>J249/J250</f>
        <v>6.9062351683327777E-2</v>
      </c>
      <c r="L249" s="17">
        <v>99.84</v>
      </c>
      <c r="M249" s="15">
        <f t="shared" si="97"/>
        <v>6.8951851920634457</v>
      </c>
      <c r="O249" s="38"/>
      <c r="P249" s="31">
        <f>SUM(P244:P248)</f>
        <v>193887</v>
      </c>
      <c r="Q249" s="32">
        <f>SUM(Q244:Q248)</f>
        <v>1</v>
      </c>
      <c r="R249" s="33">
        <f>AVERAGE(R244:R248)</f>
        <v>99.927999999999997</v>
      </c>
      <c r="S249" s="41">
        <f>SUM(S244:S248)</f>
        <v>99.959869614775627</v>
      </c>
      <c r="U249" s="46"/>
      <c r="V249" s="42"/>
      <c r="W249" s="42"/>
      <c r="X249" s="42"/>
      <c r="Y249" s="48"/>
    </row>
    <row r="250" spans="1:25" ht="15" thickBot="1" x14ac:dyDescent="0.4">
      <c r="A250" s="10"/>
      <c r="B250" s="10"/>
      <c r="C250" s="10"/>
      <c r="D250" s="49">
        <f>SUM(D244:D249)</f>
        <v>1716818</v>
      </c>
      <c r="E250" s="50">
        <f>SUM(E244:E249)</f>
        <v>0.99999999999999989</v>
      </c>
      <c r="F250" s="51">
        <f>AVERAGE(F244:F249)</f>
        <v>99.953333333333333</v>
      </c>
      <c r="G250" s="26">
        <f>SUM(G244:G249)</f>
        <v>99.982690675423953</v>
      </c>
      <c r="I250" s="10"/>
      <c r="J250" s="49">
        <f>SUM(J244:J249)</f>
        <v>4969356.4181060744</v>
      </c>
      <c r="K250" s="50">
        <f>SUM(K244:K249)</f>
        <v>1</v>
      </c>
      <c r="L250" s="51">
        <f>AVERAGE(L244:L249)</f>
        <v>99.806666666666672</v>
      </c>
      <c r="M250" s="26">
        <f>SUM(M244:M249)</f>
        <v>99.885143260404419</v>
      </c>
      <c r="O250" s="34"/>
      <c r="P250" s="34"/>
      <c r="Q250" s="34"/>
      <c r="R250" s="36"/>
      <c r="S250" s="40"/>
      <c r="U250" s="42"/>
      <c r="V250" s="42"/>
      <c r="W250" s="42"/>
      <c r="X250" s="44"/>
      <c r="Y250" s="45"/>
    </row>
    <row r="251" spans="1:25" ht="15" thickTop="1" x14ac:dyDescent="0.35">
      <c r="A251" s="29" t="s">
        <v>171</v>
      </c>
      <c r="B251" s="28"/>
      <c r="C251" s="28"/>
      <c r="D251" s="28"/>
      <c r="E251" s="28"/>
      <c r="F251" s="28"/>
      <c r="G251" s="28"/>
      <c r="I251" s="28"/>
      <c r="J251" s="28"/>
      <c r="K251" s="28"/>
      <c r="L251" s="28"/>
      <c r="M251" s="28"/>
      <c r="O251" s="28"/>
      <c r="P251" s="28"/>
      <c r="Q251" s="28"/>
      <c r="R251" s="28"/>
      <c r="S251" s="28"/>
      <c r="U251" s="28"/>
      <c r="V251" s="28"/>
      <c r="W251" s="28"/>
      <c r="X251" s="28"/>
      <c r="Y251" s="28"/>
    </row>
    <row r="252" spans="1:25" x14ac:dyDescent="0.35">
      <c r="A252" s="20" t="s">
        <v>172</v>
      </c>
      <c r="B252" s="20"/>
      <c r="C252" s="56" t="s">
        <v>115</v>
      </c>
      <c r="D252" s="11"/>
      <c r="E252" s="11"/>
      <c r="F252" s="11"/>
      <c r="G252" s="30" t="s">
        <v>115</v>
      </c>
      <c r="I252" s="56" t="s">
        <v>115</v>
      </c>
      <c r="J252" s="11"/>
      <c r="K252" s="11"/>
      <c r="L252" s="11"/>
      <c r="M252" s="30" t="s">
        <v>115</v>
      </c>
      <c r="O252" s="55" t="s">
        <v>116</v>
      </c>
      <c r="P252" s="34"/>
      <c r="Q252" s="34"/>
      <c r="R252" s="34"/>
      <c r="S252" s="35" t="s">
        <v>116</v>
      </c>
      <c r="U252" s="57" t="s">
        <v>117</v>
      </c>
      <c r="V252" s="42"/>
      <c r="W252" s="42"/>
      <c r="X252" s="42"/>
      <c r="Y252" s="43" t="s">
        <v>117</v>
      </c>
    </row>
    <row r="253" spans="1:25" ht="15" thickBot="1" x14ac:dyDescent="0.4">
      <c r="A253" s="2"/>
      <c r="B253" s="2"/>
      <c r="C253" s="2"/>
      <c r="D253" s="18" t="s">
        <v>118</v>
      </c>
      <c r="E253" s="19" t="s">
        <v>119</v>
      </c>
      <c r="F253" s="18" t="s">
        <v>120</v>
      </c>
      <c r="G253" s="12" t="s">
        <v>121</v>
      </c>
      <c r="I253" s="2"/>
      <c r="J253" s="18" t="s">
        <v>118</v>
      </c>
      <c r="K253" s="19" t="s">
        <v>119</v>
      </c>
      <c r="L253" s="18" t="s">
        <v>120</v>
      </c>
      <c r="M253" s="12" t="s">
        <v>121</v>
      </c>
      <c r="O253" s="34"/>
      <c r="P253" s="18" t="s">
        <v>118</v>
      </c>
      <c r="Q253" s="19" t="s">
        <v>119</v>
      </c>
      <c r="R253" s="18" t="s">
        <v>120</v>
      </c>
      <c r="S253" s="39" t="s">
        <v>121</v>
      </c>
      <c r="U253" s="42"/>
      <c r="V253" s="18" t="s">
        <v>118</v>
      </c>
      <c r="W253" s="19" t="s">
        <v>119</v>
      </c>
      <c r="X253" s="18" t="s">
        <v>120</v>
      </c>
      <c r="Y253" s="47" t="s">
        <v>121</v>
      </c>
    </row>
    <row r="254" spans="1:25" ht="15" thickTop="1" x14ac:dyDescent="0.35">
      <c r="A254" s="22" t="s">
        <v>122</v>
      </c>
      <c r="B254" s="2"/>
      <c r="C254" s="21" t="s">
        <v>25</v>
      </c>
      <c r="D254" s="25">
        <v>1283762</v>
      </c>
      <c r="E254" s="14">
        <f>D254/D260</f>
        <v>0.74660678747189524</v>
      </c>
      <c r="F254">
        <v>100</v>
      </c>
      <c r="G254" s="15">
        <f t="shared" ref="G254:G259" si="100">E254*F254</f>
        <v>74.660678747189522</v>
      </c>
      <c r="I254" s="21" t="s">
        <v>25</v>
      </c>
      <c r="J254" s="52">
        <v>3911902.6516618729</v>
      </c>
      <c r="K254" s="14">
        <f>J254/J260</f>
        <v>0.77405614362375252</v>
      </c>
      <c r="L254">
        <v>100</v>
      </c>
      <c r="M254" s="15">
        <f t="shared" ref="M254:M259" si="101">K254*L254</f>
        <v>77.405614362375246</v>
      </c>
      <c r="O254" s="38" t="s">
        <v>25</v>
      </c>
      <c r="P254" s="13">
        <v>69361</v>
      </c>
      <c r="Q254" s="14">
        <f>P254/P259</f>
        <v>0.37780585982820319</v>
      </c>
      <c r="R254">
        <v>99.96</v>
      </c>
      <c r="S254" s="40">
        <f t="shared" ref="S254:S257" si="102">Q254*R254</f>
        <v>37.765473748427191</v>
      </c>
      <c r="U254" s="46" t="s">
        <v>25</v>
      </c>
      <c r="V254" s="52">
        <v>4175822000</v>
      </c>
      <c r="W254" s="14">
        <f>V254/V258</f>
        <v>0.75805848154922095</v>
      </c>
      <c r="X254">
        <v>100</v>
      </c>
      <c r="Y254" s="48">
        <f t="shared" ref="Y254:Y255" si="103">W254*X254</f>
        <v>75.805848154922089</v>
      </c>
    </row>
    <row r="255" spans="1:25" x14ac:dyDescent="0.35">
      <c r="A255" s="23">
        <v>1280247</v>
      </c>
      <c r="B255" s="2"/>
      <c r="C255" s="21" t="s">
        <v>29</v>
      </c>
      <c r="D255" s="13">
        <v>134419</v>
      </c>
      <c r="E255" s="14">
        <f>D255/D260</f>
        <v>7.817503381871771E-2</v>
      </c>
      <c r="F255">
        <v>100</v>
      </c>
      <c r="G255" s="15">
        <f t="shared" si="100"/>
        <v>7.817503381871771</v>
      </c>
      <c r="I255" s="21" t="s">
        <v>29</v>
      </c>
      <c r="J255" s="52">
        <v>684589.3350315094</v>
      </c>
      <c r="K255" s="14">
        <f>J255/J260</f>
        <v>0.13546108577505633</v>
      </c>
      <c r="L255">
        <v>99</v>
      </c>
      <c r="M255" s="15">
        <f t="shared" si="101"/>
        <v>13.410647491730577</v>
      </c>
      <c r="O255" s="38" t="s">
        <v>29</v>
      </c>
      <c r="P255" s="13">
        <v>3280</v>
      </c>
      <c r="Q255" s="14">
        <f>P255/P259</f>
        <v>1.7865994149976305E-2</v>
      </c>
      <c r="R255">
        <v>99.92</v>
      </c>
      <c r="S255" s="40">
        <f t="shared" si="102"/>
        <v>1.7851701354656324</v>
      </c>
      <c r="U255" s="46" t="s">
        <v>29</v>
      </c>
      <c r="V255" s="52">
        <v>23357000</v>
      </c>
      <c r="W255" s="14">
        <f>V255/V258</f>
        <v>4.2401165455675923E-3</v>
      </c>
      <c r="X255">
        <v>99.96</v>
      </c>
      <c r="Y255" s="48">
        <f t="shared" si="103"/>
        <v>0.42384204989493651</v>
      </c>
    </row>
    <row r="256" spans="1:25" x14ac:dyDescent="0.35">
      <c r="A256" s="23">
        <v>12</v>
      </c>
      <c r="B256" s="2"/>
      <c r="C256" s="21" t="s">
        <v>30</v>
      </c>
      <c r="D256" s="13">
        <v>6508</v>
      </c>
      <c r="E256" s="14">
        <f>D256/D260</f>
        <v>3.7849048132497258E-3</v>
      </c>
      <c r="F256">
        <v>100</v>
      </c>
      <c r="G256" s="15">
        <f t="shared" si="100"/>
        <v>0.37849048132497259</v>
      </c>
      <c r="I256" s="21" t="s">
        <v>30</v>
      </c>
      <c r="J256" s="52">
        <v>10577.110185623169</v>
      </c>
      <c r="K256" s="14">
        <f>J256/J260</f>
        <v>2.0929143309557628E-3</v>
      </c>
      <c r="L256">
        <v>100</v>
      </c>
      <c r="M256" s="15">
        <f t="shared" si="101"/>
        <v>0.20929143309557627</v>
      </c>
      <c r="O256" s="38" t="s">
        <v>30</v>
      </c>
      <c r="P256" s="13">
        <v>106922</v>
      </c>
      <c r="Q256" s="14">
        <f>P256/P259</f>
        <v>0.5823987275926118</v>
      </c>
      <c r="R256">
        <v>99.96</v>
      </c>
      <c r="S256" s="40">
        <f t="shared" si="102"/>
        <v>58.21657681015747</v>
      </c>
      <c r="U256" s="46" t="s">
        <v>31</v>
      </c>
      <c r="V256" s="52">
        <v>1305963000</v>
      </c>
      <c r="W256" s="14">
        <f>V256/V258</f>
        <v>0.23707819172835079</v>
      </c>
      <c r="X256">
        <v>100</v>
      </c>
      <c r="Y256" s="48">
        <f>W256*X256</f>
        <v>23.70781917283508</v>
      </c>
    </row>
    <row r="257" spans="1:25" x14ac:dyDescent="0.35">
      <c r="A257" s="23">
        <v>3503</v>
      </c>
      <c r="B257" s="2"/>
      <c r="C257" s="21" t="s">
        <v>31</v>
      </c>
      <c r="D257" s="13">
        <v>203942</v>
      </c>
      <c r="E257" s="14">
        <f>D257/D260</f>
        <v>0.11860802972092434</v>
      </c>
      <c r="F257">
        <v>100</v>
      </c>
      <c r="G257" s="15">
        <f t="shared" si="100"/>
        <v>11.860802972092435</v>
      </c>
      <c r="I257" s="21" t="s">
        <v>31</v>
      </c>
      <c r="J257" s="52">
        <v>100563.5020608902</v>
      </c>
      <c r="K257" s="14">
        <f>J257/J260</f>
        <v>1.989870493364216E-2</v>
      </c>
      <c r="L257">
        <v>100</v>
      </c>
      <c r="M257" s="15">
        <f t="shared" si="101"/>
        <v>1.989870493364216</v>
      </c>
      <c r="O257" s="38" t="s">
        <v>31</v>
      </c>
      <c r="P257" s="13">
        <v>3791</v>
      </c>
      <c r="Q257" s="14">
        <f>P257/P259</f>
        <v>2.0649385311756151E-2</v>
      </c>
      <c r="R257">
        <v>100</v>
      </c>
      <c r="S257" s="40">
        <f t="shared" si="102"/>
        <v>2.0649385311756152</v>
      </c>
      <c r="U257" s="46" t="s">
        <v>33</v>
      </c>
      <c r="V257" s="52">
        <v>3433000</v>
      </c>
      <c r="W257" s="14">
        <f>V257/V258</f>
        <v>6.2321017686062187E-4</v>
      </c>
      <c r="X257">
        <v>99.84</v>
      </c>
      <c r="Y257" s="48">
        <f>W257*X257</f>
        <v>6.2221304057764493E-2</v>
      </c>
    </row>
    <row r="258" spans="1:25" ht="15" thickBot="1" x14ac:dyDescent="0.4">
      <c r="A258" s="24">
        <f>SUM(A255:A257)</f>
        <v>1283762</v>
      </c>
      <c r="B258" s="2"/>
      <c r="C258" s="21" t="s">
        <v>32</v>
      </c>
      <c r="D258" s="13">
        <v>172</v>
      </c>
      <c r="E258" s="14">
        <f>D258/D260</f>
        <v>1.0003128885663073E-4</v>
      </c>
      <c r="F258">
        <v>100</v>
      </c>
      <c r="G258" s="15">
        <f t="shared" si="100"/>
        <v>1.0003128885663072E-2</v>
      </c>
      <c r="I258" s="21" t="s">
        <v>32</v>
      </c>
      <c r="J258" s="52">
        <v>203.02661800384521</v>
      </c>
      <c r="K258" s="14">
        <f>J258/J260</f>
        <v>4.0173290334376356E-5</v>
      </c>
      <c r="L258">
        <v>100</v>
      </c>
      <c r="M258" s="15">
        <f t="shared" si="101"/>
        <v>4.0173290334376355E-3</v>
      </c>
      <c r="O258" s="38" t="s">
        <v>33</v>
      </c>
      <c r="P258" s="13">
        <v>235</v>
      </c>
      <c r="Q258" s="14">
        <f>P258/P259</f>
        <v>1.2800331174525708E-3</v>
      </c>
      <c r="R258">
        <v>99.8</v>
      </c>
      <c r="S258" s="40">
        <f>Q258*R258</f>
        <v>0.12774730512176655</v>
      </c>
      <c r="U258" s="46"/>
      <c r="V258" s="52">
        <f>SUM(V254:V257)</f>
        <v>5508575000</v>
      </c>
      <c r="W258" s="32">
        <f>SUM(W254:W257)</f>
        <v>0.99999999999999989</v>
      </c>
      <c r="X258" s="33">
        <f>AVERAGE(X254:X257)</f>
        <v>99.949999999999989</v>
      </c>
      <c r="Y258" s="58">
        <f>SUM(Y254:Y257)</f>
        <v>99.999730681709863</v>
      </c>
    </row>
    <row r="259" spans="1:25" ht="15.5" thickTop="1" thickBot="1" x14ac:dyDescent="0.4">
      <c r="B259" s="2"/>
      <c r="C259" s="21" t="s">
        <v>33</v>
      </c>
      <c r="D259" s="13">
        <v>90659</v>
      </c>
      <c r="E259" s="16">
        <f>D259/D260</f>
        <v>5.2725212886356315E-2</v>
      </c>
      <c r="F259" s="17">
        <v>99.4</v>
      </c>
      <c r="G259" s="15">
        <f t="shared" si="100"/>
        <v>5.240886160903818</v>
      </c>
      <c r="I259" s="21" t="s">
        <v>33</v>
      </c>
      <c r="J259" s="52">
        <v>345935.58197784424</v>
      </c>
      <c r="K259" s="16">
        <f>J259/J260</f>
        <v>6.845097804625884E-2</v>
      </c>
      <c r="L259" s="17">
        <v>99.84</v>
      </c>
      <c r="M259" s="15">
        <f t="shared" si="101"/>
        <v>6.8341456481384828</v>
      </c>
      <c r="O259" s="38"/>
      <c r="P259" s="31">
        <f>SUM(P254:P258)</f>
        <v>183589</v>
      </c>
      <c r="Q259" s="32">
        <f>SUM(Q254:Q258)</f>
        <v>1</v>
      </c>
      <c r="R259" s="33">
        <f>AVERAGE(R254:R258)</f>
        <v>99.927999999999997</v>
      </c>
      <c r="S259" s="41">
        <f>SUM(S254:S258)</f>
        <v>99.959906530347681</v>
      </c>
      <c r="U259" s="46"/>
      <c r="V259" s="42"/>
      <c r="W259" s="42"/>
      <c r="X259" s="42"/>
      <c r="Y259" s="48"/>
    </row>
    <row r="260" spans="1:25" ht="15" thickBot="1" x14ac:dyDescent="0.4">
      <c r="A260" s="10"/>
      <c r="B260" s="10"/>
      <c r="C260" s="10"/>
      <c r="D260" s="49">
        <f>SUM(D254:D259)</f>
        <v>1719462</v>
      </c>
      <c r="E260" s="50">
        <f>SUM(E254:E259)</f>
        <v>1</v>
      </c>
      <c r="F260" s="51">
        <f>AVERAGE(F254:F259)</f>
        <v>99.899999999999991</v>
      </c>
      <c r="G260" s="26">
        <f>SUM(G254:G259)</f>
        <v>99.968364872268168</v>
      </c>
      <c r="I260" s="10"/>
      <c r="J260" s="49">
        <f>SUM(J254:J259)</f>
        <v>5053771.2075357437</v>
      </c>
      <c r="K260" s="50">
        <f>SUM(K254:K259)</f>
        <v>1</v>
      </c>
      <c r="L260" s="51">
        <f>AVERAGE(L254:L259)</f>
        <v>99.806666666666672</v>
      </c>
      <c r="M260" s="26">
        <f>SUM(M254:M259)</f>
        <v>99.853586757737531</v>
      </c>
      <c r="O260" s="34"/>
      <c r="P260" s="34"/>
      <c r="Q260" s="34"/>
      <c r="R260" s="36"/>
      <c r="S260" s="40"/>
      <c r="U260" s="42"/>
      <c r="V260" s="42"/>
      <c r="W260" s="42"/>
      <c r="X260" s="44"/>
      <c r="Y260" s="45"/>
    </row>
    <row r="261" spans="1:25" ht="15" thickTop="1" x14ac:dyDescent="0.35">
      <c r="A261" s="29" t="s">
        <v>183</v>
      </c>
      <c r="B261" s="28"/>
      <c r="C261" s="28"/>
      <c r="D261" s="28"/>
      <c r="E261" s="28"/>
      <c r="F261" s="28"/>
      <c r="G261" s="28"/>
      <c r="I261" s="28"/>
      <c r="J261" s="28"/>
      <c r="K261" s="28"/>
      <c r="L261" s="28"/>
      <c r="M261" s="28"/>
      <c r="O261" s="28"/>
      <c r="P261" s="28"/>
      <c r="Q261" s="28"/>
      <c r="R261" s="28"/>
      <c r="S261" s="28"/>
      <c r="U261" s="28"/>
      <c r="V261" s="28"/>
      <c r="W261" s="28"/>
      <c r="X261" s="28"/>
      <c r="Y261" s="28"/>
    </row>
    <row r="262" spans="1:25" x14ac:dyDescent="0.35">
      <c r="A262" s="20" t="s">
        <v>184</v>
      </c>
      <c r="B262" s="20"/>
      <c r="C262" s="56" t="s">
        <v>115</v>
      </c>
      <c r="D262" s="11"/>
      <c r="E262" s="11"/>
      <c r="F262" s="11"/>
      <c r="G262" s="30" t="s">
        <v>115</v>
      </c>
      <c r="I262" s="56" t="s">
        <v>115</v>
      </c>
      <c r="J262" s="11"/>
      <c r="K262" s="11"/>
      <c r="L262" s="11"/>
      <c r="M262" s="30" t="s">
        <v>115</v>
      </c>
      <c r="O262" s="55" t="s">
        <v>116</v>
      </c>
      <c r="P262" s="34"/>
      <c r="Q262" s="34"/>
      <c r="R262" s="34"/>
      <c r="S262" s="35" t="s">
        <v>116</v>
      </c>
      <c r="U262" s="57" t="s">
        <v>117</v>
      </c>
      <c r="V262" s="42"/>
      <c r="W262" s="42"/>
      <c r="X262" s="42"/>
      <c r="Y262" s="43" t="s">
        <v>117</v>
      </c>
    </row>
    <row r="263" spans="1:25" ht="15" thickBot="1" x14ac:dyDescent="0.4">
      <c r="A263" s="2"/>
      <c r="B263" s="2"/>
      <c r="C263" s="2"/>
      <c r="D263" s="18" t="s">
        <v>118</v>
      </c>
      <c r="E263" s="19" t="s">
        <v>119</v>
      </c>
      <c r="F263" s="18" t="s">
        <v>120</v>
      </c>
      <c r="G263" s="12" t="s">
        <v>121</v>
      </c>
      <c r="I263" s="2"/>
      <c r="J263" s="18" t="s">
        <v>118</v>
      </c>
      <c r="K263" s="19" t="s">
        <v>119</v>
      </c>
      <c r="L263" s="18" t="s">
        <v>120</v>
      </c>
      <c r="M263" s="12" t="s">
        <v>121</v>
      </c>
      <c r="O263" s="34"/>
      <c r="P263" s="18" t="s">
        <v>118</v>
      </c>
      <c r="Q263" s="19" t="s">
        <v>119</v>
      </c>
      <c r="R263" s="18" t="s">
        <v>120</v>
      </c>
      <c r="S263" s="39" t="s">
        <v>121</v>
      </c>
      <c r="U263" s="42"/>
      <c r="V263" s="18" t="s">
        <v>118</v>
      </c>
      <c r="W263" s="19" t="s">
        <v>119</v>
      </c>
      <c r="X263" s="18" t="s">
        <v>120</v>
      </c>
      <c r="Y263" s="47" t="s">
        <v>121</v>
      </c>
    </row>
    <row r="264" spans="1:25" ht="15" thickTop="1" x14ac:dyDescent="0.35">
      <c r="A264" s="22" t="s">
        <v>122</v>
      </c>
      <c r="B264" s="2"/>
      <c r="C264" s="21" t="s">
        <v>25</v>
      </c>
      <c r="D264" s="25">
        <v>1283762</v>
      </c>
      <c r="E264" s="14">
        <f>D264/D270</f>
        <v>0.74660678747189524</v>
      </c>
      <c r="F264">
        <v>99.92</v>
      </c>
      <c r="G264" s="15">
        <f t="shared" ref="G264:G269" si="104">E264*F264</f>
        <v>74.600950204191776</v>
      </c>
      <c r="I264" s="21" t="s">
        <v>25</v>
      </c>
      <c r="J264" s="52">
        <v>3911902.6516618701</v>
      </c>
      <c r="K264" s="14">
        <f>J264/J270</f>
        <v>0.77405614362375241</v>
      </c>
      <c r="L264">
        <v>99.92</v>
      </c>
      <c r="M264" s="15">
        <f t="shared" ref="M264:M269" si="105">K264*L264</f>
        <v>77.343689870885342</v>
      </c>
      <c r="O264" s="38" t="s">
        <v>25</v>
      </c>
      <c r="P264" s="13">
        <v>69361</v>
      </c>
      <c r="Q264" s="14">
        <f>P264/P269</f>
        <v>0.37780585982820319</v>
      </c>
      <c r="R264">
        <v>99.92</v>
      </c>
      <c r="S264" s="40">
        <f t="shared" ref="S264:S267" si="106">Q264*R264</f>
        <v>37.750361514034061</v>
      </c>
      <c r="U264" s="46" t="s">
        <v>25</v>
      </c>
      <c r="V264" s="52">
        <v>4175822000</v>
      </c>
      <c r="W264" s="14">
        <f>V264/V268</f>
        <v>0.75805848154922095</v>
      </c>
      <c r="X264">
        <v>99.92</v>
      </c>
      <c r="Y264" s="48">
        <f t="shared" ref="Y264:Y265" si="107">W264*X264</f>
        <v>75.74520347639816</v>
      </c>
    </row>
    <row r="265" spans="1:25" x14ac:dyDescent="0.35">
      <c r="A265" s="23">
        <v>1280247</v>
      </c>
      <c r="B265" s="2"/>
      <c r="C265" s="21" t="s">
        <v>29</v>
      </c>
      <c r="D265" s="13">
        <v>134419</v>
      </c>
      <c r="E265" s="14">
        <f>D265/D270</f>
        <v>7.817503381871771E-2</v>
      </c>
      <c r="F265">
        <v>99.81</v>
      </c>
      <c r="G265" s="15">
        <f t="shared" si="104"/>
        <v>7.8026501254462151</v>
      </c>
      <c r="I265" s="21" t="s">
        <v>29</v>
      </c>
      <c r="J265" s="52">
        <v>684589.3350315094</v>
      </c>
      <c r="K265" s="14">
        <f>J265/J270</f>
        <v>0.13546108577505642</v>
      </c>
      <c r="L265">
        <v>99.81</v>
      </c>
      <c r="M265" s="15">
        <f t="shared" si="105"/>
        <v>13.520370971208381</v>
      </c>
      <c r="O265" s="38" t="s">
        <v>29</v>
      </c>
      <c r="P265" s="13">
        <v>3280</v>
      </c>
      <c r="Q265" s="14">
        <f>P265/P269</f>
        <v>1.7865994149976305E-2</v>
      </c>
      <c r="R265">
        <v>99.81</v>
      </c>
      <c r="S265" s="40">
        <f t="shared" si="106"/>
        <v>1.783204876109135</v>
      </c>
      <c r="U265" s="46" t="s">
        <v>29</v>
      </c>
      <c r="V265" s="52">
        <v>23357000</v>
      </c>
      <c r="W265" s="14">
        <f>V265/V268</f>
        <v>4.2401165455675923E-3</v>
      </c>
      <c r="X265">
        <v>99.81</v>
      </c>
      <c r="Y265" s="48">
        <f t="shared" si="107"/>
        <v>0.4232060324131014</v>
      </c>
    </row>
    <row r="266" spans="1:25" x14ac:dyDescent="0.35">
      <c r="A266" s="23">
        <v>12</v>
      </c>
      <c r="B266" s="2"/>
      <c r="C266" s="21" t="s">
        <v>30</v>
      </c>
      <c r="D266" s="13">
        <v>6508</v>
      </c>
      <c r="E266" s="14">
        <f>D266/D270</f>
        <v>3.7849048132497258E-3</v>
      </c>
      <c r="F266">
        <v>99.92</v>
      </c>
      <c r="G266" s="15">
        <f t="shared" si="104"/>
        <v>0.37818768893991261</v>
      </c>
      <c r="I266" s="21" t="s">
        <v>30</v>
      </c>
      <c r="J266" s="52">
        <v>10577.110185623169</v>
      </c>
      <c r="K266" s="14">
        <f>J266/J270</f>
        <v>2.0929143309557641E-3</v>
      </c>
      <c r="L266">
        <v>99.92</v>
      </c>
      <c r="M266" s="15">
        <f t="shared" si="105"/>
        <v>0.20912399994909994</v>
      </c>
      <c r="O266" s="38" t="s">
        <v>30</v>
      </c>
      <c r="P266" s="13">
        <v>106922</v>
      </c>
      <c r="Q266" s="14">
        <f>P266/P269</f>
        <v>0.5823987275926118</v>
      </c>
      <c r="R266">
        <v>99.92</v>
      </c>
      <c r="S266" s="40">
        <f t="shared" si="106"/>
        <v>58.193280861053772</v>
      </c>
      <c r="U266" s="46" t="s">
        <v>31</v>
      </c>
      <c r="V266" s="52">
        <v>1305963000</v>
      </c>
      <c r="W266" s="14">
        <f>V266/V268</f>
        <v>0.23707819172835079</v>
      </c>
      <c r="X266">
        <v>99.92</v>
      </c>
      <c r="Y266" s="48">
        <f>W266*X266</f>
        <v>23.68885291749681</v>
      </c>
    </row>
    <row r="267" spans="1:25" x14ac:dyDescent="0.35">
      <c r="A267" s="23">
        <v>3503</v>
      </c>
      <c r="B267" s="2"/>
      <c r="C267" s="21" t="s">
        <v>31</v>
      </c>
      <c r="D267" s="13">
        <v>203942</v>
      </c>
      <c r="E267" s="14">
        <f>D267/D270</f>
        <v>0.11860802972092434</v>
      </c>
      <c r="F267">
        <v>99.92</v>
      </c>
      <c r="G267" s="15">
        <f t="shared" si="104"/>
        <v>11.851314329714761</v>
      </c>
      <c r="I267" s="21" t="s">
        <v>31</v>
      </c>
      <c r="J267" s="52">
        <v>100563.5020608902</v>
      </c>
      <c r="K267" s="14">
        <f>J267/J270</f>
        <v>1.989870493364217E-2</v>
      </c>
      <c r="L267">
        <v>99.92</v>
      </c>
      <c r="M267" s="15">
        <f t="shared" si="105"/>
        <v>1.9882785969695256</v>
      </c>
      <c r="O267" s="38" t="s">
        <v>31</v>
      </c>
      <c r="P267" s="13">
        <v>3791</v>
      </c>
      <c r="Q267" s="14">
        <f>P267/P269</f>
        <v>2.0649385311756151E-2</v>
      </c>
      <c r="R267">
        <v>99.92</v>
      </c>
      <c r="S267" s="40">
        <f t="shared" si="106"/>
        <v>2.0632865803506748</v>
      </c>
      <c r="U267" s="46" t="s">
        <v>33</v>
      </c>
      <c r="V267" s="52">
        <v>3433000</v>
      </c>
      <c r="W267" s="14">
        <f>V267/V268</f>
        <v>6.2321017686062187E-4</v>
      </c>
      <c r="X267">
        <v>99.89</v>
      </c>
      <c r="Y267" s="48">
        <f>W267*X267</f>
        <v>6.2252464566607518E-2</v>
      </c>
    </row>
    <row r="268" spans="1:25" ht="15" thickBot="1" x14ac:dyDescent="0.4">
      <c r="A268" s="24">
        <f>SUM(A265:A267)</f>
        <v>1283762</v>
      </c>
      <c r="B268" s="2"/>
      <c r="C268" s="21" t="s">
        <v>32</v>
      </c>
      <c r="D268" s="13">
        <v>172</v>
      </c>
      <c r="E268" s="14">
        <f>D268/D270</f>
        <v>1.0003128885663073E-4</v>
      </c>
      <c r="F268">
        <v>99.92</v>
      </c>
      <c r="G268" s="15">
        <f t="shared" si="104"/>
        <v>9.9951263825545436E-3</v>
      </c>
      <c r="I268" s="21" t="s">
        <v>32</v>
      </c>
      <c r="J268" s="52">
        <v>203.02661800384521</v>
      </c>
      <c r="K268" s="14">
        <f>J268/J270</f>
        <v>4.0173290334376376E-5</v>
      </c>
      <c r="L268">
        <v>99.92</v>
      </c>
      <c r="M268" s="15">
        <f t="shared" si="105"/>
        <v>4.0141151702108874E-3</v>
      </c>
      <c r="O268" s="38" t="s">
        <v>33</v>
      </c>
      <c r="P268" s="13">
        <v>235</v>
      </c>
      <c r="Q268" s="14">
        <f>P268/P269</f>
        <v>1.2800331174525708E-3</v>
      </c>
      <c r="R268">
        <v>99.89</v>
      </c>
      <c r="S268" s="40">
        <f>Q268*R268</f>
        <v>0.12786250810233729</v>
      </c>
      <c r="U268" s="46"/>
      <c r="V268" s="52">
        <f>SUM(V264:V267)</f>
        <v>5508575000</v>
      </c>
      <c r="W268" s="32">
        <f>SUM(W264:W267)</f>
        <v>0.99999999999999989</v>
      </c>
      <c r="X268" s="33">
        <f>AVERAGE(X264:X267)</f>
        <v>99.885000000000005</v>
      </c>
      <c r="Y268" s="58">
        <f>SUM(Y264:Y267)</f>
        <v>99.91951489087468</v>
      </c>
    </row>
    <row r="269" spans="1:25" ht="15.5" thickTop="1" thickBot="1" x14ac:dyDescent="0.4">
      <c r="B269" s="2"/>
      <c r="C269" s="21" t="s">
        <v>33</v>
      </c>
      <c r="D269" s="13">
        <v>90659</v>
      </c>
      <c r="E269" s="16">
        <f>D269/D270</f>
        <v>5.2725212886356315E-2</v>
      </c>
      <c r="F269">
        <v>99.87</v>
      </c>
      <c r="G269" s="15">
        <f t="shared" si="104"/>
        <v>5.2656670109604056</v>
      </c>
      <c r="I269" s="21" t="s">
        <v>33</v>
      </c>
      <c r="J269" s="52">
        <v>345935.58197784424</v>
      </c>
      <c r="K269" s="16">
        <f>J269/J270</f>
        <v>6.8450978046258881E-2</v>
      </c>
      <c r="L269">
        <v>99.87</v>
      </c>
      <c r="M269" s="15">
        <f t="shared" si="105"/>
        <v>6.8361991774798749</v>
      </c>
      <c r="O269" s="38"/>
      <c r="P269" s="31">
        <f>SUM(P264:P268)</f>
        <v>183589</v>
      </c>
      <c r="Q269" s="32">
        <f>SUM(Q264:Q268)</f>
        <v>1</v>
      </c>
      <c r="R269" s="33">
        <f>AVERAGE(R264:R268)</f>
        <v>99.89200000000001</v>
      </c>
      <c r="S269" s="41">
        <f>SUM(S264:S268)</f>
        <v>99.917996339649989</v>
      </c>
      <c r="U269" s="46"/>
      <c r="V269" s="42"/>
      <c r="W269" s="42"/>
      <c r="X269" s="42"/>
      <c r="Y269" s="48"/>
    </row>
    <row r="270" spans="1:25" ht="15" thickBot="1" x14ac:dyDescent="0.4">
      <c r="A270" s="10"/>
      <c r="B270" s="10"/>
      <c r="C270" s="10"/>
      <c r="D270" s="49">
        <f>SUM(D264:D269)</f>
        <v>1719462</v>
      </c>
      <c r="E270" s="50">
        <f>SUM(E264:E269)</f>
        <v>1</v>
      </c>
      <c r="F270" s="51">
        <f>AVERAGE(F264:F269)</f>
        <v>99.893333333333359</v>
      </c>
      <c r="G270" s="26">
        <f>SUM(G264:G269)</f>
        <v>99.908764485635629</v>
      </c>
      <c r="I270" s="10"/>
      <c r="J270" s="49">
        <f>SUM(J264:J269)</f>
        <v>5053771.2075357409</v>
      </c>
      <c r="K270" s="50">
        <f>SUM(K264:K269)</f>
        <v>1</v>
      </c>
      <c r="L270" s="51">
        <f>AVERAGE(L264:L269)</f>
        <v>99.893333333333359</v>
      </c>
      <c r="M270" s="26">
        <f>SUM(M264:M269)</f>
        <v>99.90167673166242</v>
      </c>
      <c r="O270" s="34"/>
      <c r="P270" s="34"/>
      <c r="Q270" s="34"/>
      <c r="R270" s="36"/>
      <c r="S270" s="40"/>
      <c r="U270" s="42"/>
      <c r="V270" s="42"/>
      <c r="W270" s="42"/>
      <c r="X270" s="44"/>
      <c r="Y270" s="45"/>
    </row>
    <row r="271" spans="1:25" ht="15" thickTop="1" x14ac:dyDescent="0.35">
      <c r="A271" s="29" t="s">
        <v>185</v>
      </c>
      <c r="B271" s="28"/>
      <c r="C271" s="28"/>
      <c r="D271" s="28"/>
      <c r="E271" s="28"/>
      <c r="F271" s="28"/>
      <c r="G271" s="28"/>
      <c r="I271" s="28"/>
      <c r="J271" s="28"/>
      <c r="K271" s="28"/>
      <c r="L271" s="28"/>
      <c r="M271" s="28"/>
      <c r="O271" s="28"/>
      <c r="P271" s="28"/>
      <c r="Q271" s="28"/>
      <c r="R271" s="28"/>
      <c r="S271" s="28"/>
      <c r="U271" s="28"/>
      <c r="V271" s="28"/>
      <c r="W271" s="28"/>
      <c r="X271" s="28"/>
      <c r="Y271" s="28"/>
    </row>
    <row r="272" spans="1:25" x14ac:dyDescent="0.35">
      <c r="A272" s="20" t="s">
        <v>185</v>
      </c>
      <c r="B272" s="20"/>
      <c r="C272" s="56" t="s">
        <v>115</v>
      </c>
      <c r="D272" s="11"/>
      <c r="E272" s="11"/>
      <c r="F272" s="11"/>
      <c r="G272" s="30" t="s">
        <v>115</v>
      </c>
      <c r="I272" s="56" t="s">
        <v>115</v>
      </c>
      <c r="J272" s="11"/>
      <c r="K272" s="11"/>
      <c r="L272" s="11"/>
      <c r="M272" s="30" t="s">
        <v>115</v>
      </c>
      <c r="O272" s="55" t="s">
        <v>116</v>
      </c>
      <c r="P272" s="34"/>
      <c r="Q272" s="34"/>
      <c r="R272" s="34"/>
      <c r="S272" s="35" t="s">
        <v>116</v>
      </c>
      <c r="U272" s="57" t="s">
        <v>117</v>
      </c>
      <c r="V272" s="42"/>
      <c r="W272" s="42"/>
      <c r="X272" s="42"/>
      <c r="Y272" s="43" t="s">
        <v>117</v>
      </c>
    </row>
    <row r="273" spans="1:25" ht="15" thickBot="1" x14ac:dyDescent="0.4">
      <c r="A273" s="2"/>
      <c r="B273" s="2"/>
      <c r="C273" s="2"/>
      <c r="D273" s="18" t="s">
        <v>118</v>
      </c>
      <c r="E273" s="19" t="s">
        <v>119</v>
      </c>
      <c r="F273" s="18" t="s">
        <v>120</v>
      </c>
      <c r="G273" s="12" t="s">
        <v>121</v>
      </c>
      <c r="I273" s="2"/>
      <c r="J273" s="18" t="s">
        <v>118</v>
      </c>
      <c r="K273" s="19" t="s">
        <v>119</v>
      </c>
      <c r="L273" s="18" t="s">
        <v>120</v>
      </c>
      <c r="M273" s="12" t="s">
        <v>121</v>
      </c>
      <c r="O273" s="34"/>
      <c r="P273" s="18" t="s">
        <v>118</v>
      </c>
      <c r="Q273" s="19" t="s">
        <v>119</v>
      </c>
      <c r="R273" s="18" t="s">
        <v>120</v>
      </c>
      <c r="S273" s="39" t="s">
        <v>121</v>
      </c>
      <c r="U273" s="42"/>
      <c r="V273" s="18" t="s">
        <v>118</v>
      </c>
      <c r="W273" s="19" t="s">
        <v>119</v>
      </c>
      <c r="X273" s="18" t="s">
        <v>120</v>
      </c>
      <c r="Y273" s="47" t="s">
        <v>121</v>
      </c>
    </row>
    <row r="274" spans="1:25" ht="15" thickTop="1" x14ac:dyDescent="0.35">
      <c r="A274" s="22" t="s">
        <v>122</v>
      </c>
      <c r="B274" s="2"/>
      <c r="C274" s="21" t="s">
        <v>25</v>
      </c>
      <c r="D274" s="25">
        <v>1283762</v>
      </c>
      <c r="E274" s="14">
        <f>D274/D280</f>
        <v>0.74660678747189524</v>
      </c>
      <c r="F274">
        <v>99.96</v>
      </c>
      <c r="G274" s="15">
        <f t="shared" ref="G274:G279" si="108">E274*F274</f>
        <v>74.630814475690642</v>
      </c>
      <c r="I274" s="21" t="s">
        <v>25</v>
      </c>
      <c r="J274" s="52">
        <v>3911902.6516618701</v>
      </c>
      <c r="K274" s="14">
        <f>J274/J280</f>
        <v>0.77405614362375241</v>
      </c>
      <c r="L274">
        <v>99.52</v>
      </c>
      <c r="M274" s="15">
        <f t="shared" ref="M274:M279" si="109">K274*L274</f>
        <v>77.034067413435835</v>
      </c>
      <c r="O274" s="38" t="s">
        <v>25</v>
      </c>
      <c r="P274" s="13">
        <v>69361</v>
      </c>
      <c r="Q274" s="14">
        <f>P274/P279</f>
        <v>0.37780585982820319</v>
      </c>
      <c r="R274">
        <v>99.52</v>
      </c>
      <c r="S274" s="40">
        <f>Q274*R274</f>
        <v>37.599239170102777</v>
      </c>
      <c r="U274" s="46" t="s">
        <v>25</v>
      </c>
      <c r="V274" s="52">
        <v>4175822000</v>
      </c>
      <c r="W274" s="14">
        <f>V274/V278</f>
        <v>0.75805848154922095</v>
      </c>
      <c r="X274">
        <v>99.52</v>
      </c>
      <c r="Y274" s="48">
        <f t="shared" ref="Y274:Y275" si="110">W274*X274</f>
        <v>75.441980083778461</v>
      </c>
    </row>
    <row r="275" spans="1:25" x14ac:dyDescent="0.35">
      <c r="A275" s="23">
        <v>1280247</v>
      </c>
      <c r="B275" s="2"/>
      <c r="C275" s="21" t="s">
        <v>29</v>
      </c>
      <c r="D275" s="13">
        <v>134419</v>
      </c>
      <c r="E275" s="14">
        <f>D275/D280</f>
        <v>7.817503381871771E-2</v>
      </c>
      <c r="F275">
        <v>99.86</v>
      </c>
      <c r="G275" s="15">
        <f t="shared" si="108"/>
        <v>7.8065588771371504</v>
      </c>
      <c r="I275" s="21" t="s">
        <v>29</v>
      </c>
      <c r="J275" s="52">
        <v>684589.3350315094</v>
      </c>
      <c r="K275" s="14">
        <f>J275/J280</f>
        <v>0.13546108577505642</v>
      </c>
      <c r="L275">
        <v>98.83</v>
      </c>
      <c r="M275" s="15">
        <f t="shared" si="109"/>
        <v>13.387619107148826</v>
      </c>
      <c r="O275" s="38" t="s">
        <v>29</v>
      </c>
      <c r="P275" s="13">
        <v>3280</v>
      </c>
      <c r="Q275" s="14">
        <f>P275/P279</f>
        <v>1.7865994149976305E-2</v>
      </c>
      <c r="R275">
        <v>98.83</v>
      </c>
      <c r="S275" s="40">
        <f>Q275*R275</f>
        <v>1.7656962018421583</v>
      </c>
      <c r="U275" s="46" t="s">
        <v>29</v>
      </c>
      <c r="V275" s="52">
        <v>23357000</v>
      </c>
      <c r="W275" s="14">
        <f>V275/V278</f>
        <v>4.2401165455675923E-3</v>
      </c>
      <c r="X275">
        <v>98.83</v>
      </c>
      <c r="Y275" s="48">
        <f t="shared" si="110"/>
        <v>0.41905071819844514</v>
      </c>
    </row>
    <row r="276" spans="1:25" x14ac:dyDescent="0.35">
      <c r="A276" s="23">
        <v>12</v>
      </c>
      <c r="B276" s="2"/>
      <c r="C276" s="21" t="s">
        <v>30</v>
      </c>
      <c r="D276" s="13">
        <v>6508</v>
      </c>
      <c r="E276" s="14">
        <f>D276/D280</f>
        <v>3.7849048132497258E-3</v>
      </c>
      <c r="F276">
        <v>99.96</v>
      </c>
      <c r="G276" s="15">
        <f t="shared" si="108"/>
        <v>0.37833908513244258</v>
      </c>
      <c r="I276" s="21" t="s">
        <v>30</v>
      </c>
      <c r="J276" s="52">
        <v>10577.110185623169</v>
      </c>
      <c r="K276" s="14">
        <f>J276/J280</f>
        <v>2.0929143309557641E-3</v>
      </c>
      <c r="L276">
        <v>99.52</v>
      </c>
      <c r="M276" s="15">
        <f t="shared" si="109"/>
        <v>0.20828683421671762</v>
      </c>
      <c r="O276" s="38" t="s">
        <v>30</v>
      </c>
      <c r="P276" s="13">
        <v>106922</v>
      </c>
      <c r="Q276" s="14">
        <f>P276/P279</f>
        <v>0.5823987275926118</v>
      </c>
      <c r="R276">
        <v>99.52</v>
      </c>
      <c r="S276" s="40">
        <f>Q276*R276</f>
        <v>57.960321370016722</v>
      </c>
      <c r="U276" s="46" t="s">
        <v>31</v>
      </c>
      <c r="V276" s="52">
        <v>1305963000</v>
      </c>
      <c r="W276" s="14">
        <f>V276/V278</f>
        <v>0.23707819172835079</v>
      </c>
      <c r="X276">
        <v>99.52</v>
      </c>
      <c r="Y276" s="48">
        <f>W276*X276</f>
        <v>23.594021640805469</v>
      </c>
    </row>
    <row r="277" spans="1:25" x14ac:dyDescent="0.35">
      <c r="A277" s="23">
        <v>3503</v>
      </c>
      <c r="B277" s="2"/>
      <c r="C277" s="21" t="s">
        <v>31</v>
      </c>
      <c r="D277" s="13">
        <v>203942</v>
      </c>
      <c r="E277" s="14">
        <f>D277/D280</f>
        <v>0.11860802972092434</v>
      </c>
      <c r="F277">
        <v>99.96</v>
      </c>
      <c r="G277" s="15">
        <f t="shared" si="108"/>
        <v>11.856058650903597</v>
      </c>
      <c r="I277" s="21" t="s">
        <v>31</v>
      </c>
      <c r="J277" s="52">
        <v>100563.5020608902</v>
      </c>
      <c r="K277" s="14">
        <f>J277/J280</f>
        <v>1.989870493364217E-2</v>
      </c>
      <c r="L277">
        <v>99.52</v>
      </c>
      <c r="M277" s="15">
        <f t="shared" si="109"/>
        <v>1.9803191149960686</v>
      </c>
      <c r="O277" s="38" t="s">
        <v>31</v>
      </c>
      <c r="P277" s="13">
        <v>3791</v>
      </c>
      <c r="Q277" s="14">
        <f>P277/P279</f>
        <v>2.0649385311756151E-2</v>
      </c>
      <c r="R277">
        <v>99.52</v>
      </c>
      <c r="S277" s="40">
        <f>Q277*R277</f>
        <v>2.0550268262259723</v>
      </c>
      <c r="U277" s="46" t="s">
        <v>33</v>
      </c>
      <c r="V277" s="52">
        <v>3433000</v>
      </c>
      <c r="W277" s="14">
        <f>V277/V278</f>
        <v>6.2321017686062187E-4</v>
      </c>
      <c r="X277">
        <v>99.34</v>
      </c>
      <c r="Y277" s="48">
        <f>W277*X277</f>
        <v>6.1909698969334181E-2</v>
      </c>
    </row>
    <row r="278" spans="1:25" ht="15" thickBot="1" x14ac:dyDescent="0.4">
      <c r="A278" s="24">
        <f>SUM(A275:A277)</f>
        <v>1283762</v>
      </c>
      <c r="B278" s="2"/>
      <c r="C278" s="21" t="s">
        <v>32</v>
      </c>
      <c r="D278" s="13">
        <v>172</v>
      </c>
      <c r="E278" s="14">
        <f>D278/D280</f>
        <v>1.0003128885663073E-4</v>
      </c>
      <c r="F278">
        <v>99.96</v>
      </c>
      <c r="G278" s="15">
        <f t="shared" si="108"/>
        <v>9.9991276341088071E-3</v>
      </c>
      <c r="I278" s="21" t="s">
        <v>32</v>
      </c>
      <c r="J278" s="52">
        <v>203.02661800384521</v>
      </c>
      <c r="K278" s="14">
        <f>J278/J280</f>
        <v>4.0173290334376376E-5</v>
      </c>
      <c r="L278">
        <v>99.52</v>
      </c>
      <c r="M278" s="15">
        <f t="shared" si="109"/>
        <v>3.9980458540771367E-3</v>
      </c>
      <c r="O278" s="38" t="s">
        <v>33</v>
      </c>
      <c r="P278" s="13">
        <v>235</v>
      </c>
      <c r="Q278" s="14">
        <f>P278/P279</f>
        <v>1.2800331174525708E-3</v>
      </c>
      <c r="R278">
        <v>99.34</v>
      </c>
      <c r="S278" s="40">
        <f>Q278*R278</f>
        <v>0.1271584898877384</v>
      </c>
      <c r="U278" s="46"/>
      <c r="V278" s="52">
        <f>SUM(V274:V277)</f>
        <v>5508575000</v>
      </c>
      <c r="W278" s="32">
        <f>SUM(W274:W277)</f>
        <v>0.99999999999999989</v>
      </c>
      <c r="X278" s="33">
        <f>AVERAGE(X274:X277)</f>
        <v>99.302500000000009</v>
      </c>
      <c r="Y278" s="58">
        <f>SUM(Y274:Y277)</f>
        <v>99.516962141751705</v>
      </c>
    </row>
    <row r="279" spans="1:25" ht="15.5" thickTop="1" thickBot="1" x14ac:dyDescent="0.4">
      <c r="B279" s="2"/>
      <c r="C279" s="21" t="s">
        <v>33</v>
      </c>
      <c r="D279" s="13">
        <v>90659</v>
      </c>
      <c r="E279" s="16">
        <f>D279/D280</f>
        <v>5.2725212886356315E-2</v>
      </c>
      <c r="F279">
        <v>99.77</v>
      </c>
      <c r="G279" s="15">
        <f t="shared" si="108"/>
        <v>5.2603944896717696</v>
      </c>
      <c r="I279" s="21" t="s">
        <v>33</v>
      </c>
      <c r="J279" s="52">
        <v>345935.58197784424</v>
      </c>
      <c r="K279" s="16">
        <f>J279/J280</f>
        <v>6.8450978046258881E-2</v>
      </c>
      <c r="L279">
        <v>99.2</v>
      </c>
      <c r="M279" s="15">
        <f t="shared" si="109"/>
        <v>6.790337022188881</v>
      </c>
      <c r="O279" s="38"/>
      <c r="P279" s="31">
        <f>SUM(P274:P278)</f>
        <v>183589</v>
      </c>
      <c r="Q279" s="32">
        <f>SUM(Q274:Q278)</f>
        <v>1</v>
      </c>
      <c r="R279" s="33">
        <f>AVERAGE(R274:R278)</f>
        <v>99.346000000000004</v>
      </c>
      <c r="S279" s="41">
        <f>SUM(S274:S278)</f>
        <v>99.507442058075355</v>
      </c>
      <c r="U279" s="46"/>
      <c r="V279" s="42"/>
      <c r="W279" s="42"/>
      <c r="X279" s="42"/>
      <c r="Y279" s="48"/>
    </row>
    <row r="280" spans="1:25" ht="15" thickBot="1" x14ac:dyDescent="0.4">
      <c r="A280" s="10"/>
      <c r="B280" s="10"/>
      <c r="C280" s="10"/>
      <c r="D280" s="49">
        <f>SUM(D274:D279)</f>
        <v>1719462</v>
      </c>
      <c r="E280" s="50">
        <f>SUM(E274:E279)</f>
        <v>1</v>
      </c>
      <c r="F280" s="51">
        <f>AVERAGE(F274:F279)</f>
        <v>99.911666666666648</v>
      </c>
      <c r="G280" s="26">
        <f>SUM(G274:G279)</f>
        <v>99.942164706169692</v>
      </c>
      <c r="I280" s="10"/>
      <c r="J280" s="49">
        <f>SUM(J274:J279)</f>
        <v>5053771.2075357409</v>
      </c>
      <c r="K280" s="50">
        <f>SUM(K274:K279)</f>
        <v>1</v>
      </c>
      <c r="L280" s="51">
        <f>AVERAGE(L274:L279)</f>
        <v>99.351666666666674</v>
      </c>
      <c r="M280" s="26">
        <f>SUM(M274:M279)</f>
        <v>99.404627537840398</v>
      </c>
      <c r="O280" s="34"/>
      <c r="P280" s="34"/>
      <c r="Q280" s="34"/>
      <c r="R280" s="36"/>
      <c r="S280" s="40"/>
      <c r="U280" s="42"/>
      <c r="V280" s="42"/>
      <c r="W280" s="42"/>
      <c r="X280" s="44"/>
      <c r="Y280" s="45"/>
    </row>
    <row r="281" spans="1:25" ht="15" thickTop="1" x14ac:dyDescent="0.35">
      <c r="A281" s="29" t="s">
        <v>188</v>
      </c>
      <c r="B281" s="28"/>
      <c r="C281" s="28"/>
      <c r="D281" s="28"/>
      <c r="E281" s="28"/>
      <c r="F281" s="28"/>
      <c r="G281" s="28"/>
      <c r="I281" s="28"/>
      <c r="J281" s="28"/>
      <c r="K281" s="28"/>
      <c r="L281" s="28"/>
      <c r="M281" s="28"/>
      <c r="O281" s="28"/>
      <c r="P281" s="28"/>
      <c r="Q281" s="28"/>
      <c r="R281" s="28"/>
      <c r="S281" s="28"/>
      <c r="U281" s="28"/>
      <c r="V281" s="28"/>
      <c r="W281" s="28"/>
      <c r="X281" s="28"/>
      <c r="Y281" s="28"/>
    </row>
    <row r="282" spans="1:25" x14ac:dyDescent="0.35">
      <c r="A282" s="20" t="s">
        <v>186</v>
      </c>
      <c r="B282" s="20"/>
      <c r="C282" s="56" t="s">
        <v>115</v>
      </c>
      <c r="D282" s="11"/>
      <c r="E282" s="11"/>
      <c r="F282" s="11"/>
      <c r="G282" s="30" t="s">
        <v>115</v>
      </c>
      <c r="I282" s="56" t="s">
        <v>115</v>
      </c>
      <c r="J282" s="11"/>
      <c r="K282" s="11"/>
      <c r="L282" s="11"/>
      <c r="M282" s="30" t="s">
        <v>115</v>
      </c>
      <c r="O282" s="55" t="s">
        <v>116</v>
      </c>
      <c r="P282" s="34"/>
      <c r="Q282" s="34"/>
      <c r="R282" s="34"/>
      <c r="S282" s="35" t="s">
        <v>116</v>
      </c>
      <c r="U282" s="57" t="s">
        <v>117</v>
      </c>
      <c r="V282" s="42"/>
      <c r="W282" s="42"/>
      <c r="X282" s="42"/>
      <c r="Y282" s="43" t="s">
        <v>117</v>
      </c>
    </row>
    <row r="283" spans="1:25" ht="15" thickBot="1" x14ac:dyDescent="0.4">
      <c r="A283" s="2"/>
      <c r="B283" s="2"/>
      <c r="C283" s="2"/>
      <c r="D283" s="18" t="s">
        <v>118</v>
      </c>
      <c r="E283" s="19" t="s">
        <v>119</v>
      </c>
      <c r="F283" s="18" t="s">
        <v>120</v>
      </c>
      <c r="G283" s="12" t="s">
        <v>121</v>
      </c>
      <c r="I283" s="2"/>
      <c r="J283" s="18" t="s">
        <v>118</v>
      </c>
      <c r="K283" s="19" t="s">
        <v>119</v>
      </c>
      <c r="L283" s="18" t="s">
        <v>120</v>
      </c>
      <c r="M283" s="12" t="s">
        <v>121</v>
      </c>
      <c r="O283" s="34"/>
      <c r="P283" s="18" t="s">
        <v>118</v>
      </c>
      <c r="Q283" s="19" t="s">
        <v>119</v>
      </c>
      <c r="R283" s="18" t="s">
        <v>120</v>
      </c>
      <c r="S283" s="39" t="s">
        <v>121</v>
      </c>
      <c r="U283" s="42"/>
      <c r="V283" s="18" t="s">
        <v>118</v>
      </c>
      <c r="W283" s="19" t="s">
        <v>119</v>
      </c>
      <c r="X283" s="18" t="s">
        <v>120</v>
      </c>
      <c r="Y283" s="47" t="s">
        <v>121</v>
      </c>
    </row>
    <row r="284" spans="1:25" ht="15" thickTop="1" x14ac:dyDescent="0.35">
      <c r="A284" s="22" t="s">
        <v>122</v>
      </c>
      <c r="B284" s="2"/>
      <c r="C284" s="21" t="s">
        <v>25</v>
      </c>
      <c r="D284" s="25">
        <v>1285053</v>
      </c>
      <c r="E284" s="14">
        <f>D284/D290</f>
        <v>0.7479134947130226</v>
      </c>
      <c r="F284">
        <v>99.93</v>
      </c>
      <c r="G284" s="15">
        <f t="shared" ref="G284:G289" si="111">E284*F284</f>
        <v>74.738995526672355</v>
      </c>
      <c r="I284" s="21" t="s">
        <v>25</v>
      </c>
      <c r="J284" s="52">
        <v>4159626.3635692601</v>
      </c>
      <c r="K284" s="14">
        <f>J284/J290</f>
        <v>0.79717824144729199</v>
      </c>
      <c r="L284">
        <v>99.93</v>
      </c>
      <c r="M284" s="15">
        <f t="shared" ref="M284:M289" si="112">K284*L284</f>
        <v>79.662021667827901</v>
      </c>
      <c r="O284" s="38" t="s">
        <v>25</v>
      </c>
      <c r="P284" s="13">
        <v>76734</v>
      </c>
      <c r="Q284" s="14">
        <f>P284/P289</f>
        <v>0.44532011699707508</v>
      </c>
      <c r="R284">
        <v>99.93</v>
      </c>
      <c r="S284" s="40">
        <f t="shared" ref="S284:S287" si="113">Q284*R284</f>
        <v>44.500839291517714</v>
      </c>
      <c r="U284" s="46" t="s">
        <v>25</v>
      </c>
      <c r="V284" s="52">
        <v>2985983000</v>
      </c>
      <c r="W284" s="14">
        <f>V284/V289</f>
        <v>0.67402051462865342</v>
      </c>
      <c r="X284">
        <v>99.93</v>
      </c>
      <c r="Y284" s="48">
        <f t="shared" ref="Y284:Y285" si="114">W284*X284</f>
        <v>67.35487002684134</v>
      </c>
    </row>
    <row r="285" spans="1:25" x14ac:dyDescent="0.35">
      <c r="A285" s="23">
        <v>1281534</v>
      </c>
      <c r="B285" s="2"/>
      <c r="C285" s="21" t="s">
        <v>29</v>
      </c>
      <c r="D285" s="13">
        <v>134868</v>
      </c>
      <c r="E285" s="14">
        <f>D285/D290</f>
        <v>7.8494503499043175E-2</v>
      </c>
      <c r="F285">
        <v>99.81</v>
      </c>
      <c r="G285" s="15">
        <f t="shared" si="111"/>
        <v>7.8345363942394997</v>
      </c>
      <c r="I285" s="21" t="s">
        <v>29</v>
      </c>
      <c r="J285" s="52">
        <v>563512.85785675049</v>
      </c>
      <c r="K285" s="14">
        <f>J285/J290</f>
        <v>0.107995322126413</v>
      </c>
      <c r="L285">
        <v>99.81</v>
      </c>
      <c r="M285" s="15">
        <f t="shared" si="112"/>
        <v>10.779013101437281</v>
      </c>
      <c r="O285" s="38" t="s">
        <v>29</v>
      </c>
      <c r="P285" s="13">
        <v>3910</v>
      </c>
      <c r="Q285" s="14">
        <f>P285/P289</f>
        <v>2.2691397000789267E-2</v>
      </c>
      <c r="R285">
        <v>99.81</v>
      </c>
      <c r="S285" s="40">
        <f t="shared" si="113"/>
        <v>2.2648283346487768</v>
      </c>
      <c r="U285" s="46" t="s">
        <v>29</v>
      </c>
      <c r="V285" s="52">
        <v>32039000</v>
      </c>
      <c r="W285" s="14">
        <f>V285/V289</f>
        <v>7.2321052290610591E-3</v>
      </c>
      <c r="X285">
        <v>99.81</v>
      </c>
      <c r="Y285" s="48">
        <f t="shared" si="114"/>
        <v>0.72183642291258432</v>
      </c>
    </row>
    <row r="286" spans="1:25" x14ac:dyDescent="0.35">
      <c r="A286" s="23">
        <v>12</v>
      </c>
      <c r="B286" s="2"/>
      <c r="C286" s="21" t="s">
        <v>30</v>
      </c>
      <c r="D286" s="13">
        <v>6196</v>
      </c>
      <c r="E286" s="14">
        <f>D286/D290</f>
        <v>3.606132986921075E-3</v>
      </c>
      <c r="F286">
        <v>99.93</v>
      </c>
      <c r="G286" s="15">
        <f t="shared" si="111"/>
        <v>0.36036086938302303</v>
      </c>
      <c r="I286" s="21" t="s">
        <v>30</v>
      </c>
      <c r="J286" s="52">
        <v>9041.8461475372314</v>
      </c>
      <c r="K286" s="14">
        <f>J286/J290</f>
        <v>1.7328390536369589E-3</v>
      </c>
      <c r="L286">
        <v>99.93</v>
      </c>
      <c r="M286" s="15">
        <f t="shared" si="112"/>
        <v>0.17316260662994132</v>
      </c>
      <c r="O286" s="38" t="s">
        <v>30</v>
      </c>
      <c r="P286" s="13">
        <v>88274</v>
      </c>
      <c r="Q286" s="14">
        <f>P286/P289</f>
        <v>0.51229165699428947</v>
      </c>
      <c r="R286">
        <v>99.93</v>
      </c>
      <c r="S286" s="40">
        <f t="shared" si="113"/>
        <v>51.193305283439351</v>
      </c>
      <c r="U286" s="46" t="s">
        <v>30</v>
      </c>
      <c r="V286" s="52">
        <v>192000</v>
      </c>
      <c r="W286" s="14">
        <f>V286/V289</f>
        <v>4.3339810979734803E-5</v>
      </c>
      <c r="X286">
        <v>99.93</v>
      </c>
      <c r="Y286" s="48">
        <f>W286*X286</f>
        <v>4.3309473112048994E-3</v>
      </c>
    </row>
    <row r="287" spans="1:25" x14ac:dyDescent="0.35">
      <c r="A287" s="23">
        <v>3507</v>
      </c>
      <c r="B287" s="2"/>
      <c r="C287" s="21" t="s">
        <v>31</v>
      </c>
      <c r="D287" s="13">
        <v>203642</v>
      </c>
      <c r="E287" s="14">
        <f>D287/D290</f>
        <v>0.11852164843811838</v>
      </c>
      <c r="F287">
        <v>99.93</v>
      </c>
      <c r="G287" s="15">
        <f t="shared" si="111"/>
        <v>11.84386832842117</v>
      </c>
      <c r="I287" s="21" t="s">
        <v>31</v>
      </c>
      <c r="J287" s="52">
        <v>134579.25622081757</v>
      </c>
      <c r="K287" s="14">
        <f>J287/J290</f>
        <v>2.5791656613441297E-2</v>
      </c>
      <c r="L287">
        <v>99.93</v>
      </c>
      <c r="M287" s="15">
        <f t="shared" si="112"/>
        <v>2.5773602453811892</v>
      </c>
      <c r="O287" s="38" t="s">
        <v>31</v>
      </c>
      <c r="P287" s="13">
        <v>2981</v>
      </c>
      <c r="Q287" s="14">
        <f>P287/P289</f>
        <v>1.7300013928223223E-2</v>
      </c>
      <c r="R287">
        <v>99.93</v>
      </c>
      <c r="S287" s="40">
        <f t="shared" si="113"/>
        <v>1.7287903918473468</v>
      </c>
      <c r="U287" s="46" t="s">
        <v>31</v>
      </c>
      <c r="V287" s="52">
        <v>1408768000</v>
      </c>
      <c r="W287" s="14">
        <f>V287/V289</f>
        <v>0.31799863976197412</v>
      </c>
      <c r="X287">
        <v>99.93</v>
      </c>
      <c r="Y287" s="48">
        <f>W287*X287</f>
        <v>31.777604071414075</v>
      </c>
    </row>
    <row r="288" spans="1:25" ht="15" thickBot="1" x14ac:dyDescent="0.4">
      <c r="A288" s="24">
        <f>SUM(A285:A287)</f>
        <v>1285053</v>
      </c>
      <c r="B288" s="2"/>
      <c r="C288" s="21" t="s">
        <v>32</v>
      </c>
      <c r="D288" s="13">
        <v>172</v>
      </c>
      <c r="E288" s="14">
        <f>D288/D290</f>
        <v>1.0010569298747981E-4</v>
      </c>
      <c r="F288">
        <v>99.93</v>
      </c>
      <c r="G288" s="15">
        <f t="shared" si="111"/>
        <v>1.0003561900238859E-2</v>
      </c>
      <c r="I288" s="21" t="s">
        <v>32</v>
      </c>
      <c r="J288" s="52">
        <v>221.501633644104</v>
      </c>
      <c r="K288" s="14">
        <f>J288/J290</f>
        <v>4.2450034534975379E-5</v>
      </c>
      <c r="L288">
        <v>99.93</v>
      </c>
      <c r="M288" s="15">
        <f t="shared" si="112"/>
        <v>4.24203195108009E-3</v>
      </c>
      <c r="O288" s="38" t="s">
        <v>33</v>
      </c>
      <c r="P288" s="13">
        <v>413</v>
      </c>
      <c r="Q288" s="14">
        <f>P288/P289</f>
        <v>2.3968150796230096E-3</v>
      </c>
      <c r="R288">
        <v>99.87</v>
      </c>
      <c r="S288" s="40">
        <f>Q288*R288</f>
        <v>0.23936992200194998</v>
      </c>
      <c r="U288" s="46" t="s">
        <v>33</v>
      </c>
      <c r="V288" s="52">
        <v>3125000</v>
      </c>
      <c r="W288" s="14">
        <f>V288/V289</f>
        <v>7.0540056933162114E-4</v>
      </c>
      <c r="X288">
        <v>99.87</v>
      </c>
      <c r="Y288" s="48">
        <f>W288*X288</f>
        <v>7.0448354859149007E-2</v>
      </c>
    </row>
    <row r="289" spans="1:25" ht="15.5" thickTop="1" thickBot="1" x14ac:dyDescent="0.4">
      <c r="B289" s="2"/>
      <c r="C289" s="21" t="s">
        <v>33</v>
      </c>
      <c r="D289" s="13">
        <v>88253</v>
      </c>
      <c r="E289" s="16">
        <f>D289/D290</f>
        <v>5.1364114669907299E-2</v>
      </c>
      <c r="F289">
        <v>99.87</v>
      </c>
      <c r="G289" s="15">
        <f t="shared" si="111"/>
        <v>5.1297341320836418</v>
      </c>
      <c r="I289" s="21" t="s">
        <v>33</v>
      </c>
      <c r="J289" s="52">
        <v>350955.82928943634</v>
      </c>
      <c r="K289" s="16">
        <f>J289/J290</f>
        <v>6.7259490724681875E-2</v>
      </c>
      <c r="L289">
        <v>99.87</v>
      </c>
      <c r="M289" s="15">
        <f t="shared" si="112"/>
        <v>6.7172053386739794</v>
      </c>
      <c r="O289" s="38"/>
      <c r="P289" s="31">
        <f>SUM(P284:P288)</f>
        <v>172312</v>
      </c>
      <c r="Q289" s="32">
        <f>SUM(Q284:Q288)</f>
        <v>1</v>
      </c>
      <c r="R289" s="33">
        <f>AVERAGE(R284:R288)</f>
        <v>99.894000000000005</v>
      </c>
      <c r="S289" s="41">
        <f>SUM(S284:S288)</f>
        <v>99.927133223455144</v>
      </c>
      <c r="U289" s="46"/>
      <c r="V289" s="52">
        <f>SUM(V284:V288)</f>
        <v>4430107000</v>
      </c>
      <c r="W289" s="32">
        <f>SUM(W284:W287)</f>
        <v>0.99929459943066834</v>
      </c>
      <c r="X289" s="33">
        <f>AVERAGE(X284:X288)</f>
        <v>99.894000000000005</v>
      </c>
      <c r="Y289" s="58">
        <f>SUM(Y284:Y288)</f>
        <v>99.929089823338359</v>
      </c>
    </row>
    <row r="290" spans="1:25" ht="15" thickBot="1" x14ac:dyDescent="0.4">
      <c r="A290" s="10"/>
      <c r="B290" s="10"/>
      <c r="C290" s="10"/>
      <c r="D290" s="49">
        <f>SUM(D284:D289)</f>
        <v>1718184</v>
      </c>
      <c r="E290" s="50">
        <f>SUM(E284:E289)</f>
        <v>1</v>
      </c>
      <c r="F290" s="51">
        <f>AVERAGE(F284:F289)</f>
        <v>99.90000000000002</v>
      </c>
      <c r="G290" s="26">
        <f>SUM(G284:G289)</f>
        <v>99.917498812699918</v>
      </c>
      <c r="I290" s="10"/>
      <c r="J290" s="49">
        <f>SUM(J284:J289)</f>
        <v>5217937.6547174454</v>
      </c>
      <c r="K290" s="50">
        <f>SUM(K284:K289)</f>
        <v>1.0000000000000002</v>
      </c>
      <c r="L290" s="51">
        <f>AVERAGE(L284:L289)</f>
        <v>99.90000000000002</v>
      </c>
      <c r="M290" s="26">
        <f>SUM(M284:M289)</f>
        <v>99.913004991901374</v>
      </c>
      <c r="O290" s="34"/>
      <c r="P290" s="34"/>
      <c r="Q290" s="34"/>
      <c r="R290" s="36"/>
      <c r="S290" s="40"/>
      <c r="U290" s="42"/>
      <c r="V290" s="42"/>
      <c r="W290" s="42"/>
      <c r="X290" s="44"/>
      <c r="Y290" s="45"/>
    </row>
    <row r="291" spans="1:25" ht="15" thickTop="1" x14ac:dyDescent="0.35">
      <c r="A291" s="29" t="s">
        <v>187</v>
      </c>
      <c r="B291" s="28"/>
      <c r="C291" s="28"/>
      <c r="D291" s="28"/>
      <c r="E291" s="28"/>
      <c r="F291" s="28"/>
      <c r="G291" s="28"/>
      <c r="I291" s="28"/>
      <c r="J291" s="28"/>
      <c r="K291" s="28"/>
      <c r="L291" s="28"/>
      <c r="M291" s="28"/>
      <c r="O291" s="28"/>
      <c r="P291" s="28"/>
      <c r="Q291" s="28"/>
      <c r="R291" s="28"/>
      <c r="S291" s="28"/>
      <c r="U291" s="28"/>
      <c r="V291" s="28"/>
      <c r="W291" s="28"/>
      <c r="X291" s="28"/>
      <c r="Y291" s="28"/>
    </row>
    <row r="292" spans="1:25" x14ac:dyDescent="0.35">
      <c r="A292" s="20" t="s">
        <v>186</v>
      </c>
      <c r="B292" s="20"/>
      <c r="C292" s="56" t="s">
        <v>115</v>
      </c>
      <c r="D292" s="11"/>
      <c r="E292" s="11"/>
      <c r="F292" s="11"/>
      <c r="G292" s="30" t="s">
        <v>115</v>
      </c>
      <c r="I292" s="56" t="s">
        <v>115</v>
      </c>
      <c r="J292" s="11"/>
      <c r="K292" s="11"/>
      <c r="L292" s="11"/>
      <c r="M292" s="30" t="s">
        <v>115</v>
      </c>
      <c r="O292" s="55" t="s">
        <v>116</v>
      </c>
      <c r="P292" s="34"/>
      <c r="Q292" s="34"/>
      <c r="R292" s="34"/>
      <c r="S292" s="35" t="s">
        <v>116</v>
      </c>
      <c r="U292" s="57" t="s">
        <v>117</v>
      </c>
      <c r="V292" s="42"/>
      <c r="W292" s="42"/>
      <c r="X292" s="42"/>
      <c r="Y292" s="43" t="s">
        <v>117</v>
      </c>
    </row>
    <row r="293" spans="1:25" ht="15" thickBot="1" x14ac:dyDescent="0.4">
      <c r="A293" s="2"/>
      <c r="B293" s="2"/>
      <c r="C293" s="2"/>
      <c r="D293" s="18" t="s">
        <v>118</v>
      </c>
      <c r="E293" s="19" t="s">
        <v>119</v>
      </c>
      <c r="F293" s="18" t="s">
        <v>120</v>
      </c>
      <c r="G293" s="12" t="s">
        <v>121</v>
      </c>
      <c r="I293" s="2"/>
      <c r="J293" s="18" t="s">
        <v>118</v>
      </c>
      <c r="K293" s="19" t="s">
        <v>119</v>
      </c>
      <c r="L293" s="18" t="s">
        <v>120</v>
      </c>
      <c r="M293" s="12" t="s">
        <v>121</v>
      </c>
      <c r="O293" s="34"/>
      <c r="P293" s="18" t="s">
        <v>118</v>
      </c>
      <c r="Q293" s="19" t="s">
        <v>119</v>
      </c>
      <c r="R293" s="18" t="s">
        <v>120</v>
      </c>
      <c r="S293" s="39" t="s">
        <v>121</v>
      </c>
      <c r="U293" s="42"/>
      <c r="V293" s="18" t="s">
        <v>118</v>
      </c>
      <c r="W293" s="19" t="s">
        <v>119</v>
      </c>
      <c r="X293" s="18" t="s">
        <v>120</v>
      </c>
      <c r="Y293" s="47" t="s">
        <v>121</v>
      </c>
    </row>
    <row r="294" spans="1:25" ht="15" thickTop="1" x14ac:dyDescent="0.35">
      <c r="A294" s="22" t="s">
        <v>122</v>
      </c>
      <c r="B294" s="2"/>
      <c r="C294" s="21" t="s">
        <v>25</v>
      </c>
      <c r="D294" s="25">
        <v>1285053</v>
      </c>
      <c r="E294" s="14">
        <f>D294/D300</f>
        <v>0.7479134947130226</v>
      </c>
      <c r="F294">
        <v>99.96</v>
      </c>
      <c r="G294" s="15">
        <f t="shared" ref="G294:G299" si="115">E294*F294</f>
        <v>74.761432931513738</v>
      </c>
      <c r="I294" s="21" t="s">
        <v>25</v>
      </c>
      <c r="J294" s="52">
        <v>4159626.3635692601</v>
      </c>
      <c r="K294" s="14">
        <f>J294/J300</f>
        <v>0.79717824144729199</v>
      </c>
      <c r="L294">
        <v>99.96</v>
      </c>
      <c r="M294" s="15">
        <f t="shared" ref="M294:M299" si="116">K294*L294</f>
        <v>79.685937015071303</v>
      </c>
      <c r="O294" s="38" t="s">
        <v>25</v>
      </c>
      <c r="P294" s="13">
        <v>76734</v>
      </c>
      <c r="Q294" s="14">
        <f>P294/P299</f>
        <v>0.44532011699707508</v>
      </c>
      <c r="R294">
        <v>99.96</v>
      </c>
      <c r="S294" s="40">
        <f t="shared" ref="S294:S297" si="117">Q294*R294</f>
        <v>44.514198895027619</v>
      </c>
      <c r="U294" s="46" t="s">
        <v>25</v>
      </c>
      <c r="V294" s="52">
        <v>2985983000</v>
      </c>
      <c r="W294" s="14">
        <f>V294/V299</f>
        <v>0.67402051462865342</v>
      </c>
      <c r="X294">
        <v>99.96</v>
      </c>
      <c r="Y294" s="48">
        <f t="shared" ref="Y294:Y295" si="118">W294*X294</f>
        <v>67.375090642280199</v>
      </c>
    </row>
    <row r="295" spans="1:25" x14ac:dyDescent="0.35">
      <c r="A295" s="23">
        <v>1281534</v>
      </c>
      <c r="B295" s="2"/>
      <c r="C295" s="21" t="s">
        <v>29</v>
      </c>
      <c r="D295" s="13">
        <v>134868</v>
      </c>
      <c r="E295" s="14">
        <f>D295/D300</f>
        <v>7.8494503499043175E-2</v>
      </c>
      <c r="F295">
        <v>99.86</v>
      </c>
      <c r="G295" s="15">
        <f t="shared" si="115"/>
        <v>7.8384611194144513</v>
      </c>
      <c r="I295" s="21" t="s">
        <v>29</v>
      </c>
      <c r="J295" s="52">
        <v>563512.85785675049</v>
      </c>
      <c r="K295" s="14">
        <f>J295/J300</f>
        <v>0.107995322126413</v>
      </c>
      <c r="L295">
        <v>99.86</v>
      </c>
      <c r="M295" s="15">
        <f t="shared" si="116"/>
        <v>10.784412867543601</v>
      </c>
      <c r="O295" s="38" t="s">
        <v>29</v>
      </c>
      <c r="P295" s="13">
        <v>3910</v>
      </c>
      <c r="Q295" s="14">
        <f>P295/P299</f>
        <v>2.2691397000789267E-2</v>
      </c>
      <c r="R295">
        <v>99.86</v>
      </c>
      <c r="S295" s="40">
        <f t="shared" si="117"/>
        <v>2.2659629044988163</v>
      </c>
      <c r="U295" s="46" t="s">
        <v>29</v>
      </c>
      <c r="V295" s="52">
        <v>32039000</v>
      </c>
      <c r="W295" s="14">
        <f>V295/V299</f>
        <v>7.2321052290610591E-3</v>
      </c>
      <c r="X295">
        <v>99.86</v>
      </c>
      <c r="Y295" s="48">
        <f t="shared" si="118"/>
        <v>0.72219802817403733</v>
      </c>
    </row>
    <row r="296" spans="1:25" x14ac:dyDescent="0.35">
      <c r="A296" s="23">
        <v>12</v>
      </c>
      <c r="B296" s="2"/>
      <c r="C296" s="21" t="s">
        <v>30</v>
      </c>
      <c r="D296" s="13">
        <v>6196</v>
      </c>
      <c r="E296" s="14">
        <f>D296/D300</f>
        <v>3.606132986921075E-3</v>
      </c>
      <c r="F296">
        <v>99.96</v>
      </c>
      <c r="G296" s="15">
        <f t="shared" si="115"/>
        <v>0.36046905337263063</v>
      </c>
      <c r="I296" s="21" t="s">
        <v>30</v>
      </c>
      <c r="J296" s="52">
        <v>9041.8461475372314</v>
      </c>
      <c r="K296" s="14">
        <f>J296/J300</f>
        <v>1.7328390536369589E-3</v>
      </c>
      <c r="L296">
        <v>99.96</v>
      </c>
      <c r="M296" s="15">
        <f t="shared" si="116"/>
        <v>0.17321459180155041</v>
      </c>
      <c r="O296" s="38" t="s">
        <v>30</v>
      </c>
      <c r="P296" s="13">
        <v>88274</v>
      </c>
      <c r="Q296" s="14">
        <f>P296/P299</f>
        <v>0.51229165699428947</v>
      </c>
      <c r="R296">
        <v>99.96</v>
      </c>
      <c r="S296" s="40">
        <f t="shared" si="117"/>
        <v>51.208674033149173</v>
      </c>
      <c r="U296" s="46" t="s">
        <v>30</v>
      </c>
      <c r="V296" s="52">
        <v>192000</v>
      </c>
      <c r="W296" s="14">
        <f>V296/V299</f>
        <v>4.3339810979734803E-5</v>
      </c>
      <c r="X296">
        <v>99.96</v>
      </c>
      <c r="Y296" s="48">
        <f>W296*X296</f>
        <v>4.3322475055342907E-3</v>
      </c>
    </row>
    <row r="297" spans="1:25" x14ac:dyDescent="0.35">
      <c r="A297" s="23">
        <v>3507</v>
      </c>
      <c r="B297" s="2"/>
      <c r="C297" s="21" t="s">
        <v>31</v>
      </c>
      <c r="D297" s="13">
        <v>203642</v>
      </c>
      <c r="E297" s="14">
        <f>D297/D300</f>
        <v>0.11852164843811838</v>
      </c>
      <c r="F297">
        <v>99.96</v>
      </c>
      <c r="G297" s="15">
        <f t="shared" si="115"/>
        <v>11.847423977874312</v>
      </c>
      <c r="I297" s="21" t="s">
        <v>31</v>
      </c>
      <c r="J297" s="52">
        <v>134579.25622081757</v>
      </c>
      <c r="K297" s="14">
        <f>J297/J300</f>
        <v>2.5791656613441297E-2</v>
      </c>
      <c r="L297">
        <v>99.96</v>
      </c>
      <c r="M297" s="15">
        <f t="shared" si="116"/>
        <v>2.5781339950795918</v>
      </c>
      <c r="O297" s="38" t="s">
        <v>31</v>
      </c>
      <c r="P297" s="13">
        <v>2981</v>
      </c>
      <c r="Q297" s="14">
        <f>P297/P299</f>
        <v>1.7300013928223223E-2</v>
      </c>
      <c r="R297">
        <v>99.96</v>
      </c>
      <c r="S297" s="40">
        <f t="shared" si="117"/>
        <v>1.7293093922651932</v>
      </c>
      <c r="U297" s="46" t="s">
        <v>31</v>
      </c>
      <c r="V297" s="52">
        <v>1408768000</v>
      </c>
      <c r="W297" s="14">
        <f>V297/V299</f>
        <v>0.31799863976197412</v>
      </c>
      <c r="X297">
        <v>99.96</v>
      </c>
      <c r="Y297" s="48">
        <f>W297*X297</f>
        <v>31.787144030606932</v>
      </c>
    </row>
    <row r="298" spans="1:25" ht="15" thickBot="1" x14ac:dyDescent="0.4">
      <c r="A298" s="24">
        <f>SUM(A295:A297)</f>
        <v>1285053</v>
      </c>
      <c r="B298" s="2"/>
      <c r="C298" s="21" t="s">
        <v>32</v>
      </c>
      <c r="D298" s="13">
        <v>172</v>
      </c>
      <c r="E298" s="14">
        <f>D298/D300</f>
        <v>1.0010569298747981E-4</v>
      </c>
      <c r="F298">
        <v>99.96</v>
      </c>
      <c r="G298" s="15">
        <f t="shared" si="115"/>
        <v>1.0006565071028482E-2</v>
      </c>
      <c r="I298" s="21" t="s">
        <v>32</v>
      </c>
      <c r="J298" s="52">
        <v>221.501633644104</v>
      </c>
      <c r="K298" s="14">
        <f>J298/J300</f>
        <v>4.2450034534975379E-5</v>
      </c>
      <c r="L298">
        <v>99.96</v>
      </c>
      <c r="M298" s="15">
        <f t="shared" si="116"/>
        <v>4.243305452116139E-3</v>
      </c>
      <c r="O298" s="38" t="s">
        <v>33</v>
      </c>
      <c r="P298" s="13">
        <v>413</v>
      </c>
      <c r="Q298" s="14">
        <f>P298/P299</f>
        <v>2.3968150796230096E-3</v>
      </c>
      <c r="R298">
        <v>99.77</v>
      </c>
      <c r="S298" s="40">
        <f>Q298*R298</f>
        <v>0.23913024049398765</v>
      </c>
      <c r="U298" s="46" t="s">
        <v>33</v>
      </c>
      <c r="V298" s="52">
        <v>3125000</v>
      </c>
      <c r="W298" s="14">
        <f>V298/V299</f>
        <v>7.0540056933162114E-4</v>
      </c>
      <c r="X298">
        <v>99.77</v>
      </c>
      <c r="Y298" s="48">
        <f>W298*X298</f>
        <v>7.0377814802215832E-2</v>
      </c>
    </row>
    <row r="299" spans="1:25" ht="15.5" thickTop="1" thickBot="1" x14ac:dyDescent="0.4">
      <c r="B299" s="2"/>
      <c r="C299" s="21" t="s">
        <v>33</v>
      </c>
      <c r="D299" s="13">
        <v>88253</v>
      </c>
      <c r="E299" s="16">
        <f>D299/D300</f>
        <v>5.1364114669907299E-2</v>
      </c>
      <c r="F299">
        <v>99.77</v>
      </c>
      <c r="G299" s="15">
        <f t="shared" si="115"/>
        <v>5.1245977206166513</v>
      </c>
      <c r="I299" s="21" t="s">
        <v>33</v>
      </c>
      <c r="J299" s="52">
        <v>350955.82928943634</v>
      </c>
      <c r="K299" s="16">
        <f>J299/J300</f>
        <v>6.7259490724681875E-2</v>
      </c>
      <c r="L299">
        <v>99.77</v>
      </c>
      <c r="M299" s="15">
        <f t="shared" si="116"/>
        <v>6.7104793896015105</v>
      </c>
      <c r="O299" s="38"/>
      <c r="P299" s="31">
        <f>SUM(P294:P298)</f>
        <v>172312</v>
      </c>
      <c r="Q299" s="32">
        <f>SUM(Q294:Q298)</f>
        <v>1</v>
      </c>
      <c r="R299" s="33">
        <f>AVERAGE(R294:R298)</f>
        <v>99.901999999999987</v>
      </c>
      <c r="S299" s="41">
        <f>SUM(S294:S298)</f>
        <v>99.95727546543479</v>
      </c>
      <c r="U299" s="46"/>
      <c r="V299" s="52">
        <f>SUM(V294:V298)</f>
        <v>4430107000</v>
      </c>
      <c r="W299" s="32">
        <f>SUM(W294:W297)</f>
        <v>0.99929459943066834</v>
      </c>
      <c r="X299" s="33">
        <f>AVERAGE(X294:X298)</f>
        <v>99.901999999999987</v>
      </c>
      <c r="Y299" s="58">
        <f>SUM(Y294:Y298)</f>
        <v>99.959142763368902</v>
      </c>
    </row>
    <row r="300" spans="1:25" ht="15" thickBot="1" x14ac:dyDescent="0.4">
      <c r="A300" s="10"/>
      <c r="B300" s="10"/>
      <c r="C300" s="10"/>
      <c r="D300" s="49">
        <f>SUM(D294:D299)</f>
        <v>1718184</v>
      </c>
      <c r="E300" s="50">
        <f>SUM(E294:E299)</f>
        <v>1</v>
      </c>
      <c r="F300" s="51">
        <f>AVERAGE(F294:F299)</f>
        <v>99.911666666666648</v>
      </c>
      <c r="G300" s="26">
        <f>SUM(G294:G299)</f>
        <v>99.942391367862797</v>
      </c>
      <c r="I300" s="10"/>
      <c r="J300" s="49">
        <f>SUM(J294:J299)</f>
        <v>5217937.6547174454</v>
      </c>
      <c r="K300" s="50">
        <f>SUM(K294:K299)</f>
        <v>1.0000000000000002</v>
      </c>
      <c r="L300" s="51">
        <f>AVERAGE(L294:L299)</f>
        <v>99.911666666666648</v>
      </c>
      <c r="M300" s="26">
        <f>SUM(M294:M299)</f>
        <v>99.936421164549685</v>
      </c>
      <c r="O300" s="34"/>
      <c r="P300" s="34"/>
      <c r="Q300" s="34"/>
      <c r="R300" s="36"/>
      <c r="S300" s="40"/>
      <c r="U300" s="42"/>
      <c r="V300" s="42"/>
      <c r="W300" s="42"/>
      <c r="X300" s="44"/>
      <c r="Y300" s="45"/>
    </row>
    <row r="301" spans="1:25" ht="15" thickTop="1" x14ac:dyDescent="0.35">
      <c r="A301" s="29" t="s">
        <v>190</v>
      </c>
      <c r="B301" s="28"/>
      <c r="C301" s="28"/>
      <c r="D301" s="28"/>
      <c r="E301" s="28"/>
      <c r="F301" s="28"/>
      <c r="G301" s="28"/>
      <c r="I301" s="28"/>
      <c r="J301" s="28"/>
      <c r="K301" s="28"/>
      <c r="L301" s="28"/>
      <c r="M301" s="28"/>
      <c r="O301" s="28"/>
      <c r="P301" s="28"/>
      <c r="Q301" s="28"/>
      <c r="R301" s="28"/>
      <c r="S301" s="28"/>
      <c r="U301" s="28"/>
      <c r="V301" s="28"/>
      <c r="W301" s="28"/>
      <c r="X301" s="28"/>
      <c r="Y301" s="28"/>
    </row>
    <row r="302" spans="1:25" x14ac:dyDescent="0.35">
      <c r="A302" s="20" t="s">
        <v>191</v>
      </c>
      <c r="B302" s="20"/>
      <c r="C302" s="56" t="s">
        <v>115</v>
      </c>
      <c r="D302" s="11"/>
      <c r="E302" s="11"/>
      <c r="F302" s="11"/>
      <c r="G302" s="30" t="s">
        <v>115</v>
      </c>
      <c r="I302" s="56" t="s">
        <v>115</v>
      </c>
      <c r="J302" s="11"/>
      <c r="K302" s="11"/>
      <c r="L302" s="11"/>
      <c r="M302" s="30" t="s">
        <v>115</v>
      </c>
      <c r="O302" s="55" t="s">
        <v>116</v>
      </c>
      <c r="P302" s="34"/>
      <c r="Q302" s="34"/>
      <c r="R302" s="34"/>
      <c r="S302" s="35" t="s">
        <v>116</v>
      </c>
      <c r="U302" s="57" t="s">
        <v>117</v>
      </c>
      <c r="V302" s="42"/>
      <c r="W302" s="42"/>
      <c r="X302" s="42"/>
      <c r="Y302" s="43" t="s">
        <v>117</v>
      </c>
    </row>
    <row r="303" spans="1:25" ht="15" thickBot="1" x14ac:dyDescent="0.4">
      <c r="A303" s="2"/>
      <c r="B303" s="2"/>
      <c r="C303" s="2"/>
      <c r="D303" s="18" t="s">
        <v>118</v>
      </c>
      <c r="E303" s="19" t="s">
        <v>119</v>
      </c>
      <c r="F303" s="18" t="s">
        <v>120</v>
      </c>
      <c r="G303" s="12" t="s">
        <v>121</v>
      </c>
      <c r="I303" s="2"/>
      <c r="J303" s="18" t="s">
        <v>118</v>
      </c>
      <c r="K303" s="19" t="s">
        <v>119</v>
      </c>
      <c r="L303" s="18" t="s">
        <v>120</v>
      </c>
      <c r="M303" s="12" t="s">
        <v>121</v>
      </c>
      <c r="O303" s="34"/>
      <c r="P303" s="18" t="s">
        <v>118</v>
      </c>
      <c r="Q303" s="19" t="s">
        <v>119</v>
      </c>
      <c r="R303" s="18" t="s">
        <v>120</v>
      </c>
      <c r="S303" s="39" t="s">
        <v>121</v>
      </c>
      <c r="U303" s="42"/>
      <c r="V303" s="18" t="s">
        <v>118</v>
      </c>
      <c r="W303" s="19" t="s">
        <v>119</v>
      </c>
      <c r="X303" s="18" t="s">
        <v>120</v>
      </c>
      <c r="Y303" s="47" t="s">
        <v>121</v>
      </c>
    </row>
    <row r="304" spans="1:25" ht="15" thickTop="1" x14ac:dyDescent="0.35">
      <c r="A304" s="22" t="s">
        <v>122</v>
      </c>
      <c r="B304" s="2"/>
      <c r="C304" s="21" t="s">
        <v>25</v>
      </c>
      <c r="D304" s="25">
        <v>1289338</v>
      </c>
      <c r="E304" s="14">
        <f>D304/D310</f>
        <v>0.74854408895179625</v>
      </c>
      <c r="F304">
        <v>99.93</v>
      </c>
      <c r="G304" s="15">
        <f t="shared" ref="G304:G309" si="119">E304*F304</f>
        <v>74.802010808953</v>
      </c>
      <c r="I304" s="21" t="s">
        <v>25</v>
      </c>
      <c r="J304" s="52">
        <v>5051950.808716774</v>
      </c>
      <c r="K304" s="14">
        <f>J304/J310</f>
        <v>0.82031601930755305</v>
      </c>
      <c r="L304">
        <v>99.93</v>
      </c>
      <c r="M304" s="15">
        <f t="shared" ref="M304:M309" si="120">K304*L304</f>
        <v>81.974179809403779</v>
      </c>
      <c r="O304" s="38" t="s">
        <v>25</v>
      </c>
      <c r="P304" s="13">
        <v>78137</v>
      </c>
      <c r="Q304" s="14">
        <f>P304/P309</f>
        <v>0.44171401113654996</v>
      </c>
      <c r="R304">
        <v>99.93</v>
      </c>
      <c r="S304" s="40">
        <f t="shared" ref="S304:S307" si="121">Q304*R304</f>
        <v>44.140481132875443</v>
      </c>
      <c r="U304" s="46" t="s">
        <v>25</v>
      </c>
      <c r="V304" s="52">
        <v>2626307000</v>
      </c>
      <c r="W304" s="14">
        <f>V304/V308</f>
        <v>0.660725112619582</v>
      </c>
      <c r="X304">
        <v>99.93</v>
      </c>
      <c r="Y304" s="48">
        <f t="shared" ref="Y304:Y307" si="122">W304*X304</f>
        <v>66.026260504074827</v>
      </c>
    </row>
    <row r="305" spans="1:25" x14ac:dyDescent="0.35">
      <c r="A305" s="23">
        <v>1285823</v>
      </c>
      <c r="B305" s="2"/>
      <c r="C305" s="21" t="s">
        <v>29</v>
      </c>
      <c r="D305" s="13">
        <v>135305</v>
      </c>
      <c r="E305" s="14">
        <f>D305/D310</f>
        <v>7.8553302513090284E-2</v>
      </c>
      <c r="F305">
        <v>99.82</v>
      </c>
      <c r="G305" s="15">
        <f t="shared" si="119"/>
        <v>7.8411906568566714</v>
      </c>
      <c r="I305" s="21" t="s">
        <v>29</v>
      </c>
      <c r="J305" s="52">
        <v>599236.19124984741</v>
      </c>
      <c r="K305" s="14">
        <f>J305/J310</f>
        <v>9.7301629735376302E-2</v>
      </c>
      <c r="L305">
        <v>99.82</v>
      </c>
      <c r="M305" s="15">
        <f t="shared" si="120"/>
        <v>9.7126486801852625</v>
      </c>
      <c r="O305" s="38" t="s">
        <v>29</v>
      </c>
      <c r="P305" s="13">
        <v>3391</v>
      </c>
      <c r="Q305" s="14">
        <f>P305/P309</f>
        <v>1.916956386556997E-2</v>
      </c>
      <c r="R305">
        <v>99.82</v>
      </c>
      <c r="S305" s="40">
        <f t="shared" si="121"/>
        <v>1.9135058650611942</v>
      </c>
      <c r="U305" s="46" t="s">
        <v>29</v>
      </c>
      <c r="V305" s="52">
        <v>32072000</v>
      </c>
      <c r="W305" s="14">
        <f>V305/V308</f>
        <v>8.0686590760087207E-3</v>
      </c>
      <c r="X305">
        <v>99.82</v>
      </c>
      <c r="Y305" s="48">
        <f t="shared" si="122"/>
        <v>0.80541354896719042</v>
      </c>
    </row>
    <row r="306" spans="1:25" x14ac:dyDescent="0.35">
      <c r="A306" s="23">
        <v>12</v>
      </c>
      <c r="B306" s="2"/>
      <c r="C306" s="21" t="s">
        <v>30</v>
      </c>
      <c r="D306" s="13">
        <v>6198</v>
      </c>
      <c r="E306" s="14">
        <f>D306/D310</f>
        <v>3.5983398172730763E-3</v>
      </c>
      <c r="F306">
        <v>99.93</v>
      </c>
      <c r="G306" s="15">
        <f t="shared" si="119"/>
        <v>0.35958209794009854</v>
      </c>
      <c r="I306" s="21" t="s">
        <v>30</v>
      </c>
      <c r="J306" s="52">
        <v>9011.9015865325928</v>
      </c>
      <c r="K306" s="14">
        <f>J306/J310</f>
        <v>1.4633173432925023E-3</v>
      </c>
      <c r="L306">
        <v>99.93</v>
      </c>
      <c r="M306" s="15">
        <f t="shared" si="120"/>
        <v>0.14622930211521976</v>
      </c>
      <c r="O306" s="38" t="s">
        <v>30</v>
      </c>
      <c r="P306" s="13">
        <v>92340</v>
      </c>
      <c r="Q306" s="14">
        <f>P306/P309</f>
        <v>0.52200457898753494</v>
      </c>
      <c r="R306">
        <v>99.93</v>
      </c>
      <c r="S306" s="40">
        <f t="shared" si="121"/>
        <v>52.163917578224371</v>
      </c>
      <c r="U306" s="46" t="s">
        <v>31</v>
      </c>
      <c r="V306" s="52">
        <v>1314260000</v>
      </c>
      <c r="W306" s="14">
        <f>V306/V308</f>
        <v>0.33064092907318599</v>
      </c>
      <c r="X306">
        <v>99.93</v>
      </c>
      <c r="Y306" s="48">
        <f>W306*X306</f>
        <v>33.040948042283475</v>
      </c>
    </row>
    <row r="307" spans="1:25" x14ac:dyDescent="0.35">
      <c r="A307" s="23">
        <v>3503</v>
      </c>
      <c r="B307" s="2"/>
      <c r="C307" s="21" t="s">
        <v>31</v>
      </c>
      <c r="D307" s="13">
        <v>203621</v>
      </c>
      <c r="E307" s="14">
        <f>D307/D310</f>
        <v>0.11821515842738965</v>
      </c>
      <c r="F307">
        <v>99.93</v>
      </c>
      <c r="G307" s="15">
        <f t="shared" si="119"/>
        <v>11.813240781649048</v>
      </c>
      <c r="I307" s="21" t="s">
        <v>31</v>
      </c>
      <c r="J307" s="52">
        <v>127807.03914546967</v>
      </c>
      <c r="K307" s="14">
        <f>J307/J310</f>
        <v>2.0752807293847507E-2</v>
      </c>
      <c r="L307">
        <v>99.93</v>
      </c>
      <c r="M307" s="15">
        <f t="shared" si="120"/>
        <v>2.0738280328741814</v>
      </c>
      <c r="O307" s="38" t="s">
        <v>31</v>
      </c>
      <c r="P307" s="13">
        <v>2626</v>
      </c>
      <c r="Q307" s="14">
        <f>P307/P309</f>
        <v>1.4844964526979282E-2</v>
      </c>
      <c r="R307">
        <v>99.93</v>
      </c>
      <c r="S307" s="40">
        <f t="shared" si="121"/>
        <v>1.4834573051810398</v>
      </c>
      <c r="U307" s="46" t="s">
        <v>33</v>
      </c>
      <c r="V307" s="52">
        <v>2247000</v>
      </c>
      <c r="W307" s="14">
        <f>V307/V308</f>
        <v>5.6529923122323512E-4</v>
      </c>
      <c r="X307">
        <v>99.88</v>
      </c>
      <c r="Y307" s="48">
        <f t="shared" si="122"/>
        <v>5.6462087214576719E-2</v>
      </c>
    </row>
    <row r="308" spans="1:25" ht="15" thickBot="1" x14ac:dyDescent="0.4">
      <c r="A308" s="24">
        <f>SUM(A305:A307)</f>
        <v>1289338</v>
      </c>
      <c r="B308" s="2"/>
      <c r="C308" s="21" t="s">
        <v>32</v>
      </c>
      <c r="D308" s="13">
        <v>172</v>
      </c>
      <c r="E308" s="14">
        <f>D308/D310</f>
        <v>9.9857123035006313E-5</v>
      </c>
      <c r="F308">
        <v>99.93</v>
      </c>
      <c r="G308" s="15">
        <f t="shared" si="119"/>
        <v>9.9787223048881813E-3</v>
      </c>
      <c r="I308" s="21" t="s">
        <v>32</v>
      </c>
      <c r="J308" s="52">
        <v>4278.6205768585205</v>
      </c>
      <c r="K308" s="14">
        <f>J308/J310</f>
        <v>6.9474567996189254E-4</v>
      </c>
      <c r="L308">
        <v>99.93</v>
      </c>
      <c r="M308" s="15">
        <f t="shared" si="120"/>
        <v>6.9425935798591923E-2</v>
      </c>
      <c r="O308" s="38" t="s">
        <v>33</v>
      </c>
      <c r="P308" s="13">
        <v>401</v>
      </c>
      <c r="Q308" s="14">
        <f>P308/P309</f>
        <v>2.2668814833658383E-3</v>
      </c>
      <c r="R308">
        <v>99.88</v>
      </c>
      <c r="S308" s="40">
        <f>Q308*R308</f>
        <v>0.22641612255857993</v>
      </c>
      <c r="U308" s="46"/>
      <c r="V308" s="52">
        <f>SUM(V304:V307)</f>
        <v>3974886000</v>
      </c>
      <c r="W308" s="32">
        <f>SUM(W304:W307)</f>
        <v>1</v>
      </c>
      <c r="X308" s="33">
        <f>AVERAGE(X304:X307)</f>
        <v>99.89</v>
      </c>
      <c r="Y308" s="58">
        <f>SUM(Y304:Y307)</f>
        <v>99.92908418254008</v>
      </c>
    </row>
    <row r="309" spans="1:25" ht="15.5" thickTop="1" thickBot="1" x14ac:dyDescent="0.4">
      <c r="B309" s="2"/>
      <c r="C309" s="21" t="s">
        <v>33</v>
      </c>
      <c r="D309" s="13">
        <v>87827</v>
      </c>
      <c r="E309" s="16">
        <f>D309/D310</f>
        <v>5.0989253167415691E-2</v>
      </c>
      <c r="F309">
        <v>99.88</v>
      </c>
      <c r="G309" s="15">
        <f t="shared" si="119"/>
        <v>5.0928066063614787</v>
      </c>
      <c r="I309" s="21" t="s">
        <v>33</v>
      </c>
      <c r="J309" s="52">
        <v>366257.62223720551</v>
      </c>
      <c r="K309" s="16">
        <f>J309/J310</f>
        <v>5.9471480639968724E-2</v>
      </c>
      <c r="L309">
        <v>99.88</v>
      </c>
      <c r="M309" s="15">
        <f t="shared" si="120"/>
        <v>5.9400114863200759</v>
      </c>
      <c r="O309" s="38"/>
      <c r="P309" s="31">
        <f>SUM(P304:P308)</f>
        <v>176895</v>
      </c>
      <c r="Q309" s="32">
        <f>SUM(Q304:Q308)</f>
        <v>0.99999999999999989</v>
      </c>
      <c r="R309" s="33">
        <f>AVERAGE(R304:R308)</f>
        <v>99.897999999999996</v>
      </c>
      <c r="S309" s="41">
        <f>SUM(S304:S308)</f>
        <v>99.927778003900613</v>
      </c>
      <c r="U309" s="46"/>
      <c r="V309" s="52"/>
      <c r="W309" s="32"/>
      <c r="X309" s="33"/>
      <c r="Y309" s="58"/>
    </row>
    <row r="310" spans="1:25" ht="15" thickBot="1" x14ac:dyDescent="0.4">
      <c r="A310" s="10"/>
      <c r="B310" s="10"/>
      <c r="C310" s="10"/>
      <c r="D310" s="49">
        <f>SUM(D304:D309)</f>
        <v>1722461</v>
      </c>
      <c r="E310" s="50">
        <f>SUM(E304:E309)</f>
        <v>0.99999999999999978</v>
      </c>
      <c r="F310" s="51">
        <f>AVERAGE(F304:F309)</f>
        <v>99.90333333333335</v>
      </c>
      <c r="G310" s="26">
        <f>SUM(G304:G309)</f>
        <v>99.918809674065187</v>
      </c>
      <c r="I310" s="10"/>
      <c r="J310" s="49">
        <f>SUM(J304:J309)</f>
        <v>6158542.1835126877</v>
      </c>
      <c r="K310" s="50">
        <f>SUM(K304:K309)</f>
        <v>1</v>
      </c>
      <c r="L310" s="51">
        <f>AVERAGE(L304:L309)</f>
        <v>99.90333333333335</v>
      </c>
      <c r="M310" s="26">
        <f>SUM(M304:M309)</f>
        <v>99.916323246697104</v>
      </c>
      <c r="O310" s="34"/>
      <c r="P310" s="34"/>
      <c r="Q310" s="34"/>
      <c r="R310" s="36"/>
      <c r="S310" s="40"/>
      <c r="U310" s="42"/>
      <c r="V310" s="42"/>
      <c r="W310" s="42"/>
      <c r="X310" s="44"/>
      <c r="Y310" s="45"/>
    </row>
    <row r="311" spans="1:25" ht="15" thickTop="1" x14ac:dyDescent="0.35">
      <c r="A311" s="29" t="s">
        <v>192</v>
      </c>
      <c r="B311" s="28"/>
      <c r="C311" s="28"/>
      <c r="D311" s="28"/>
      <c r="E311" s="28"/>
      <c r="F311" s="28"/>
      <c r="G311" s="28"/>
      <c r="I311" s="28"/>
      <c r="J311" s="28"/>
      <c r="K311" s="28"/>
      <c r="L311" s="28"/>
      <c r="M311" s="28"/>
      <c r="O311" s="28"/>
      <c r="P311" s="28"/>
      <c r="Q311" s="28"/>
      <c r="R311" s="28"/>
      <c r="S311" s="28"/>
      <c r="U311" s="28"/>
      <c r="V311" s="28"/>
      <c r="W311" s="28"/>
      <c r="X311" s="28"/>
      <c r="Y311" s="28"/>
    </row>
    <row r="312" spans="1:25" x14ac:dyDescent="0.35">
      <c r="A312" s="20" t="s">
        <v>191</v>
      </c>
      <c r="B312" s="20"/>
      <c r="C312" s="56" t="s">
        <v>115</v>
      </c>
      <c r="D312" s="11"/>
      <c r="E312" s="11"/>
      <c r="F312" s="11"/>
      <c r="G312" s="30" t="s">
        <v>115</v>
      </c>
      <c r="I312" s="56" t="s">
        <v>115</v>
      </c>
      <c r="J312" s="11"/>
      <c r="K312" s="11"/>
      <c r="L312" s="11"/>
      <c r="M312" s="30" t="s">
        <v>115</v>
      </c>
      <c r="O312" s="55" t="s">
        <v>116</v>
      </c>
      <c r="P312" s="34"/>
      <c r="Q312" s="34"/>
      <c r="R312" s="34"/>
      <c r="S312" s="35" t="s">
        <v>116</v>
      </c>
      <c r="U312" s="57" t="s">
        <v>117</v>
      </c>
      <c r="V312" s="42"/>
      <c r="W312" s="42"/>
      <c r="X312" s="42"/>
      <c r="Y312" s="43" t="s">
        <v>117</v>
      </c>
    </row>
    <row r="313" spans="1:25" ht="15" thickBot="1" x14ac:dyDescent="0.4">
      <c r="A313" s="2"/>
      <c r="B313" s="2"/>
      <c r="C313" s="2"/>
      <c r="D313" s="18" t="s">
        <v>118</v>
      </c>
      <c r="E313" s="19" t="s">
        <v>119</v>
      </c>
      <c r="F313" s="18" t="s">
        <v>120</v>
      </c>
      <c r="G313" s="12" t="s">
        <v>121</v>
      </c>
      <c r="I313" s="2"/>
      <c r="J313" s="18" t="s">
        <v>118</v>
      </c>
      <c r="K313" s="19" t="s">
        <v>119</v>
      </c>
      <c r="L313" s="18" t="s">
        <v>120</v>
      </c>
      <c r="M313" s="12" t="s">
        <v>121</v>
      </c>
      <c r="O313" s="34"/>
      <c r="P313" s="18" t="s">
        <v>118</v>
      </c>
      <c r="Q313" s="19" t="s">
        <v>119</v>
      </c>
      <c r="R313" s="18" t="s">
        <v>120</v>
      </c>
      <c r="S313" s="39" t="s">
        <v>121</v>
      </c>
      <c r="U313" s="42"/>
      <c r="V313" s="18" t="s">
        <v>118</v>
      </c>
      <c r="W313" s="19" t="s">
        <v>119</v>
      </c>
      <c r="X313" s="18" t="s">
        <v>120</v>
      </c>
      <c r="Y313" s="47" t="s">
        <v>121</v>
      </c>
    </row>
    <row r="314" spans="1:25" ht="15" thickTop="1" x14ac:dyDescent="0.35">
      <c r="A314" s="22" t="s">
        <v>122</v>
      </c>
      <c r="B314" s="2"/>
      <c r="C314" s="21" t="s">
        <v>25</v>
      </c>
      <c r="D314" s="25">
        <v>1289338</v>
      </c>
      <c r="E314" s="14">
        <f>D314/D320</f>
        <v>0.74854408895179625</v>
      </c>
      <c r="F314">
        <v>99.96</v>
      </c>
      <c r="G314" s="15">
        <f t="shared" ref="G314:G319" si="123">E314*F314</f>
        <v>74.824467131621546</v>
      </c>
      <c r="I314" s="21" t="s">
        <v>25</v>
      </c>
      <c r="J314" s="52">
        <v>5051950.808716774</v>
      </c>
      <c r="K314" s="14">
        <f>J314/J320</f>
        <v>0.82031601930755305</v>
      </c>
      <c r="L314">
        <v>99.96</v>
      </c>
      <c r="M314" s="15">
        <f t="shared" ref="M314:M319" si="124">K314*L314</f>
        <v>81.998789289982994</v>
      </c>
      <c r="O314" s="38" t="s">
        <v>25</v>
      </c>
      <c r="P314" s="13">
        <v>78137</v>
      </c>
      <c r="Q314" s="14">
        <f>P314/P319</f>
        <v>0.44171401113654996</v>
      </c>
      <c r="R314">
        <v>99.96</v>
      </c>
      <c r="S314" s="40">
        <f t="shared" ref="S314:S317" si="125">Q314*R314</f>
        <v>44.153732553209529</v>
      </c>
      <c r="U314" s="46" t="s">
        <v>25</v>
      </c>
      <c r="V314" s="52">
        <v>2626307000</v>
      </c>
      <c r="W314" s="14">
        <f>V314/V318</f>
        <v>0.660725112619582</v>
      </c>
      <c r="X314">
        <v>99.96</v>
      </c>
      <c r="Y314" s="48">
        <f t="shared" ref="Y314:Y315" si="126">W314*X314</f>
        <v>66.046082257453406</v>
      </c>
    </row>
    <row r="315" spans="1:25" x14ac:dyDescent="0.35">
      <c r="A315" s="23">
        <v>1285823</v>
      </c>
      <c r="B315" s="2"/>
      <c r="C315" s="21" t="s">
        <v>29</v>
      </c>
      <c r="D315" s="13">
        <v>135305</v>
      </c>
      <c r="E315" s="14">
        <f>D315/D320</f>
        <v>7.8553302513090284E-2</v>
      </c>
      <c r="F315">
        <v>99.86</v>
      </c>
      <c r="G315" s="15">
        <f t="shared" si="123"/>
        <v>7.8443327889571961</v>
      </c>
      <c r="I315" s="21" t="s">
        <v>29</v>
      </c>
      <c r="J315" s="52">
        <v>599236.19124984741</v>
      </c>
      <c r="K315" s="14">
        <f>J315/J320</f>
        <v>9.7301629735376302E-2</v>
      </c>
      <c r="L315">
        <v>99.86</v>
      </c>
      <c r="M315" s="15">
        <f t="shared" si="124"/>
        <v>9.7165407453746777</v>
      </c>
      <c r="O315" s="38" t="s">
        <v>29</v>
      </c>
      <c r="P315" s="13">
        <v>3391</v>
      </c>
      <c r="Q315" s="14">
        <f>P315/P319</f>
        <v>1.916956386556997E-2</v>
      </c>
      <c r="R315">
        <v>99.86</v>
      </c>
      <c r="S315" s="40">
        <f t="shared" si="125"/>
        <v>1.9142726476158172</v>
      </c>
      <c r="U315" s="46" t="s">
        <v>29</v>
      </c>
      <c r="V315" s="52">
        <v>32072000</v>
      </c>
      <c r="W315" s="14">
        <f>V315/V318</f>
        <v>8.0686590760087207E-3</v>
      </c>
      <c r="X315">
        <v>99.86</v>
      </c>
      <c r="Y315" s="48">
        <f t="shared" si="126"/>
        <v>0.80573629533023083</v>
      </c>
    </row>
    <row r="316" spans="1:25" x14ac:dyDescent="0.35">
      <c r="A316" s="23">
        <v>12</v>
      </c>
      <c r="B316" s="2"/>
      <c r="C316" s="21" t="s">
        <v>30</v>
      </c>
      <c r="D316" s="13">
        <v>6198</v>
      </c>
      <c r="E316" s="14">
        <f>D316/D320</f>
        <v>3.5983398172730763E-3</v>
      </c>
      <c r="F316">
        <v>99.96</v>
      </c>
      <c r="G316" s="15">
        <f t="shared" si="123"/>
        <v>0.35969004813461669</v>
      </c>
      <c r="I316" s="21" t="s">
        <v>30</v>
      </c>
      <c r="J316" s="52">
        <v>9011.9015865325928</v>
      </c>
      <c r="K316" s="14">
        <f>J316/J320</f>
        <v>1.4633173432925023E-3</v>
      </c>
      <c r="L316">
        <v>99.96</v>
      </c>
      <c r="M316" s="15">
        <f t="shared" si="124"/>
        <v>0.14627320163551852</v>
      </c>
      <c r="O316" s="38" t="s">
        <v>30</v>
      </c>
      <c r="P316" s="13">
        <v>92340</v>
      </c>
      <c r="Q316" s="14">
        <f>P316/P319</f>
        <v>0.52200457898753494</v>
      </c>
      <c r="R316">
        <v>99.96</v>
      </c>
      <c r="S316" s="40">
        <f t="shared" si="125"/>
        <v>52.179577715593986</v>
      </c>
      <c r="U316" s="46" t="s">
        <v>31</v>
      </c>
      <c r="V316" s="52">
        <v>1314260000</v>
      </c>
      <c r="W316" s="14">
        <f>V316/V318</f>
        <v>0.33064092907318599</v>
      </c>
      <c r="X316">
        <v>99.96</v>
      </c>
      <c r="Y316" s="48">
        <f>W316*X316</f>
        <v>33.05086727015567</v>
      </c>
    </row>
    <row r="317" spans="1:25" x14ac:dyDescent="0.35">
      <c r="A317" s="23">
        <v>3503</v>
      </c>
      <c r="B317" s="2"/>
      <c r="C317" s="21" t="s">
        <v>31</v>
      </c>
      <c r="D317" s="13">
        <v>203621</v>
      </c>
      <c r="E317" s="14">
        <f>D317/D320</f>
        <v>0.11821515842738965</v>
      </c>
      <c r="F317">
        <v>99.96</v>
      </c>
      <c r="G317" s="15">
        <f t="shared" si="123"/>
        <v>11.816787236401868</v>
      </c>
      <c r="I317" s="21" t="s">
        <v>31</v>
      </c>
      <c r="J317" s="52">
        <v>127807.03914546967</v>
      </c>
      <c r="K317" s="14">
        <f>J317/J320</f>
        <v>2.0752807293847507E-2</v>
      </c>
      <c r="L317">
        <v>99.96</v>
      </c>
      <c r="M317" s="15">
        <f t="shared" si="124"/>
        <v>2.0744506170929968</v>
      </c>
      <c r="O317" s="38" t="s">
        <v>31</v>
      </c>
      <c r="P317" s="13">
        <v>2626</v>
      </c>
      <c r="Q317" s="14">
        <f>P317/P319</f>
        <v>1.4844964526979282E-2</v>
      </c>
      <c r="R317">
        <v>99.96</v>
      </c>
      <c r="S317" s="40">
        <f t="shared" si="125"/>
        <v>1.483902654116849</v>
      </c>
      <c r="U317" s="46" t="s">
        <v>33</v>
      </c>
      <c r="V317" s="52">
        <v>2247000</v>
      </c>
      <c r="W317" s="14">
        <f>V317/V318</f>
        <v>5.6529923122323512E-4</v>
      </c>
      <c r="X317">
        <v>99.77</v>
      </c>
      <c r="Y317" s="48">
        <f>W317*X317</f>
        <v>5.6399904299142163E-2</v>
      </c>
    </row>
    <row r="318" spans="1:25" ht="15" thickBot="1" x14ac:dyDescent="0.4">
      <c r="A318" s="24">
        <f>SUM(A315:A317)</f>
        <v>1289338</v>
      </c>
      <c r="B318" s="2"/>
      <c r="C318" s="21" t="s">
        <v>32</v>
      </c>
      <c r="D318" s="13">
        <v>172</v>
      </c>
      <c r="E318" s="14">
        <f>D318/D320</f>
        <v>9.9857123035006313E-5</v>
      </c>
      <c r="F318">
        <v>99.96</v>
      </c>
      <c r="G318" s="15">
        <f t="shared" si="123"/>
        <v>9.9817180185792307E-3</v>
      </c>
      <c r="I318" s="21" t="s">
        <v>32</v>
      </c>
      <c r="J318" s="52">
        <v>4278.6205768585205</v>
      </c>
      <c r="K318" s="14">
        <f>J318/J320</f>
        <v>6.9474567996189254E-4</v>
      </c>
      <c r="L318">
        <v>99.96</v>
      </c>
      <c r="M318" s="15">
        <f t="shared" si="124"/>
        <v>6.944677816899078E-2</v>
      </c>
      <c r="O318" s="38" t="s">
        <v>33</v>
      </c>
      <c r="P318" s="13">
        <v>401</v>
      </c>
      <c r="Q318" s="14">
        <f>P318/P319</f>
        <v>2.2668814833658383E-3</v>
      </c>
      <c r="R318">
        <v>99.77</v>
      </c>
      <c r="S318" s="40">
        <f>Q318*R318</f>
        <v>0.22616676559540969</v>
      </c>
      <c r="U318" s="46"/>
      <c r="V318" s="52">
        <f>SUM(V314:V317)</f>
        <v>3974886000</v>
      </c>
      <c r="W318" s="32">
        <f>SUM(W314:W317)</f>
        <v>1</v>
      </c>
      <c r="X318" s="33">
        <f>AVERAGE(X314:X317)</f>
        <v>99.887499999999989</v>
      </c>
      <c r="Y318" s="58">
        <f>SUM(Y314:Y317)</f>
        <v>99.959085727238445</v>
      </c>
    </row>
    <row r="319" spans="1:25" ht="15.5" thickTop="1" thickBot="1" x14ac:dyDescent="0.4">
      <c r="B319" s="2"/>
      <c r="C319" s="21" t="s">
        <v>33</v>
      </c>
      <c r="D319" s="13">
        <v>87827</v>
      </c>
      <c r="E319" s="16">
        <f>D319/D320</f>
        <v>5.0989253167415691E-2</v>
      </c>
      <c r="F319">
        <v>99.77</v>
      </c>
      <c r="G319" s="15">
        <f t="shared" si="123"/>
        <v>5.0871977885130635</v>
      </c>
      <c r="I319" s="21" t="s">
        <v>33</v>
      </c>
      <c r="J319" s="52">
        <v>366257.62223720551</v>
      </c>
      <c r="K319" s="16">
        <f>J319/J320</f>
        <v>5.9471480639968724E-2</v>
      </c>
      <c r="L319">
        <v>99.77</v>
      </c>
      <c r="M319" s="15">
        <f t="shared" si="124"/>
        <v>5.9334696234496791</v>
      </c>
      <c r="O319" s="38"/>
      <c r="P319" s="31">
        <f>SUM(P314:P318)</f>
        <v>176895</v>
      </c>
      <c r="Q319" s="32">
        <f>SUM(Q314:Q318)</f>
        <v>0.99999999999999989</v>
      </c>
      <c r="R319" s="33">
        <f>AVERAGE(R314:R318)</f>
        <v>99.901999999999987</v>
      </c>
      <c r="S319" s="41">
        <f>SUM(S314:S318)</f>
        <v>99.957652336131588</v>
      </c>
      <c r="U319" s="46"/>
      <c r="V319" s="52"/>
      <c r="W319" s="32"/>
      <c r="X319" s="33"/>
      <c r="Y319" s="58"/>
    </row>
    <row r="320" spans="1:25" ht="15" thickBot="1" x14ac:dyDescent="0.4">
      <c r="A320" s="10"/>
      <c r="B320" s="10"/>
      <c r="C320" s="10"/>
      <c r="D320" s="49">
        <f>SUM(D314:D319)</f>
        <v>1722461</v>
      </c>
      <c r="E320" s="50">
        <f>SUM(E314:E319)</f>
        <v>0.99999999999999978</v>
      </c>
      <c r="F320" s="51">
        <f>AVERAGE(F314:F319)</f>
        <v>99.911666666666648</v>
      </c>
      <c r="G320" s="26">
        <f>SUM(G314:G319)</f>
        <v>99.942456711646869</v>
      </c>
      <c r="I320" s="10"/>
      <c r="J320" s="49">
        <f>SUM(J314:J319)</f>
        <v>6158542.1835126877</v>
      </c>
      <c r="K320" s="50">
        <f>SUM(K314:K319)</f>
        <v>1</v>
      </c>
      <c r="L320" s="51">
        <f>AVERAGE(L314:L319)</f>
        <v>99.911666666666648</v>
      </c>
      <c r="M320" s="26">
        <f>SUM(M314:M319)</f>
        <v>99.938970255704859</v>
      </c>
      <c r="O320" s="34"/>
      <c r="P320" s="34"/>
      <c r="Q320" s="34"/>
      <c r="R320" s="36"/>
      <c r="S320" s="40"/>
      <c r="U320" s="42"/>
      <c r="V320" s="42"/>
      <c r="W320" s="42"/>
      <c r="X320" s="44"/>
      <c r="Y320" s="45"/>
    </row>
    <row r="321" spans="1:25" ht="15" thickTop="1" x14ac:dyDescent="0.35">
      <c r="A321" s="29" t="s">
        <v>193</v>
      </c>
      <c r="B321" s="28"/>
      <c r="C321" s="28"/>
      <c r="D321" s="28"/>
      <c r="E321" s="28"/>
      <c r="F321" s="28"/>
      <c r="G321" s="28"/>
      <c r="I321" s="28"/>
      <c r="J321" s="28"/>
      <c r="K321" s="28"/>
      <c r="L321" s="28"/>
      <c r="M321" s="28"/>
      <c r="O321" s="28"/>
      <c r="P321" s="28"/>
      <c r="Q321" s="28"/>
      <c r="R321" s="28"/>
      <c r="S321" s="28"/>
      <c r="U321" s="28"/>
      <c r="V321" s="28"/>
      <c r="W321" s="28"/>
      <c r="X321" s="28"/>
      <c r="Y321" s="28"/>
    </row>
    <row r="322" spans="1:25" x14ac:dyDescent="0.35">
      <c r="A322" s="20" t="s">
        <v>194</v>
      </c>
      <c r="B322" s="20"/>
      <c r="C322" s="56" t="s">
        <v>115</v>
      </c>
      <c r="D322" s="11"/>
      <c r="E322" s="11"/>
      <c r="F322" s="11"/>
      <c r="G322" s="30" t="s">
        <v>115</v>
      </c>
      <c r="I322" s="56" t="s">
        <v>115</v>
      </c>
      <c r="J322" s="11"/>
      <c r="K322" s="11"/>
      <c r="L322" s="11"/>
      <c r="M322" s="30" t="s">
        <v>115</v>
      </c>
      <c r="O322" s="55" t="s">
        <v>116</v>
      </c>
      <c r="P322" s="34"/>
      <c r="Q322" s="34"/>
      <c r="R322" s="34"/>
      <c r="S322" s="35" t="s">
        <v>116</v>
      </c>
      <c r="U322" s="57" t="s">
        <v>117</v>
      </c>
      <c r="V322" s="42"/>
      <c r="W322" s="42"/>
      <c r="X322" s="42"/>
      <c r="Y322" s="43" t="s">
        <v>117</v>
      </c>
    </row>
    <row r="323" spans="1:25" ht="15" thickBot="1" x14ac:dyDescent="0.4">
      <c r="A323" s="2"/>
      <c r="B323" s="2"/>
      <c r="C323" s="2"/>
      <c r="D323" s="18" t="s">
        <v>118</v>
      </c>
      <c r="E323" s="19" t="s">
        <v>119</v>
      </c>
      <c r="F323" s="18" t="s">
        <v>120</v>
      </c>
      <c r="G323" s="12" t="s">
        <v>121</v>
      </c>
      <c r="I323" s="2"/>
      <c r="J323" s="18" t="s">
        <v>118</v>
      </c>
      <c r="K323" s="19" t="s">
        <v>119</v>
      </c>
      <c r="L323" s="18" t="s">
        <v>120</v>
      </c>
      <c r="M323" s="12" t="s">
        <v>121</v>
      </c>
      <c r="O323" s="34"/>
      <c r="P323" s="18" t="s">
        <v>118</v>
      </c>
      <c r="Q323" s="19" t="s">
        <v>119</v>
      </c>
      <c r="R323" s="18" t="s">
        <v>120</v>
      </c>
      <c r="S323" s="39" t="s">
        <v>121</v>
      </c>
      <c r="U323" s="42"/>
      <c r="V323" s="18" t="s">
        <v>118</v>
      </c>
      <c r="W323" s="19" t="s">
        <v>119</v>
      </c>
      <c r="X323" s="18" t="s">
        <v>120</v>
      </c>
      <c r="Y323" s="47" t="s">
        <v>121</v>
      </c>
    </row>
    <row r="324" spans="1:25" ht="15" thickTop="1" x14ac:dyDescent="0.35">
      <c r="A324" s="22" t="s">
        <v>122</v>
      </c>
      <c r="B324" s="2"/>
      <c r="C324" s="21" t="s">
        <v>25</v>
      </c>
      <c r="D324" s="25">
        <v>1290384</v>
      </c>
      <c r="E324" s="14">
        <f>D324/D330</f>
        <v>0.74898786130086592</v>
      </c>
      <c r="F324">
        <v>99.93</v>
      </c>
      <c r="G324" s="15">
        <f t="shared" ref="G324:G329" si="127">E324*F324</f>
        <v>74.84635697979553</v>
      </c>
      <c r="I324" s="21" t="s">
        <v>25</v>
      </c>
      <c r="J324" s="52">
        <v>4060168.2264595032</v>
      </c>
      <c r="K324" s="14">
        <f>J324/J330</f>
        <v>0.77898830142832332</v>
      </c>
      <c r="L324">
        <v>99.93</v>
      </c>
      <c r="M324" s="15">
        <f t="shared" ref="M324:M329" si="128">K324*L324</f>
        <v>77.844300961732358</v>
      </c>
      <c r="O324" s="38" t="s">
        <v>25</v>
      </c>
      <c r="P324" s="13">
        <v>106931</v>
      </c>
      <c r="Q324" s="14">
        <f>P324/P329</f>
        <v>0.50605289062204217</v>
      </c>
      <c r="R324">
        <v>99.93</v>
      </c>
      <c r="S324" s="40">
        <f t="shared" ref="S324:S327" si="129">Q324*R324</f>
        <v>50.569865359860678</v>
      </c>
      <c r="U324" s="46" t="s">
        <v>25</v>
      </c>
      <c r="V324" s="52">
        <v>3102952000</v>
      </c>
      <c r="W324" s="14">
        <f>V324/V328</f>
        <v>0.69430349072465103</v>
      </c>
      <c r="X324">
        <v>99.93</v>
      </c>
      <c r="Y324" s="48">
        <f t="shared" ref="Y324:Y325" si="130">W324*X324</f>
        <v>69.381747828114385</v>
      </c>
    </row>
    <row r="325" spans="1:25" x14ac:dyDescent="0.35">
      <c r="A325" s="23">
        <v>1286869</v>
      </c>
      <c r="B325" s="2"/>
      <c r="C325" s="21" t="s">
        <v>29</v>
      </c>
      <c r="D325" s="13">
        <v>135667</v>
      </c>
      <c r="E325" s="14">
        <f>D325/D330</f>
        <v>7.8746277216010574E-2</v>
      </c>
      <c r="F325">
        <v>99.83</v>
      </c>
      <c r="G325" s="15">
        <f t="shared" si="127"/>
        <v>7.8612408544743353</v>
      </c>
      <c r="I325" s="21" t="s">
        <v>29</v>
      </c>
      <c r="J325" s="52">
        <v>543539.86858463287</v>
      </c>
      <c r="K325" s="14">
        <f>J325/J330</f>
        <v>0.10428415163391763</v>
      </c>
      <c r="L325">
        <v>99.83</v>
      </c>
      <c r="M325" s="15">
        <f t="shared" si="128"/>
        <v>10.410686857613998</v>
      </c>
      <c r="O325" s="38" t="s">
        <v>29</v>
      </c>
      <c r="P325" s="13">
        <v>3356</v>
      </c>
      <c r="Q325" s="14">
        <f>P325/P329</f>
        <v>1.588233067050316E-2</v>
      </c>
      <c r="R325">
        <v>99.83</v>
      </c>
      <c r="S325" s="40">
        <f t="shared" si="129"/>
        <v>1.5855330708363304</v>
      </c>
      <c r="U325" s="46" t="s">
        <v>29</v>
      </c>
      <c r="V325" s="52">
        <v>33554000</v>
      </c>
      <c r="W325" s="14">
        <f>V325/V328</f>
        <v>7.5079019358903851E-3</v>
      </c>
      <c r="X325">
        <v>99.83</v>
      </c>
      <c r="Y325" s="48">
        <f t="shared" si="130"/>
        <v>0.74951385025993711</v>
      </c>
    </row>
    <row r="326" spans="1:25" x14ac:dyDescent="0.35">
      <c r="A326" s="23">
        <v>12</v>
      </c>
      <c r="B326" s="2"/>
      <c r="C326" s="21" t="s">
        <v>30</v>
      </c>
      <c r="D326" s="13">
        <v>6220</v>
      </c>
      <c r="E326" s="14">
        <f>D326/D330</f>
        <v>3.6103241339720473E-3</v>
      </c>
      <c r="F326">
        <v>99.93</v>
      </c>
      <c r="G326" s="15">
        <f t="shared" si="127"/>
        <v>0.36077969070782673</v>
      </c>
      <c r="I326" s="21" t="s">
        <v>30</v>
      </c>
      <c r="J326" s="52">
        <v>9249.5978374481201</v>
      </c>
      <c r="K326" s="14">
        <f>J326/J330</f>
        <v>1.7746379229640699E-3</v>
      </c>
      <c r="L326">
        <v>99.93</v>
      </c>
      <c r="M326" s="15">
        <f t="shared" si="128"/>
        <v>0.17733956764179951</v>
      </c>
      <c r="O326" s="38" t="s">
        <v>30</v>
      </c>
      <c r="P326" s="13">
        <v>97739</v>
      </c>
      <c r="Q326" s="14">
        <f>P326/P329</f>
        <v>0.46255158444705258</v>
      </c>
      <c r="R326">
        <v>99.93</v>
      </c>
      <c r="S326" s="40">
        <f t="shared" si="129"/>
        <v>46.222779833793965</v>
      </c>
      <c r="U326" s="46" t="s">
        <v>31</v>
      </c>
      <c r="V326" s="52">
        <v>1330256000</v>
      </c>
      <c r="W326" s="14">
        <f>V326/V328</f>
        <v>0.29765248845531977</v>
      </c>
      <c r="X326">
        <v>99.93</v>
      </c>
      <c r="Y326" s="48">
        <f>W326*X326</f>
        <v>29.744413171340106</v>
      </c>
    </row>
    <row r="327" spans="1:25" x14ac:dyDescent="0.35">
      <c r="A327" s="23">
        <v>3503</v>
      </c>
      <c r="B327" s="2"/>
      <c r="C327" s="21" t="s">
        <v>31</v>
      </c>
      <c r="D327" s="13">
        <v>202612</v>
      </c>
      <c r="E327" s="14">
        <f>D327/D330</f>
        <v>0.11760369669330296</v>
      </c>
      <c r="F327">
        <v>99.93</v>
      </c>
      <c r="G327" s="15">
        <f t="shared" si="127"/>
        <v>11.752137410561765</v>
      </c>
      <c r="I327" s="21" t="s">
        <v>31</v>
      </c>
      <c r="J327" s="52">
        <v>270457.36149024963</v>
      </c>
      <c r="K327" s="14">
        <f>J327/J330</f>
        <v>5.1890244168476936E-2</v>
      </c>
      <c r="L327">
        <v>99.93</v>
      </c>
      <c r="M327" s="15">
        <f t="shared" si="128"/>
        <v>5.1853920997559007</v>
      </c>
      <c r="O327" s="38" t="s">
        <v>31</v>
      </c>
      <c r="P327" s="13">
        <v>2761</v>
      </c>
      <c r="Q327" s="14">
        <f>P327/P329</f>
        <v>1.3066482413962821E-2</v>
      </c>
      <c r="R327">
        <v>99.93</v>
      </c>
      <c r="S327" s="40">
        <f t="shared" si="129"/>
        <v>1.3057335876273048</v>
      </c>
      <c r="U327" s="46" t="s">
        <v>33</v>
      </c>
      <c r="V327" s="52">
        <v>2396000</v>
      </c>
      <c r="W327" s="14">
        <f>V327/V328</f>
        <v>5.3611888413880203E-4</v>
      </c>
      <c r="X327">
        <v>99.88</v>
      </c>
      <c r="Y327" s="48">
        <f t="shared" ref="Y327" si="131">W327*X327</f>
        <v>5.3547554147783546E-2</v>
      </c>
    </row>
    <row r="328" spans="1:25" ht="15" thickBot="1" x14ac:dyDescent="0.4">
      <c r="A328" s="24">
        <f>SUM(A325:A327)</f>
        <v>1290384</v>
      </c>
      <c r="B328" s="2"/>
      <c r="C328" s="21" t="s">
        <v>32</v>
      </c>
      <c r="D328" s="13">
        <v>171</v>
      </c>
      <c r="E328" s="14">
        <f>D328/D330</f>
        <v>9.9254891786048241E-5</v>
      </c>
      <c r="F328">
        <v>99.93</v>
      </c>
      <c r="G328" s="15">
        <f t="shared" si="127"/>
        <v>9.9185413361798022E-3</v>
      </c>
      <c r="I328" s="21" t="s">
        <v>32</v>
      </c>
      <c r="J328" s="52">
        <v>191.02387428283691</v>
      </c>
      <c r="K328" s="14">
        <f>J328/J330</f>
        <v>3.665004873199653E-5</v>
      </c>
      <c r="L328">
        <v>99.93</v>
      </c>
      <c r="M328" s="15">
        <f t="shared" si="128"/>
        <v>3.6624393697884134E-3</v>
      </c>
      <c r="O328" s="38" t="s">
        <v>33</v>
      </c>
      <c r="P328" s="13">
        <v>517</v>
      </c>
      <c r="Q328" s="14">
        <f>P328/P329</f>
        <v>2.4467118464392536E-3</v>
      </c>
      <c r="R328">
        <v>99.88</v>
      </c>
      <c r="S328" s="40">
        <f>Q328*R328</f>
        <v>0.24437757922235265</v>
      </c>
      <c r="U328" s="46"/>
      <c r="V328" s="52">
        <f>SUM(V324:V327)</f>
        <v>4469158000</v>
      </c>
      <c r="W328" s="32">
        <f>SUM(W324:W327)</f>
        <v>1</v>
      </c>
      <c r="X328" s="33">
        <f>AVERAGE(X324:X327)</f>
        <v>99.892499999999998</v>
      </c>
      <c r="Y328" s="58">
        <f>SUM(Y324:Y327)</f>
        <v>99.929222403862198</v>
      </c>
    </row>
    <row r="329" spans="1:25" ht="15.5" thickTop="1" thickBot="1" x14ac:dyDescent="0.4">
      <c r="B329" s="2"/>
      <c r="C329" s="21" t="s">
        <v>33</v>
      </c>
      <c r="D329" s="13">
        <v>87783</v>
      </c>
      <c r="E329" s="16">
        <f>D329/D330</f>
        <v>5.0952585764062412E-2</v>
      </c>
      <c r="F329">
        <v>99.88</v>
      </c>
      <c r="G329" s="15">
        <f t="shared" si="127"/>
        <v>5.0891442661145536</v>
      </c>
      <c r="I329" s="21" t="s">
        <v>33</v>
      </c>
      <c r="J329" s="52">
        <v>328498.15876865387</v>
      </c>
      <c r="K329" s="16">
        <f>J329/J330</f>
        <v>6.3026014797586044E-2</v>
      </c>
      <c r="L329">
        <v>99.88</v>
      </c>
      <c r="M329" s="15">
        <f t="shared" si="128"/>
        <v>6.2950383579828939</v>
      </c>
      <c r="O329" s="38"/>
      <c r="P329" s="31">
        <f>SUM(P324:P328)</f>
        <v>211304</v>
      </c>
      <c r="Q329" s="32">
        <f>SUM(Q324:Q328)</f>
        <v>1</v>
      </c>
      <c r="R329" s="33">
        <f>AVERAGE(R324:R328)</f>
        <v>99.9</v>
      </c>
      <c r="S329" s="41">
        <f>SUM(S324:S328)</f>
        <v>99.92828943134063</v>
      </c>
      <c r="U329" s="46"/>
      <c r="V329" s="52"/>
      <c r="W329" s="32"/>
      <c r="X329" s="33"/>
      <c r="Y329" s="58"/>
    </row>
    <row r="330" spans="1:25" ht="15" thickBot="1" x14ac:dyDescent="0.4">
      <c r="A330" s="10"/>
      <c r="B330" s="10"/>
      <c r="C330" s="10"/>
      <c r="D330" s="49">
        <f>SUM(D324:D329)</f>
        <v>1722837</v>
      </c>
      <c r="E330" s="50">
        <f>SUM(E324:E329)</f>
        <v>0.99999999999999989</v>
      </c>
      <c r="F330" s="51">
        <f>AVERAGE(F324:F329)</f>
        <v>99.905000000000015</v>
      </c>
      <c r="G330" s="26">
        <f>SUM(G324:G329)</f>
        <v>99.919577742990185</v>
      </c>
      <c r="I330" s="10"/>
      <c r="J330" s="49">
        <f>SUM(J324:J329)</f>
        <v>5212104.2370147705</v>
      </c>
      <c r="K330" s="50">
        <f>SUM(K324:K329)</f>
        <v>1</v>
      </c>
      <c r="L330" s="51">
        <f>AVERAGE(L324:L329)</f>
        <v>99.905000000000015</v>
      </c>
      <c r="M330" s="26">
        <f>SUM(M324:M329)</f>
        <v>99.916420284096731</v>
      </c>
      <c r="O330" s="34"/>
      <c r="P330" s="34"/>
      <c r="Q330" s="34"/>
      <c r="R330" s="36"/>
      <c r="S330" s="40"/>
      <c r="U330" s="42"/>
      <c r="V330" s="42"/>
      <c r="W330" s="42"/>
      <c r="X330" s="44"/>
      <c r="Y330" s="45"/>
    </row>
    <row r="331" spans="1:25" ht="15" thickTop="1" x14ac:dyDescent="0.35">
      <c r="A331" s="29" t="s">
        <v>195</v>
      </c>
      <c r="B331" s="28"/>
      <c r="C331" s="28"/>
      <c r="D331" s="28"/>
      <c r="E331" s="28"/>
      <c r="F331" s="28"/>
      <c r="G331" s="28"/>
      <c r="I331" s="28"/>
      <c r="J331" s="28"/>
      <c r="K331" s="28"/>
      <c r="L331" s="28"/>
      <c r="M331" s="28"/>
      <c r="O331" s="28"/>
      <c r="P331" s="28"/>
      <c r="Q331" s="28"/>
      <c r="R331" s="28"/>
      <c r="S331" s="28"/>
      <c r="U331" s="28"/>
      <c r="V331" s="28"/>
      <c r="W331" s="28"/>
      <c r="X331" s="28"/>
      <c r="Y331" s="28"/>
    </row>
    <row r="332" spans="1:25" x14ac:dyDescent="0.35">
      <c r="A332" s="20" t="s">
        <v>194</v>
      </c>
      <c r="B332" s="20"/>
      <c r="C332" s="56" t="s">
        <v>115</v>
      </c>
      <c r="D332" s="11"/>
      <c r="E332" s="11"/>
      <c r="F332" s="11"/>
      <c r="G332" s="30" t="s">
        <v>115</v>
      </c>
      <c r="I332" s="56" t="s">
        <v>115</v>
      </c>
      <c r="J332" s="11"/>
      <c r="K332" s="11"/>
      <c r="L332" s="11"/>
      <c r="M332" s="30" t="s">
        <v>115</v>
      </c>
      <c r="O332" s="55" t="s">
        <v>116</v>
      </c>
      <c r="P332" s="34"/>
      <c r="Q332" s="34"/>
      <c r="R332" s="34"/>
      <c r="S332" s="35" t="s">
        <v>116</v>
      </c>
      <c r="U332" s="57" t="s">
        <v>117</v>
      </c>
      <c r="V332" s="42"/>
      <c r="W332" s="42"/>
      <c r="X332" s="42"/>
      <c r="Y332" s="43" t="s">
        <v>117</v>
      </c>
    </row>
    <row r="333" spans="1:25" ht="15" thickBot="1" x14ac:dyDescent="0.4">
      <c r="A333" s="2"/>
      <c r="B333" s="2"/>
      <c r="C333" s="2"/>
      <c r="D333" s="18" t="s">
        <v>118</v>
      </c>
      <c r="E333" s="19" t="s">
        <v>119</v>
      </c>
      <c r="F333" s="18" t="s">
        <v>120</v>
      </c>
      <c r="G333" s="12" t="s">
        <v>121</v>
      </c>
      <c r="I333" s="2"/>
      <c r="J333" s="18" t="s">
        <v>118</v>
      </c>
      <c r="K333" s="19" t="s">
        <v>119</v>
      </c>
      <c r="L333" s="18" t="s">
        <v>120</v>
      </c>
      <c r="M333" s="12" t="s">
        <v>121</v>
      </c>
      <c r="O333" s="34"/>
      <c r="P333" s="18" t="s">
        <v>118</v>
      </c>
      <c r="Q333" s="19" t="s">
        <v>119</v>
      </c>
      <c r="R333" s="18" t="s">
        <v>120</v>
      </c>
      <c r="S333" s="39" t="s">
        <v>121</v>
      </c>
      <c r="U333" s="42"/>
      <c r="V333" s="18" t="s">
        <v>118</v>
      </c>
      <c r="W333" s="19" t="s">
        <v>119</v>
      </c>
      <c r="X333" s="18" t="s">
        <v>120</v>
      </c>
      <c r="Y333" s="47" t="s">
        <v>121</v>
      </c>
    </row>
    <row r="334" spans="1:25" ht="15" thickTop="1" x14ac:dyDescent="0.35">
      <c r="A334" s="22" t="s">
        <v>122</v>
      </c>
      <c r="B334" s="2"/>
      <c r="C334" s="21" t="s">
        <v>25</v>
      </c>
      <c r="D334" s="25">
        <v>1290384</v>
      </c>
      <c r="E334" s="14">
        <f>D334/D340</f>
        <v>0.74898786130086592</v>
      </c>
      <c r="F334">
        <v>99.96</v>
      </c>
      <c r="G334" s="15">
        <f t="shared" ref="G334:G339" si="132">E334*F334</f>
        <v>74.868826615634546</v>
      </c>
      <c r="I334" s="21" t="s">
        <v>25</v>
      </c>
      <c r="J334" s="52">
        <v>4060168.2264595032</v>
      </c>
      <c r="K334" s="14">
        <f>J334/J340</f>
        <v>0.77898830142832332</v>
      </c>
      <c r="L334">
        <v>99.96</v>
      </c>
      <c r="M334" s="15">
        <f t="shared" ref="M334:M339" si="133">K334*L334</f>
        <v>77.867670610775193</v>
      </c>
      <c r="O334" s="38" t="s">
        <v>25</v>
      </c>
      <c r="P334" s="13">
        <v>106931</v>
      </c>
      <c r="Q334" s="14">
        <f>P334/P339</f>
        <v>0.50605289062204217</v>
      </c>
      <c r="R334">
        <v>99.96</v>
      </c>
      <c r="S334" s="40">
        <f t="shared" ref="S334:S337" si="134">Q334*R334</f>
        <v>50.585046946579332</v>
      </c>
      <c r="U334" s="46" t="s">
        <v>25</v>
      </c>
      <c r="V334" s="52">
        <v>3102952000</v>
      </c>
      <c r="W334" s="14">
        <f>V334/V338</f>
        <v>0.69430349072465103</v>
      </c>
      <c r="X334">
        <v>99.96</v>
      </c>
      <c r="Y334" s="48">
        <f t="shared" ref="Y334:Y335" si="135">W334*X334</f>
        <v>69.402576932836112</v>
      </c>
    </row>
    <row r="335" spans="1:25" x14ac:dyDescent="0.35">
      <c r="A335" s="23">
        <v>1286869</v>
      </c>
      <c r="B335" s="2"/>
      <c r="C335" s="21" t="s">
        <v>29</v>
      </c>
      <c r="D335" s="13">
        <v>135667</v>
      </c>
      <c r="E335" s="14">
        <f>D335/D340</f>
        <v>7.8746277216010574E-2</v>
      </c>
      <c r="F335">
        <v>99.86</v>
      </c>
      <c r="G335" s="15">
        <f t="shared" si="132"/>
        <v>7.8636032427908162</v>
      </c>
      <c r="I335" s="21" t="s">
        <v>29</v>
      </c>
      <c r="J335" s="52">
        <v>543539.86858463287</v>
      </c>
      <c r="K335" s="14">
        <f>J335/J340</f>
        <v>0.10428415163391763</v>
      </c>
      <c r="L335">
        <v>99.86</v>
      </c>
      <c r="M335" s="15">
        <f t="shared" si="133"/>
        <v>10.413815382163015</v>
      </c>
      <c r="O335" s="38" t="s">
        <v>29</v>
      </c>
      <c r="P335" s="13">
        <v>3356</v>
      </c>
      <c r="Q335" s="14">
        <f>P335/P339</f>
        <v>1.588233067050316E-2</v>
      </c>
      <c r="R335">
        <v>99.86</v>
      </c>
      <c r="S335" s="40">
        <f t="shared" si="134"/>
        <v>1.5860095407564456</v>
      </c>
      <c r="U335" s="46" t="s">
        <v>29</v>
      </c>
      <c r="V335" s="52">
        <v>33554000</v>
      </c>
      <c r="W335" s="14">
        <f>V335/V338</f>
        <v>7.5079019358903851E-3</v>
      </c>
      <c r="X335">
        <v>99.86</v>
      </c>
      <c r="Y335" s="48">
        <f t="shared" si="135"/>
        <v>0.74973908731801386</v>
      </c>
    </row>
    <row r="336" spans="1:25" x14ac:dyDescent="0.35">
      <c r="A336" s="23">
        <v>12</v>
      </c>
      <c r="B336" s="2"/>
      <c r="C336" s="21" t="s">
        <v>30</v>
      </c>
      <c r="D336" s="13">
        <v>6220</v>
      </c>
      <c r="E336" s="14">
        <f>D336/D340</f>
        <v>3.6103241339720473E-3</v>
      </c>
      <c r="F336">
        <v>99.96</v>
      </c>
      <c r="G336" s="15">
        <f t="shared" si="132"/>
        <v>0.36088800043184582</v>
      </c>
      <c r="I336" s="21" t="s">
        <v>30</v>
      </c>
      <c r="J336" s="52">
        <v>9249.5978374481201</v>
      </c>
      <c r="K336" s="14">
        <f>J336/J340</f>
        <v>1.7746379229640699E-3</v>
      </c>
      <c r="L336">
        <v>99.96</v>
      </c>
      <c r="M336" s="15">
        <f t="shared" si="133"/>
        <v>0.1773928067794884</v>
      </c>
      <c r="O336" s="38" t="s">
        <v>30</v>
      </c>
      <c r="P336" s="13">
        <v>97739</v>
      </c>
      <c r="Q336" s="14">
        <f>P336/P339</f>
        <v>0.46255158444705258</v>
      </c>
      <c r="R336">
        <v>99.96</v>
      </c>
      <c r="S336" s="40">
        <f t="shared" si="134"/>
        <v>46.236656381327371</v>
      </c>
      <c r="U336" s="46" t="s">
        <v>31</v>
      </c>
      <c r="V336" s="52">
        <v>1330256000</v>
      </c>
      <c r="W336" s="14">
        <f>V336/V338</f>
        <v>0.29765248845531977</v>
      </c>
      <c r="X336">
        <v>99.96</v>
      </c>
      <c r="Y336" s="48">
        <f>W336*X336</f>
        <v>29.753342745993763</v>
      </c>
    </row>
    <row r="337" spans="1:25" x14ac:dyDescent="0.35">
      <c r="A337" s="23">
        <v>3503</v>
      </c>
      <c r="B337" s="2"/>
      <c r="C337" s="21" t="s">
        <v>31</v>
      </c>
      <c r="D337" s="13">
        <v>202612</v>
      </c>
      <c r="E337" s="14">
        <f>D337/D340</f>
        <v>0.11760369669330296</v>
      </c>
      <c r="F337">
        <v>99.96</v>
      </c>
      <c r="G337" s="15">
        <f t="shared" si="132"/>
        <v>11.755665521462564</v>
      </c>
      <c r="I337" s="21" t="s">
        <v>31</v>
      </c>
      <c r="J337" s="52">
        <v>270457.36149024963</v>
      </c>
      <c r="K337" s="14">
        <f>J337/J340</f>
        <v>5.1890244168476936E-2</v>
      </c>
      <c r="L337">
        <v>99.96</v>
      </c>
      <c r="M337" s="15">
        <f t="shared" si="133"/>
        <v>5.1869488070809542</v>
      </c>
      <c r="O337" s="38" t="s">
        <v>31</v>
      </c>
      <c r="P337" s="13">
        <v>2761</v>
      </c>
      <c r="Q337" s="14">
        <f>P337/P339</f>
        <v>1.3066482413962821E-2</v>
      </c>
      <c r="R337">
        <v>99.96</v>
      </c>
      <c r="S337" s="40">
        <f t="shared" si="134"/>
        <v>1.3061255820997235</v>
      </c>
      <c r="U337" s="46" t="s">
        <v>33</v>
      </c>
      <c r="V337" s="52">
        <v>2396000</v>
      </c>
      <c r="W337" s="14">
        <f>V337/V338</f>
        <v>5.3611888413880203E-4</v>
      </c>
      <c r="X337">
        <v>99.77</v>
      </c>
      <c r="Y337" s="48">
        <f>W337*X337</f>
        <v>5.3488581070528278E-2</v>
      </c>
    </row>
    <row r="338" spans="1:25" ht="15" thickBot="1" x14ac:dyDescent="0.4">
      <c r="A338" s="24">
        <f>SUM(A335:A337)</f>
        <v>1290384</v>
      </c>
      <c r="B338" s="2"/>
      <c r="C338" s="21" t="s">
        <v>32</v>
      </c>
      <c r="D338" s="13">
        <v>171</v>
      </c>
      <c r="E338" s="14">
        <f>D338/D340</f>
        <v>9.9254891786048241E-5</v>
      </c>
      <c r="F338">
        <v>99.96</v>
      </c>
      <c r="G338" s="15">
        <f t="shared" si="132"/>
        <v>9.9215189829333812E-3</v>
      </c>
      <c r="I338" s="21" t="s">
        <v>32</v>
      </c>
      <c r="J338" s="52">
        <v>191.02387428283691</v>
      </c>
      <c r="K338" s="14">
        <f>J338/J340</f>
        <v>3.665004873199653E-5</v>
      </c>
      <c r="L338">
        <v>99.96</v>
      </c>
      <c r="M338" s="15">
        <f t="shared" si="133"/>
        <v>3.6635388712503727E-3</v>
      </c>
      <c r="O338" s="38" t="s">
        <v>33</v>
      </c>
      <c r="P338" s="13">
        <v>517</v>
      </c>
      <c r="Q338" s="14">
        <f>P338/P339</f>
        <v>2.4467118464392536E-3</v>
      </c>
      <c r="R338">
        <v>99.77</v>
      </c>
      <c r="S338" s="40">
        <f>Q338*R338</f>
        <v>0.24410844091924433</v>
      </c>
      <c r="U338" s="46"/>
      <c r="V338" s="52">
        <f>SUM(V334:V337)</f>
        <v>4469158000</v>
      </c>
      <c r="W338" s="32">
        <f>SUM(W334:W337)</f>
        <v>1</v>
      </c>
      <c r="X338" s="33">
        <f>AVERAGE(X334:X337)</f>
        <v>99.887499999999989</v>
      </c>
      <c r="Y338" s="58">
        <f>SUM(Y334:Y337)</f>
        <v>99.959147347218419</v>
      </c>
    </row>
    <row r="339" spans="1:25" s="80" customFormat="1" ht="15.5" thickTop="1" thickBot="1" x14ac:dyDescent="0.4">
      <c r="B339" s="81"/>
      <c r="C339" s="82" t="s">
        <v>33</v>
      </c>
      <c r="D339" s="83">
        <v>87783</v>
      </c>
      <c r="E339" s="84">
        <f>D339/D340</f>
        <v>5.0952585764062412E-2</v>
      </c>
      <c r="F339" s="80">
        <v>99.77</v>
      </c>
      <c r="G339" s="85">
        <f t="shared" si="132"/>
        <v>5.0835394816805071</v>
      </c>
      <c r="H339" s="86"/>
      <c r="I339" s="82" t="s">
        <v>33</v>
      </c>
      <c r="J339" s="87">
        <v>328498.15876865387</v>
      </c>
      <c r="K339" s="84">
        <f>J339/J340</f>
        <v>6.3026014797586044E-2</v>
      </c>
      <c r="L339" s="80">
        <v>99.77</v>
      </c>
      <c r="M339" s="85">
        <f t="shared" si="133"/>
        <v>6.2881054963551595</v>
      </c>
      <c r="N339" s="86"/>
      <c r="O339" s="82"/>
      <c r="P339" s="88">
        <f>SUM(P334:P338)</f>
        <v>211304</v>
      </c>
      <c r="Q339" s="89">
        <f>SUM(Q334:Q338)</f>
        <v>1</v>
      </c>
      <c r="R339" s="90">
        <f>AVERAGE(R334:R338)</f>
        <v>99.901999999999987</v>
      </c>
      <c r="S339" s="91">
        <f>SUM(S334:S338)</f>
        <v>99.957946891682113</v>
      </c>
      <c r="U339" s="82"/>
      <c r="V339" s="87"/>
      <c r="W339" s="89"/>
      <c r="X339" s="90"/>
      <c r="Y339" s="91"/>
    </row>
    <row r="340" spans="1:25" ht="15" thickBot="1" x14ac:dyDescent="0.4">
      <c r="A340" s="10"/>
      <c r="B340" s="10"/>
      <c r="C340" s="10"/>
      <c r="D340" s="49">
        <f>SUM(D334:D339)</f>
        <v>1722837</v>
      </c>
      <c r="E340" s="50">
        <f>SUM(E334:E339)</f>
        <v>0.99999999999999989</v>
      </c>
      <c r="F340" s="51">
        <f>AVERAGE(F334:F339)</f>
        <v>99.911666666666648</v>
      </c>
      <c r="G340" s="26">
        <f>SUM(G334:G339)</f>
        <v>99.942444380983204</v>
      </c>
      <c r="I340" s="10"/>
      <c r="J340" s="49">
        <f>SUM(J334:J339)</f>
        <v>5212104.2370147705</v>
      </c>
      <c r="K340" s="50">
        <f>SUM(K334:K339)</f>
        <v>1</v>
      </c>
      <c r="L340" s="51">
        <f>AVERAGE(L334:L339)</f>
        <v>99.911666666666648</v>
      </c>
      <c r="M340" s="26">
        <f>SUM(M334:M339)</f>
        <v>99.937596642025056</v>
      </c>
      <c r="O340" s="34"/>
      <c r="P340" s="34"/>
      <c r="Q340" s="34"/>
      <c r="R340" s="36"/>
      <c r="S340" s="40"/>
      <c r="U340" s="42"/>
      <c r="V340" s="42"/>
      <c r="W340" s="42"/>
      <c r="X340" s="44"/>
      <c r="Y340" s="45"/>
    </row>
    <row r="341" spans="1:25" ht="15" thickTop="1" x14ac:dyDescent="0.35">
      <c r="A341" s="29" t="s">
        <v>196</v>
      </c>
      <c r="B341" s="28"/>
      <c r="C341" s="28"/>
      <c r="D341" s="28"/>
      <c r="E341" s="28"/>
      <c r="F341" s="28"/>
      <c r="G341" s="28"/>
      <c r="I341" s="28"/>
      <c r="J341" s="28"/>
      <c r="K341" s="28"/>
      <c r="L341" s="28"/>
      <c r="M341" s="28"/>
      <c r="O341" s="28"/>
      <c r="P341" s="28"/>
      <c r="Q341" s="28"/>
      <c r="R341" s="28"/>
      <c r="S341" s="28"/>
      <c r="U341" s="28"/>
      <c r="V341" s="28"/>
      <c r="W341" s="28"/>
      <c r="X341" s="28"/>
      <c r="Y341" s="28"/>
    </row>
    <row r="342" spans="1:25" x14ac:dyDescent="0.35">
      <c r="A342" s="20" t="s">
        <v>198</v>
      </c>
      <c r="B342" s="20"/>
      <c r="C342" s="56" t="s">
        <v>115</v>
      </c>
      <c r="D342" s="11"/>
      <c r="E342" s="11"/>
      <c r="F342" s="11"/>
      <c r="G342" s="30" t="s">
        <v>115</v>
      </c>
      <c r="I342" s="56" t="s">
        <v>115</v>
      </c>
      <c r="J342" s="11"/>
      <c r="K342" s="11"/>
      <c r="L342" s="11"/>
      <c r="M342" s="30" t="s">
        <v>115</v>
      </c>
      <c r="O342" s="55" t="s">
        <v>116</v>
      </c>
      <c r="P342" s="34"/>
      <c r="Q342" s="34"/>
      <c r="R342" s="34"/>
      <c r="S342" s="35" t="s">
        <v>116</v>
      </c>
      <c r="U342" s="57" t="s">
        <v>117</v>
      </c>
      <c r="V342" s="42"/>
      <c r="W342" s="42"/>
      <c r="X342" s="42"/>
      <c r="Y342" s="43" t="s">
        <v>117</v>
      </c>
    </row>
    <row r="343" spans="1:25" ht="15" thickBot="1" x14ac:dyDescent="0.4">
      <c r="A343" s="2"/>
      <c r="B343" s="2"/>
      <c r="C343" s="2"/>
      <c r="D343" s="18" t="s">
        <v>118</v>
      </c>
      <c r="E343" s="19" t="s">
        <v>119</v>
      </c>
      <c r="F343" s="18" t="s">
        <v>120</v>
      </c>
      <c r="G343" s="12" t="s">
        <v>121</v>
      </c>
      <c r="I343" s="2"/>
      <c r="J343" s="18" t="s">
        <v>118</v>
      </c>
      <c r="K343" s="19" t="s">
        <v>119</v>
      </c>
      <c r="L343" s="18" t="s">
        <v>120</v>
      </c>
      <c r="M343" s="12" t="s">
        <v>121</v>
      </c>
      <c r="O343" s="34"/>
      <c r="P343" s="18" t="s">
        <v>118</v>
      </c>
      <c r="Q343" s="19" t="s">
        <v>119</v>
      </c>
      <c r="R343" s="18" t="s">
        <v>120</v>
      </c>
      <c r="S343" s="39" t="s">
        <v>121</v>
      </c>
      <c r="U343" s="42"/>
      <c r="V343" s="18" t="s">
        <v>118</v>
      </c>
      <c r="W343" s="19" t="s">
        <v>119</v>
      </c>
      <c r="X343" s="18" t="s">
        <v>120</v>
      </c>
      <c r="Y343" s="47" t="s">
        <v>121</v>
      </c>
    </row>
    <row r="344" spans="1:25" ht="15" thickTop="1" x14ac:dyDescent="0.35">
      <c r="A344" s="22" t="s">
        <v>122</v>
      </c>
      <c r="B344" s="2"/>
      <c r="C344" s="21" t="s">
        <v>25</v>
      </c>
      <c r="D344" s="25">
        <v>1292635</v>
      </c>
      <c r="E344" s="14">
        <f>D344/D350</f>
        <v>0.74957436740790906</v>
      </c>
      <c r="F344">
        <v>99.93</v>
      </c>
      <c r="G344" s="15">
        <f t="shared" ref="G344:G349" si="136">E344*F344</f>
        <v>74.904966535072361</v>
      </c>
      <c r="I344" s="21" t="s">
        <v>25</v>
      </c>
      <c r="J344" s="52">
        <v>3109922.4985752106</v>
      </c>
      <c r="K344" s="14">
        <f>J344/J350</f>
        <v>0.74623945319075213</v>
      </c>
      <c r="L344">
        <v>99.93</v>
      </c>
      <c r="M344" s="15">
        <f t="shared" ref="M344:M349" si="137">K344*L344</f>
        <v>74.571708557351869</v>
      </c>
      <c r="O344" s="38" t="s">
        <v>25</v>
      </c>
      <c r="P344" s="13">
        <v>68147</v>
      </c>
      <c r="Q344" s="14">
        <f>P344/P349</f>
        <v>0.39276677905535862</v>
      </c>
      <c r="R344">
        <v>99.93</v>
      </c>
      <c r="S344" s="40">
        <f t="shared" ref="S344:S347" si="138">Q344*R344</f>
        <v>39.24918423100199</v>
      </c>
      <c r="U344" s="46" t="s">
        <v>25</v>
      </c>
      <c r="V344" s="52">
        <v>2025255000</v>
      </c>
      <c r="W344" s="14">
        <f>V344/V349</f>
        <v>0.59522714387782361</v>
      </c>
      <c r="X344">
        <v>99.93</v>
      </c>
      <c r="Y344" s="48">
        <f t="shared" ref="Y344:Y345" si="139">W344*X344</f>
        <v>59.481048487710915</v>
      </c>
    </row>
    <row r="345" spans="1:25" x14ac:dyDescent="0.35">
      <c r="A345" s="23">
        <v>1289129</v>
      </c>
      <c r="B345" s="2"/>
      <c r="C345" s="21" t="s">
        <v>29</v>
      </c>
      <c r="D345" s="13">
        <v>135811</v>
      </c>
      <c r="E345" s="14">
        <f>D345/D350</f>
        <v>7.8754207036043078E-2</v>
      </c>
      <c r="F345">
        <v>99.84</v>
      </c>
      <c r="G345" s="15">
        <f t="shared" si="136"/>
        <v>7.8628200304785416</v>
      </c>
      <c r="I345" s="21" t="s">
        <v>29</v>
      </c>
      <c r="J345" s="52">
        <v>556790.6942615509</v>
      </c>
      <c r="K345" s="14">
        <f>J345/J350</f>
        <v>0.13360435297593334</v>
      </c>
      <c r="L345">
        <v>99.84</v>
      </c>
      <c r="M345" s="15">
        <f t="shared" si="137"/>
        <v>13.339058601117186</v>
      </c>
      <c r="O345" s="38" t="s">
        <v>29</v>
      </c>
      <c r="P345" s="13">
        <v>3286</v>
      </c>
      <c r="Q345" s="14">
        <f>P345/P349</f>
        <v>1.8938935477363764E-2</v>
      </c>
      <c r="R345">
        <v>99.84</v>
      </c>
      <c r="S345" s="40">
        <f t="shared" si="138"/>
        <v>1.8908633180599983</v>
      </c>
      <c r="U345" s="46" t="s">
        <v>29</v>
      </c>
      <c r="V345" s="52">
        <v>32086000</v>
      </c>
      <c r="W345" s="14">
        <f>V345/V349</f>
        <v>9.4301498519760961E-3</v>
      </c>
      <c r="X345">
        <v>99.84</v>
      </c>
      <c r="Y345" s="48">
        <f t="shared" si="139"/>
        <v>0.94150616122129349</v>
      </c>
    </row>
    <row r="346" spans="1:25" x14ac:dyDescent="0.35">
      <c r="A346" s="23">
        <v>12</v>
      </c>
      <c r="B346" s="2"/>
      <c r="C346" s="21" t="s">
        <v>30</v>
      </c>
      <c r="D346" s="13">
        <v>6232</v>
      </c>
      <c r="E346" s="14">
        <f>D346/D350</f>
        <v>3.6138178663629636E-3</v>
      </c>
      <c r="F346">
        <v>99.93</v>
      </c>
      <c r="G346" s="15">
        <f t="shared" si="136"/>
        <v>0.361128819385651</v>
      </c>
      <c r="I346" s="21" t="s">
        <v>30</v>
      </c>
      <c r="J346" s="52">
        <v>9568.2590665817261</v>
      </c>
      <c r="K346" s="14">
        <f>J346/J350</f>
        <v>2.2959454510858845E-3</v>
      </c>
      <c r="L346">
        <v>99.93</v>
      </c>
      <c r="M346" s="15">
        <f t="shared" si="137"/>
        <v>0.22943382892701245</v>
      </c>
      <c r="O346" s="38" t="s">
        <v>30</v>
      </c>
      <c r="P346" s="13">
        <v>99126</v>
      </c>
      <c r="Q346" s="14">
        <f>P346/P349</f>
        <v>0.57131494769603186</v>
      </c>
      <c r="R346">
        <v>99.93</v>
      </c>
      <c r="S346" s="40">
        <f t="shared" si="138"/>
        <v>57.091502723264469</v>
      </c>
      <c r="U346" s="46" t="s">
        <v>30</v>
      </c>
      <c r="V346" s="52">
        <v>86000</v>
      </c>
      <c r="W346" s="14">
        <f>V346/V349</f>
        <v>2.5275599553386035E-5</v>
      </c>
      <c r="X346">
        <v>99.93</v>
      </c>
      <c r="Y346" s="48">
        <f>W346*X346</f>
        <v>2.5257906633698668E-3</v>
      </c>
    </row>
    <row r="347" spans="1:25" x14ac:dyDescent="0.35">
      <c r="A347" s="23">
        <v>3494</v>
      </c>
      <c r="B347" s="2"/>
      <c r="C347" s="21" t="s">
        <v>31</v>
      </c>
      <c r="D347" s="13">
        <v>202345</v>
      </c>
      <c r="E347" s="14">
        <f>D347/D350</f>
        <v>0.11733600387824357</v>
      </c>
      <c r="F347">
        <v>99.93</v>
      </c>
      <c r="G347" s="15">
        <f t="shared" si="136"/>
        <v>11.725386867552881</v>
      </c>
      <c r="I347" s="21" t="s">
        <v>31</v>
      </c>
      <c r="J347" s="52">
        <v>192612.17980861664</v>
      </c>
      <c r="K347" s="14">
        <f>J347/J350</f>
        <v>4.6218131739331772E-2</v>
      </c>
      <c r="L347">
        <v>99.93</v>
      </c>
      <c r="M347" s="15">
        <f t="shared" si="137"/>
        <v>4.6185779047114242</v>
      </c>
      <c r="O347" s="38" t="s">
        <v>31</v>
      </c>
      <c r="P347" s="13">
        <v>2622</v>
      </c>
      <c r="Q347" s="14">
        <f>P347/P349</f>
        <v>1.5111956427768651E-2</v>
      </c>
      <c r="R347">
        <v>99.93</v>
      </c>
      <c r="S347" s="40">
        <f t="shared" si="138"/>
        <v>1.5101378058269215</v>
      </c>
      <c r="U347" s="46" t="s">
        <v>31</v>
      </c>
      <c r="V347" s="52">
        <v>1342047000</v>
      </c>
      <c r="W347" s="14">
        <f>V347/V349</f>
        <v>0.39443072737003565</v>
      </c>
      <c r="X347">
        <v>99.93</v>
      </c>
      <c r="Y347" s="48">
        <f t="shared" ref="Y347:Y348" si="140">W347*X347</f>
        <v>39.415462586087664</v>
      </c>
    </row>
    <row r="348" spans="1:25" ht="15" thickBot="1" x14ac:dyDescent="0.4">
      <c r="A348" s="24">
        <f>SUM(A345:A347)</f>
        <v>1292635</v>
      </c>
      <c r="B348" s="2"/>
      <c r="C348" s="21" t="s">
        <v>32</v>
      </c>
      <c r="D348" s="13">
        <v>171</v>
      </c>
      <c r="E348" s="14">
        <f>D348/D350</f>
        <v>9.9159636577032546E-5</v>
      </c>
      <c r="F348">
        <v>99.93</v>
      </c>
      <c r="G348" s="15">
        <f t="shared" si="136"/>
        <v>9.9090224831428625E-3</v>
      </c>
      <c r="I348" s="21" t="s">
        <v>32</v>
      </c>
      <c r="J348" s="52">
        <v>180.70249271392822</v>
      </c>
      <c r="K348" s="14">
        <f>J348/J350</f>
        <v>4.3360350431506585E-5</v>
      </c>
      <c r="L348">
        <v>99.93</v>
      </c>
      <c r="M348" s="15">
        <f t="shared" si="137"/>
        <v>4.3329998186204532E-3</v>
      </c>
      <c r="O348" s="38" t="s">
        <v>33</v>
      </c>
      <c r="P348" s="13">
        <v>324</v>
      </c>
      <c r="Q348" s="14">
        <f>P348/P349</f>
        <v>1.8673813434771332E-3</v>
      </c>
      <c r="R348">
        <v>99.89</v>
      </c>
      <c r="S348" s="40">
        <f>Q348*R348</f>
        <v>0.18653272239993085</v>
      </c>
      <c r="U348" s="46" t="s">
        <v>33</v>
      </c>
      <c r="V348" s="52">
        <v>3017000</v>
      </c>
      <c r="W348" s="14">
        <f>V348/V349</f>
        <v>8.867033006112287E-4</v>
      </c>
      <c r="X348">
        <v>99.89</v>
      </c>
      <c r="Y348" s="48">
        <f t="shared" si="140"/>
        <v>8.8572792698055638E-2</v>
      </c>
    </row>
    <row r="349" spans="1:25" ht="15.5" thickTop="1" thickBot="1" x14ac:dyDescent="0.4">
      <c r="B349" s="2"/>
      <c r="C349" s="21" t="s">
        <v>33</v>
      </c>
      <c r="D349" s="13">
        <v>87298</v>
      </c>
      <c r="E349" s="16">
        <f>D349/D350</f>
        <v>5.0622444174864251E-2</v>
      </c>
      <c r="F349">
        <v>99.89</v>
      </c>
      <c r="G349" s="15">
        <f t="shared" si="136"/>
        <v>5.0566759486271904</v>
      </c>
      <c r="I349" s="21" t="s">
        <v>33</v>
      </c>
      <c r="J349" s="52">
        <v>298384.89791965485</v>
      </c>
      <c r="K349" s="16">
        <f>J349/J350</f>
        <v>7.1598756292465413E-2</v>
      </c>
      <c r="L349">
        <v>99.89</v>
      </c>
      <c r="M349" s="15">
        <f t="shared" si="137"/>
        <v>7.1519997660543702</v>
      </c>
      <c r="O349" s="38"/>
      <c r="P349" s="31">
        <f>SUM(P344:P348)</f>
        <v>173505</v>
      </c>
      <c r="Q349" s="32">
        <f>SUM(Q344:Q348)</f>
        <v>1</v>
      </c>
      <c r="R349" s="33">
        <f>AVERAGE(R344:R348)</f>
        <v>99.904000000000011</v>
      </c>
      <c r="S349" s="41">
        <f>SUM(S344:S348)</f>
        <v>99.928220800553305</v>
      </c>
      <c r="U349" s="46"/>
      <c r="V349" s="52">
        <f>SUM(V344:V348)</f>
        <v>3402491000</v>
      </c>
      <c r="W349" s="32">
        <f>SUM(W344:W348)</f>
        <v>1</v>
      </c>
      <c r="X349" s="33">
        <f>AVERAGE(X344:X348)</f>
        <v>99.904000000000011</v>
      </c>
      <c r="Y349" s="58">
        <f>SUM(Y344:Y348)</f>
        <v>99.929115818381305</v>
      </c>
    </row>
    <row r="350" spans="1:25" ht="15" thickBot="1" x14ac:dyDescent="0.4">
      <c r="A350" s="10"/>
      <c r="B350" s="10"/>
      <c r="C350" s="10"/>
      <c r="D350" s="49">
        <f>SUM(D344:D349)</f>
        <v>1724492</v>
      </c>
      <c r="E350" s="50">
        <f>SUM(E344:E349)</f>
        <v>1</v>
      </c>
      <c r="F350" s="51">
        <f>AVERAGE(F344:F349)</f>
        <v>99.908333333333346</v>
      </c>
      <c r="G350" s="26">
        <f>SUM(G344:G349)</f>
        <v>99.920887223599777</v>
      </c>
      <c r="I350" s="10"/>
      <c r="J350" s="49">
        <f>SUM(J344:J349)</f>
        <v>4167459.2321243286</v>
      </c>
      <c r="K350" s="50">
        <f>SUM(K344:K349)</f>
        <v>1</v>
      </c>
      <c r="L350" s="51">
        <f>AVERAGE(L344:L349)</f>
        <v>99.908333333333346</v>
      </c>
      <c r="M350" s="26">
        <f>SUM(M344:M349)</f>
        <v>99.915111657980489</v>
      </c>
      <c r="O350" s="34"/>
      <c r="P350" s="34"/>
      <c r="Q350" s="34"/>
      <c r="R350" s="36"/>
      <c r="S350" s="40"/>
      <c r="U350" s="42"/>
      <c r="V350" s="42"/>
      <c r="W350" s="42"/>
      <c r="X350" s="44"/>
      <c r="Y350" s="45"/>
    </row>
    <row r="351" spans="1:25" ht="15" thickTop="1" x14ac:dyDescent="0.35">
      <c r="A351" s="29" t="s">
        <v>197</v>
      </c>
      <c r="B351" s="28"/>
      <c r="C351" s="28"/>
      <c r="D351" s="28"/>
      <c r="E351" s="28"/>
      <c r="F351" s="28"/>
      <c r="G351" s="28"/>
      <c r="I351" s="28"/>
      <c r="J351" s="28"/>
      <c r="K351" s="28"/>
      <c r="L351" s="28"/>
      <c r="M351" s="28"/>
      <c r="O351" s="28"/>
      <c r="P351" s="28"/>
      <c r="Q351" s="28"/>
      <c r="R351" s="28"/>
      <c r="S351" s="28"/>
      <c r="U351" s="28"/>
      <c r="V351" s="28"/>
      <c r="W351" s="28"/>
      <c r="X351" s="28"/>
      <c r="Y351" s="28"/>
    </row>
    <row r="352" spans="1:25" x14ac:dyDescent="0.35">
      <c r="A352" s="20" t="s">
        <v>198</v>
      </c>
      <c r="B352" s="20"/>
      <c r="C352" s="56" t="s">
        <v>115</v>
      </c>
      <c r="D352" s="11"/>
      <c r="E352" s="11"/>
      <c r="F352" s="11"/>
      <c r="G352" s="30" t="s">
        <v>115</v>
      </c>
      <c r="I352" s="56" t="s">
        <v>115</v>
      </c>
      <c r="J352" s="11"/>
      <c r="K352" s="11"/>
      <c r="L352" s="11"/>
      <c r="M352" s="30" t="s">
        <v>115</v>
      </c>
      <c r="O352" s="55" t="s">
        <v>116</v>
      </c>
      <c r="P352" s="34"/>
      <c r="Q352" s="34"/>
      <c r="R352" s="34"/>
      <c r="S352" s="35" t="s">
        <v>116</v>
      </c>
      <c r="U352" s="57" t="s">
        <v>117</v>
      </c>
      <c r="V352" s="42"/>
      <c r="W352" s="42"/>
      <c r="X352" s="42"/>
      <c r="Y352" s="43" t="s">
        <v>117</v>
      </c>
    </row>
    <row r="353" spans="1:25" ht="15" thickBot="1" x14ac:dyDescent="0.4">
      <c r="A353" s="2"/>
      <c r="B353" s="2"/>
      <c r="C353" s="2"/>
      <c r="D353" s="18" t="s">
        <v>118</v>
      </c>
      <c r="E353" s="19" t="s">
        <v>119</v>
      </c>
      <c r="F353" s="18" t="s">
        <v>120</v>
      </c>
      <c r="G353" s="12" t="s">
        <v>121</v>
      </c>
      <c r="I353" s="2"/>
      <c r="J353" s="18" t="s">
        <v>118</v>
      </c>
      <c r="K353" s="19" t="s">
        <v>119</v>
      </c>
      <c r="L353" s="18" t="s">
        <v>120</v>
      </c>
      <c r="M353" s="12" t="s">
        <v>121</v>
      </c>
      <c r="O353" s="34"/>
      <c r="P353" s="18" t="s">
        <v>118</v>
      </c>
      <c r="Q353" s="19" t="s">
        <v>119</v>
      </c>
      <c r="R353" s="18" t="s">
        <v>120</v>
      </c>
      <c r="S353" s="39" t="s">
        <v>121</v>
      </c>
      <c r="U353" s="42"/>
      <c r="V353" s="18" t="s">
        <v>118</v>
      </c>
      <c r="W353" s="19" t="s">
        <v>119</v>
      </c>
      <c r="X353" s="18" t="s">
        <v>120</v>
      </c>
      <c r="Y353" s="47" t="s">
        <v>121</v>
      </c>
    </row>
    <row r="354" spans="1:25" ht="15" thickTop="1" x14ac:dyDescent="0.35">
      <c r="A354" s="22" t="s">
        <v>122</v>
      </c>
      <c r="B354" s="2"/>
      <c r="C354" s="21" t="s">
        <v>25</v>
      </c>
      <c r="D354" s="25">
        <v>1292635</v>
      </c>
      <c r="E354" s="14">
        <f>D354/D360</f>
        <v>0.74957436740790906</v>
      </c>
      <c r="F354">
        <v>99.96</v>
      </c>
      <c r="G354" s="15">
        <f t="shared" ref="G354:G359" si="141">E354*F354</f>
        <v>74.927453766094587</v>
      </c>
      <c r="I354" s="21" t="s">
        <v>25</v>
      </c>
      <c r="J354" s="52">
        <v>3109922.4985752106</v>
      </c>
      <c r="K354" s="14">
        <f>J354/J360</f>
        <v>0.74623945319075213</v>
      </c>
      <c r="L354">
        <v>99.96</v>
      </c>
      <c r="M354" s="15">
        <f t="shared" ref="M354:M359" si="142">K354*L354</f>
        <v>74.59409574094758</v>
      </c>
      <c r="O354" s="38" t="s">
        <v>25</v>
      </c>
      <c r="P354" s="13">
        <v>68147</v>
      </c>
      <c r="Q354" s="14">
        <f>P354/P359</f>
        <v>0.39276677905535862</v>
      </c>
      <c r="R354">
        <v>99.92</v>
      </c>
      <c r="S354" s="40">
        <f t="shared" ref="S354:S357" si="143">Q354*R354</f>
        <v>39.245256563211434</v>
      </c>
      <c r="U354" s="46" t="s">
        <v>25</v>
      </c>
      <c r="V354" s="52">
        <v>2025255000</v>
      </c>
      <c r="W354" s="14">
        <f>V354/V359</f>
        <v>0.59522714387782361</v>
      </c>
      <c r="X354">
        <v>99.96</v>
      </c>
      <c r="Y354" s="48">
        <f t="shared" ref="Y354:Y355" si="144">W354*X354</f>
        <v>59.498905302027246</v>
      </c>
    </row>
    <row r="355" spans="1:25" x14ac:dyDescent="0.35">
      <c r="A355" s="23">
        <v>1289129</v>
      </c>
      <c r="B355" s="2"/>
      <c r="C355" s="21" t="s">
        <v>29</v>
      </c>
      <c r="D355" s="13">
        <v>135811</v>
      </c>
      <c r="E355" s="14">
        <f>D355/D360</f>
        <v>7.8754207036043078E-2</v>
      </c>
      <c r="F355">
        <v>99.86</v>
      </c>
      <c r="G355" s="15">
        <f t="shared" si="141"/>
        <v>7.8643951146192617</v>
      </c>
      <c r="I355" s="21" t="s">
        <v>29</v>
      </c>
      <c r="J355" s="52">
        <v>556790.6942615509</v>
      </c>
      <c r="K355" s="14">
        <f>J355/J360</f>
        <v>0.13360435297593334</v>
      </c>
      <c r="L355">
        <v>99.86</v>
      </c>
      <c r="M355" s="15">
        <f t="shared" si="142"/>
        <v>13.341730688176703</v>
      </c>
      <c r="O355" s="38" t="s">
        <v>29</v>
      </c>
      <c r="P355" s="13">
        <v>3286</v>
      </c>
      <c r="Q355" s="14">
        <f>P355/P359</f>
        <v>1.8938935477363764E-2</v>
      </c>
      <c r="R355">
        <v>99.86</v>
      </c>
      <c r="S355" s="40">
        <f t="shared" si="143"/>
        <v>1.8912420967695454</v>
      </c>
      <c r="U355" s="46" t="s">
        <v>29</v>
      </c>
      <c r="V355" s="52">
        <v>32086000</v>
      </c>
      <c r="W355" s="14">
        <f>V355/V359</f>
        <v>9.4301498519760961E-3</v>
      </c>
      <c r="X355">
        <v>99.86</v>
      </c>
      <c r="Y355" s="48">
        <f t="shared" si="144"/>
        <v>0.94169476421833298</v>
      </c>
    </row>
    <row r="356" spans="1:25" x14ac:dyDescent="0.35">
      <c r="A356" s="23">
        <v>12</v>
      </c>
      <c r="B356" s="2"/>
      <c r="C356" s="21" t="s">
        <v>30</v>
      </c>
      <c r="D356" s="13">
        <v>6232</v>
      </c>
      <c r="E356" s="14">
        <f>D356/D360</f>
        <v>3.6138178663629636E-3</v>
      </c>
      <c r="F356">
        <v>99.96</v>
      </c>
      <c r="G356" s="15">
        <f t="shared" si="141"/>
        <v>0.36123723392164181</v>
      </c>
      <c r="I356" s="21" t="s">
        <v>30</v>
      </c>
      <c r="J356" s="52">
        <v>9568.2590665817261</v>
      </c>
      <c r="K356" s="14">
        <f>J356/J360</f>
        <v>2.2959454510858845E-3</v>
      </c>
      <c r="L356">
        <v>99.96</v>
      </c>
      <c r="M356" s="15">
        <f t="shared" si="142"/>
        <v>0.229502707290545</v>
      </c>
      <c r="O356" s="38" t="s">
        <v>30</v>
      </c>
      <c r="P356" s="13">
        <v>99126</v>
      </c>
      <c r="Q356" s="14">
        <f>P356/P359</f>
        <v>0.57131494769603186</v>
      </c>
      <c r="R356">
        <v>99.92</v>
      </c>
      <c r="S356" s="40">
        <f t="shared" si="143"/>
        <v>57.085789573787501</v>
      </c>
      <c r="U356" s="46" t="s">
        <v>30</v>
      </c>
      <c r="V356" s="52">
        <v>86000</v>
      </c>
      <c r="W356" s="14">
        <f>V356/V359</f>
        <v>2.5275599553386035E-5</v>
      </c>
      <c r="X356">
        <v>99.96</v>
      </c>
      <c r="Y356" s="48">
        <f>W356*X356</f>
        <v>2.5265489313564681E-3</v>
      </c>
    </row>
    <row r="357" spans="1:25" x14ac:dyDescent="0.35">
      <c r="A357" s="23">
        <v>3494</v>
      </c>
      <c r="B357" s="2"/>
      <c r="C357" s="21" t="s">
        <v>31</v>
      </c>
      <c r="D357" s="13">
        <v>202345</v>
      </c>
      <c r="E357" s="14">
        <f>D357/D360</f>
        <v>0.11733600387824357</v>
      </c>
      <c r="F357">
        <v>99.96</v>
      </c>
      <c r="G357" s="15">
        <f t="shared" si="141"/>
        <v>11.728906947669227</v>
      </c>
      <c r="I357" s="21" t="s">
        <v>31</v>
      </c>
      <c r="J357" s="52">
        <v>192612.17980861664</v>
      </c>
      <c r="K357" s="14">
        <f>J357/J360</f>
        <v>4.6218131739331772E-2</v>
      </c>
      <c r="L357">
        <v>99.96</v>
      </c>
      <c r="M357" s="15">
        <f t="shared" si="142"/>
        <v>4.6199644486636036</v>
      </c>
      <c r="O357" s="38" t="s">
        <v>31</v>
      </c>
      <c r="P357" s="13">
        <v>2622</v>
      </c>
      <c r="Q357" s="14">
        <f>P357/P359</f>
        <v>1.5111956427768651E-2</v>
      </c>
      <c r="R357">
        <v>99.92</v>
      </c>
      <c r="S357" s="40">
        <f t="shared" si="143"/>
        <v>1.5099866862626437</v>
      </c>
      <c r="U357" s="46" t="s">
        <v>31</v>
      </c>
      <c r="V357" s="52">
        <v>1342047000</v>
      </c>
      <c r="W357" s="14">
        <f>V357/V359</f>
        <v>0.39443072737003565</v>
      </c>
      <c r="X357">
        <v>99.96</v>
      </c>
      <c r="Y357" s="48">
        <f>W357*X357</f>
        <v>39.427295507908759</v>
      </c>
    </row>
    <row r="358" spans="1:25" ht="15" thickBot="1" x14ac:dyDescent="0.4">
      <c r="A358" s="24">
        <f>SUM(A355:A357)</f>
        <v>1292635</v>
      </c>
      <c r="B358" s="2"/>
      <c r="C358" s="21" t="s">
        <v>32</v>
      </c>
      <c r="D358" s="13">
        <v>171</v>
      </c>
      <c r="E358" s="14">
        <f>D358/D360</f>
        <v>9.9159636577032546E-5</v>
      </c>
      <c r="F358">
        <v>99.96</v>
      </c>
      <c r="G358" s="15">
        <f t="shared" si="141"/>
        <v>9.9119972722401719E-3</v>
      </c>
      <c r="I358" s="21" t="s">
        <v>32</v>
      </c>
      <c r="J358" s="52">
        <v>180.70249271392822</v>
      </c>
      <c r="K358" s="14">
        <f>J358/J360</f>
        <v>4.3360350431506585E-5</v>
      </c>
      <c r="L358">
        <v>99.96</v>
      </c>
      <c r="M358" s="15">
        <f t="shared" si="142"/>
        <v>4.3343006291333983E-3</v>
      </c>
      <c r="O358" s="38" t="s">
        <v>33</v>
      </c>
      <c r="P358" s="13">
        <v>324</v>
      </c>
      <c r="Q358" s="14">
        <f>P358/P359</f>
        <v>1.8673813434771332E-3</v>
      </c>
      <c r="R358">
        <v>99.75</v>
      </c>
      <c r="S358" s="40">
        <f>Q358*R358</f>
        <v>0.18627128901184403</v>
      </c>
      <c r="U358" s="46" t="s">
        <v>33</v>
      </c>
      <c r="V358" s="52">
        <v>3017000</v>
      </c>
      <c r="W358" s="14">
        <f>V358/V359</f>
        <v>8.867033006112287E-4</v>
      </c>
      <c r="X358">
        <v>99.79</v>
      </c>
      <c r="Y358" s="48">
        <f>W358*X358</f>
        <v>8.8484122367994522E-2</v>
      </c>
    </row>
    <row r="359" spans="1:25" ht="15.5" thickTop="1" thickBot="1" x14ac:dyDescent="0.4">
      <c r="B359" s="2"/>
      <c r="C359" s="21" t="s">
        <v>33</v>
      </c>
      <c r="D359" s="13">
        <v>87298</v>
      </c>
      <c r="E359" s="16">
        <f>D359/D360</f>
        <v>5.0622444174864251E-2</v>
      </c>
      <c r="F359">
        <v>99.77</v>
      </c>
      <c r="G359" s="15">
        <f t="shared" si="141"/>
        <v>5.0506012553262059</v>
      </c>
      <c r="I359" s="21" t="s">
        <v>33</v>
      </c>
      <c r="J359" s="52">
        <v>298384.89791965485</v>
      </c>
      <c r="K359" s="16">
        <f>J359/J360</f>
        <v>7.1598756292465413E-2</v>
      </c>
      <c r="L359">
        <v>99.77</v>
      </c>
      <c r="M359" s="15">
        <f t="shared" si="142"/>
        <v>7.1434079152992735</v>
      </c>
      <c r="O359" s="38"/>
      <c r="P359" s="31">
        <f>SUM(P354:P358)</f>
        <v>173505</v>
      </c>
      <c r="Q359" s="32">
        <f>SUM(Q354:Q358)</f>
        <v>1</v>
      </c>
      <c r="R359" s="33">
        <f>AVERAGE(R354:R358)</f>
        <v>99.873999999999995</v>
      </c>
      <c r="S359" s="41">
        <f>SUM(S354:S358)</f>
        <v>99.918546209042972</v>
      </c>
      <c r="U359" s="46"/>
      <c r="V359" s="52">
        <f>SUM(V354:V358)</f>
        <v>3402491000</v>
      </c>
      <c r="W359" s="32">
        <f>SUM(W354:W358)</f>
        <v>1</v>
      </c>
      <c r="X359" s="33">
        <f>AVERAGE(X354:X358)</f>
        <v>99.905999999999992</v>
      </c>
      <c r="Y359" s="58">
        <f>SUM(Y354:Y358)</f>
        <v>99.95890624545369</v>
      </c>
    </row>
    <row r="360" spans="1:25" ht="15" thickBot="1" x14ac:dyDescent="0.4">
      <c r="A360" s="10"/>
      <c r="B360" s="10"/>
      <c r="C360" s="10"/>
      <c r="D360" s="49">
        <f>SUM(D354:D359)</f>
        <v>1724492</v>
      </c>
      <c r="E360" s="50">
        <f>SUM(E354:E359)</f>
        <v>1</v>
      </c>
      <c r="F360" s="51">
        <f>AVERAGE(F354:F359)</f>
        <v>99.911666666666648</v>
      </c>
      <c r="G360" s="26">
        <f>SUM(G354:G359)</f>
        <v>99.942506314903156</v>
      </c>
      <c r="I360" s="10"/>
      <c r="J360" s="49">
        <f>SUM(J354:J359)</f>
        <v>4167459.2321243286</v>
      </c>
      <c r="K360" s="50">
        <f>SUM(K354:K359)</f>
        <v>1</v>
      </c>
      <c r="L360" s="51">
        <f>AVERAGE(L354:L359)</f>
        <v>99.911666666666648</v>
      </c>
      <c r="M360" s="26">
        <f>SUM(M354:M359)</f>
        <v>99.933035801006866</v>
      </c>
      <c r="O360" s="34"/>
      <c r="P360" s="34"/>
      <c r="Q360" s="34"/>
      <c r="R360" s="36"/>
      <c r="S360" s="40"/>
      <c r="U360" s="42"/>
      <c r="V360" s="42"/>
      <c r="W360" s="42"/>
      <c r="X360" s="44"/>
      <c r="Y360" s="45"/>
    </row>
    <row r="361" spans="1:25" ht="15" thickTop="1" x14ac:dyDescent="0.35">
      <c r="A361" s="29" t="s">
        <v>199</v>
      </c>
      <c r="B361" s="28"/>
      <c r="C361" s="28"/>
      <c r="D361" s="28"/>
      <c r="E361" s="28"/>
      <c r="F361" s="28"/>
      <c r="G361" s="28"/>
      <c r="I361" s="28"/>
      <c r="J361" s="28"/>
      <c r="K361" s="28"/>
      <c r="L361" s="28"/>
      <c r="M361" s="28"/>
      <c r="O361" s="28"/>
      <c r="P361" s="28"/>
      <c r="Q361" s="28"/>
      <c r="R361" s="28"/>
      <c r="S361" s="28"/>
      <c r="U361" s="28"/>
      <c r="V361" s="28"/>
      <c r="W361" s="28"/>
      <c r="X361" s="28"/>
      <c r="Y361" s="28"/>
    </row>
    <row r="362" spans="1:25" x14ac:dyDescent="0.35">
      <c r="A362" s="20" t="s">
        <v>200</v>
      </c>
      <c r="B362" s="20"/>
      <c r="C362" s="56" t="s">
        <v>115</v>
      </c>
      <c r="D362" s="11"/>
      <c r="E362" s="11"/>
      <c r="F362" s="11"/>
      <c r="G362" s="30" t="s">
        <v>115</v>
      </c>
      <c r="I362" s="56" t="s">
        <v>115</v>
      </c>
      <c r="J362" s="11"/>
      <c r="K362" s="11"/>
      <c r="L362" s="11"/>
      <c r="M362" s="30" t="s">
        <v>115</v>
      </c>
      <c r="O362" s="55" t="s">
        <v>116</v>
      </c>
      <c r="P362" s="34"/>
      <c r="Q362" s="34"/>
      <c r="R362" s="34"/>
      <c r="S362" s="35" t="s">
        <v>116</v>
      </c>
      <c r="U362" s="57" t="s">
        <v>117</v>
      </c>
      <c r="V362" s="42"/>
      <c r="W362" s="42"/>
      <c r="X362" s="42"/>
      <c r="Y362" s="43" t="s">
        <v>117</v>
      </c>
    </row>
    <row r="363" spans="1:25" ht="15" thickBot="1" x14ac:dyDescent="0.4">
      <c r="A363" s="2"/>
      <c r="B363" s="2"/>
      <c r="C363" s="2"/>
      <c r="D363" s="18" t="s">
        <v>118</v>
      </c>
      <c r="E363" s="19" t="s">
        <v>119</v>
      </c>
      <c r="F363" s="18" t="s">
        <v>120</v>
      </c>
      <c r="G363" s="12" t="s">
        <v>121</v>
      </c>
      <c r="I363" s="2"/>
      <c r="J363" s="18" t="s">
        <v>118</v>
      </c>
      <c r="K363" s="19" t="s">
        <v>119</v>
      </c>
      <c r="L363" s="18" t="s">
        <v>120</v>
      </c>
      <c r="M363" s="12" t="s">
        <v>121</v>
      </c>
      <c r="O363" s="34"/>
      <c r="P363" s="18" t="s">
        <v>118</v>
      </c>
      <c r="Q363" s="19" t="s">
        <v>119</v>
      </c>
      <c r="R363" s="18" t="s">
        <v>120</v>
      </c>
      <c r="S363" s="39" t="s">
        <v>121</v>
      </c>
      <c r="U363" s="42"/>
      <c r="V363" s="18" t="s">
        <v>118</v>
      </c>
      <c r="W363" s="19" t="s">
        <v>119</v>
      </c>
      <c r="X363" s="18" t="s">
        <v>120</v>
      </c>
      <c r="Y363" s="47" t="s">
        <v>121</v>
      </c>
    </row>
    <row r="364" spans="1:25" ht="15" thickTop="1" x14ac:dyDescent="0.35">
      <c r="A364" s="22" t="s">
        <v>122</v>
      </c>
      <c r="B364" s="2"/>
      <c r="C364" s="21" t="s">
        <v>25</v>
      </c>
      <c r="D364" s="25">
        <v>1296518</v>
      </c>
      <c r="E364" s="14">
        <f>D364/D370</f>
        <v>0.75021510882741815</v>
      </c>
      <c r="F364">
        <v>99.93</v>
      </c>
      <c r="G364" s="15">
        <f t="shared" ref="G364:G369" si="145">E364*F364</f>
        <v>74.968995825123898</v>
      </c>
      <c r="I364" s="21" t="s">
        <v>25</v>
      </c>
      <c r="J364" s="52">
        <v>3507021.9265756607</v>
      </c>
      <c r="K364" s="14">
        <f>J364/J370</f>
        <v>0.7836292628234216</v>
      </c>
      <c r="L364">
        <v>99.93</v>
      </c>
      <c r="M364" s="15">
        <f t="shared" ref="M364:M369" si="146">K364*L364</f>
        <v>78.308072233944529</v>
      </c>
      <c r="O364" s="38" t="s">
        <v>25</v>
      </c>
      <c r="P364" s="13">
        <v>86664</v>
      </c>
      <c r="Q364" s="14">
        <f>P364/P369</f>
        <v>0.4433757622887079</v>
      </c>
      <c r="R364">
        <v>99.93</v>
      </c>
      <c r="S364" s="40">
        <f t="shared" ref="S364:S367" si="147">Q364*R364</f>
        <v>44.306539925510585</v>
      </c>
      <c r="U364" s="46" t="s">
        <v>25</v>
      </c>
      <c r="V364" s="52">
        <v>3617127000</v>
      </c>
      <c r="W364" s="14">
        <f>V364/V369</f>
        <v>0.72781441203030761</v>
      </c>
      <c r="X364">
        <v>99.93</v>
      </c>
      <c r="Y364" s="48">
        <f t="shared" ref="Y364:Y365" si="148">W364*X364</f>
        <v>72.730494194188651</v>
      </c>
    </row>
    <row r="365" spans="1:25" x14ac:dyDescent="0.35">
      <c r="A365" s="23">
        <v>1293012</v>
      </c>
      <c r="B365" s="2"/>
      <c r="C365" s="21" t="s">
        <v>29</v>
      </c>
      <c r="D365" s="13">
        <v>136282</v>
      </c>
      <c r="E365" s="14">
        <f>D365/D370</f>
        <v>7.8857999241983695E-2</v>
      </c>
      <c r="F365">
        <v>99.84</v>
      </c>
      <c r="G365" s="15">
        <f t="shared" si="145"/>
        <v>7.8731826443196526</v>
      </c>
      <c r="I365" s="21" t="s">
        <v>29</v>
      </c>
      <c r="J365" s="52">
        <v>569736.71129322052</v>
      </c>
      <c r="K365" s="14">
        <f>J365/J370</f>
        <v>0.12730526595540376</v>
      </c>
      <c r="L365">
        <v>99.84</v>
      </c>
      <c r="M365" s="15">
        <f t="shared" si="146"/>
        <v>12.710157752987511</v>
      </c>
      <c r="O365" s="38" t="s">
        <v>29</v>
      </c>
      <c r="P365" s="13">
        <v>4337</v>
      </c>
      <c r="Q365" s="14">
        <f>P365/P369</f>
        <v>2.2188229034502516E-2</v>
      </c>
      <c r="R365">
        <v>99.84</v>
      </c>
      <c r="S365" s="40">
        <f t="shared" si="147"/>
        <v>2.2152727868047313</v>
      </c>
      <c r="U365" s="46" t="s">
        <v>29</v>
      </c>
      <c r="V365" s="52">
        <v>29957000</v>
      </c>
      <c r="W365" s="14">
        <f>V365/V369</f>
        <v>6.0277497420444248E-3</v>
      </c>
      <c r="X365">
        <v>99.84</v>
      </c>
      <c r="Y365" s="48">
        <f t="shared" si="148"/>
        <v>0.6018105342457154</v>
      </c>
    </row>
    <row r="366" spans="1:25" x14ac:dyDescent="0.35">
      <c r="A366" s="23">
        <v>12</v>
      </c>
      <c r="B366" s="2"/>
      <c r="C366" s="21" t="s">
        <v>30</v>
      </c>
      <c r="D366" s="13">
        <v>5939</v>
      </c>
      <c r="E366" s="14">
        <f>D366/D370</f>
        <v>3.4365334930375334E-3</v>
      </c>
      <c r="F366">
        <v>99.93</v>
      </c>
      <c r="G366" s="15">
        <f t="shared" si="145"/>
        <v>0.34341279195924074</v>
      </c>
      <c r="I366" s="21" t="s">
        <v>30</v>
      </c>
      <c r="J366" s="52">
        <v>9481.0973815917969</v>
      </c>
      <c r="K366" s="14">
        <f>J366/J370</f>
        <v>2.1185112347296767E-3</v>
      </c>
      <c r="L366">
        <v>99.93</v>
      </c>
      <c r="M366" s="15">
        <f t="shared" si="146"/>
        <v>0.21170282768653662</v>
      </c>
      <c r="O366" s="38" t="s">
        <v>30</v>
      </c>
      <c r="P366" s="13">
        <v>101933</v>
      </c>
      <c r="Q366" s="14">
        <f>P366/P369</f>
        <v>0.52149244873736345</v>
      </c>
      <c r="R366">
        <v>99.93</v>
      </c>
      <c r="S366" s="40">
        <f t="shared" si="147"/>
        <v>52.112740402324732</v>
      </c>
      <c r="U366" s="46" t="s">
        <v>30</v>
      </c>
      <c r="V366" s="52">
        <v>11000</v>
      </c>
      <c r="W366" s="14">
        <f>V366/V369</f>
        <v>2.2133473699799267E-6</v>
      </c>
      <c r="X366">
        <v>99.93</v>
      </c>
      <c r="Y366" s="48">
        <f>W366*X366</f>
        <v>2.2117980268209408E-4</v>
      </c>
    </row>
    <row r="367" spans="1:25" x14ac:dyDescent="0.35">
      <c r="A367" s="23">
        <v>3494</v>
      </c>
      <c r="B367" s="2"/>
      <c r="C367" s="21" t="s">
        <v>31</v>
      </c>
      <c r="D367" s="13">
        <v>202057</v>
      </c>
      <c r="E367" s="14">
        <f>D367/D370</f>
        <v>0.1169179403944578</v>
      </c>
      <c r="F367">
        <v>99.93</v>
      </c>
      <c r="G367" s="15">
        <f t="shared" si="145"/>
        <v>11.683609783618168</v>
      </c>
      <c r="I367" s="21" t="s">
        <v>31</v>
      </c>
      <c r="J367" s="52">
        <v>100459.70437717438</v>
      </c>
      <c r="K367" s="14">
        <f>J367/J370</f>
        <v>2.2447297374445327E-2</v>
      </c>
      <c r="L367">
        <v>99.93</v>
      </c>
      <c r="M367" s="15">
        <f t="shared" si="146"/>
        <v>2.2431584266283218</v>
      </c>
      <c r="O367" s="38" t="s">
        <v>31</v>
      </c>
      <c r="P367" s="13">
        <v>2226</v>
      </c>
      <c r="Q367" s="14">
        <f>P367/P369</f>
        <v>1.13882863340564E-2</v>
      </c>
      <c r="R367">
        <v>99.93</v>
      </c>
      <c r="S367" s="40">
        <f t="shared" si="147"/>
        <v>1.1380314533622562</v>
      </c>
      <c r="U367" s="46" t="s">
        <v>31</v>
      </c>
      <c r="V367" s="52">
        <v>1318800000</v>
      </c>
      <c r="W367" s="14">
        <f>V367/V369</f>
        <v>0.26536022832086614</v>
      </c>
      <c r="X367">
        <v>99.93</v>
      </c>
      <c r="Y367" s="48">
        <f t="shared" ref="Y367:Y368" si="149">W367*X367</f>
        <v>26.517447616104157</v>
      </c>
    </row>
    <row r="368" spans="1:25" ht="15" thickBot="1" x14ac:dyDescent="0.4">
      <c r="A368" s="24">
        <f>SUM(A365:A367)</f>
        <v>1296518</v>
      </c>
      <c r="B368" s="2"/>
      <c r="C368" s="21" t="s">
        <v>32</v>
      </c>
      <c r="D368" s="13">
        <v>171</v>
      </c>
      <c r="E368" s="14">
        <f>D368/D370</f>
        <v>9.8947167420343187E-5</v>
      </c>
      <c r="F368">
        <v>99.93</v>
      </c>
      <c r="G368" s="15">
        <f t="shared" si="145"/>
        <v>9.8877904403148961E-3</v>
      </c>
      <c r="I368" s="21" t="s">
        <v>32</v>
      </c>
      <c r="J368" s="52">
        <v>201.84951686859131</v>
      </c>
      <c r="K368" s="14">
        <f>J368/J370</f>
        <v>4.5102423485399766E-5</v>
      </c>
      <c r="L368">
        <v>99.93</v>
      </c>
      <c r="M368" s="15">
        <f t="shared" si="146"/>
        <v>4.5070851788959988E-3</v>
      </c>
      <c r="O368" s="38" t="s">
        <v>33</v>
      </c>
      <c r="P368" s="13">
        <v>304</v>
      </c>
      <c r="Q368" s="14">
        <f>P368/P369</f>
        <v>1.5552736053697867E-3</v>
      </c>
      <c r="R368">
        <v>99.89</v>
      </c>
      <c r="S368" s="40">
        <f>Q368*R368</f>
        <v>0.15535628044038799</v>
      </c>
      <c r="U368" s="46" t="s">
        <v>33</v>
      </c>
      <c r="V368" s="52">
        <v>3953000</v>
      </c>
      <c r="W368" s="14">
        <f>V368/V369</f>
        <v>7.9539655941187736E-4</v>
      </c>
      <c r="X368">
        <v>99.89</v>
      </c>
      <c r="Y368" s="48">
        <f t="shared" si="149"/>
        <v>7.9452162319652436E-2</v>
      </c>
    </row>
    <row r="369" spans="1:25" ht="15.5" thickTop="1" thickBot="1" x14ac:dyDescent="0.4">
      <c r="B369" s="2"/>
      <c r="C369" s="21" t="s">
        <v>33</v>
      </c>
      <c r="D369" s="13">
        <v>87228</v>
      </c>
      <c r="E369" s="16">
        <f>D369/D370</f>
        <v>5.0473470875682429E-2</v>
      </c>
      <c r="F369">
        <v>99.89</v>
      </c>
      <c r="G369" s="15">
        <f t="shared" si="145"/>
        <v>5.0417950057719176</v>
      </c>
      <c r="I369" s="21" t="s">
        <v>33</v>
      </c>
      <c r="J369" s="52">
        <v>288457.26745128632</v>
      </c>
      <c r="K369" s="16">
        <f>J369/J370</f>
        <v>6.4454560188514226E-2</v>
      </c>
      <c r="L369">
        <v>99.89</v>
      </c>
      <c r="M369" s="15">
        <f t="shared" si="146"/>
        <v>6.4383660172306865</v>
      </c>
      <c r="O369" s="38"/>
      <c r="P369" s="31">
        <f>SUM(P364:P368)</f>
        <v>195464</v>
      </c>
      <c r="Q369" s="32">
        <f>SUM(Q364:Q368)</f>
        <v>1.0000000000000002</v>
      </c>
      <c r="R369" s="33">
        <f>AVERAGE(R364:R368)</f>
        <v>99.904000000000011</v>
      </c>
      <c r="S369" s="41">
        <f>SUM(S364:S368)</f>
        <v>99.927940848442702</v>
      </c>
      <c r="U369" s="46"/>
      <c r="V369" s="52">
        <f>SUM(V364:V368)</f>
        <v>4969848000</v>
      </c>
      <c r="W369" s="32">
        <f>SUM(W364:W368)</f>
        <v>1</v>
      </c>
      <c r="X369" s="33">
        <f>AVERAGE(X364:X368)</f>
        <v>99.904000000000011</v>
      </c>
      <c r="Y369" s="58">
        <f>SUM(Y364:Y368)</f>
        <v>99.929425686660863</v>
      </c>
    </row>
    <row r="370" spans="1:25" ht="15" thickBot="1" x14ac:dyDescent="0.4">
      <c r="A370" s="10"/>
      <c r="B370" s="10"/>
      <c r="C370" s="10"/>
      <c r="D370" s="49">
        <f>SUM(D364:D369)</f>
        <v>1728195</v>
      </c>
      <c r="E370" s="50">
        <f>SUM(E364:E369)</f>
        <v>0.99999999999999989</v>
      </c>
      <c r="F370" s="51">
        <f>AVERAGE(F364:F369)</f>
        <v>99.908333333333346</v>
      </c>
      <c r="G370" s="26">
        <f>SUM(G364:G369)</f>
        <v>99.920883841233191</v>
      </c>
      <c r="I370" s="10"/>
      <c r="J370" s="49">
        <f>SUM(J364:J369)</f>
        <v>4475358.5565958023</v>
      </c>
      <c r="K370" s="50">
        <f>SUM(K364:K369)</f>
        <v>1</v>
      </c>
      <c r="L370" s="51">
        <f>AVERAGE(L364:L369)</f>
        <v>99.908333333333346</v>
      </c>
      <c r="M370" s="26">
        <f>SUM(M364:M369)</f>
        <v>99.915964343656498</v>
      </c>
      <c r="O370" s="34"/>
      <c r="P370" s="34"/>
      <c r="Q370" s="34"/>
      <c r="R370" s="36"/>
      <c r="S370" s="40"/>
      <c r="U370" s="42"/>
      <c r="V370" s="42"/>
      <c r="W370" s="42"/>
      <c r="X370" s="44"/>
      <c r="Y370" s="45"/>
    </row>
    <row r="371" spans="1:25" ht="15" thickTop="1" x14ac:dyDescent="0.35">
      <c r="A371" s="29" t="s">
        <v>201</v>
      </c>
      <c r="B371" s="28"/>
      <c r="C371" s="28"/>
      <c r="D371" s="28"/>
      <c r="E371" s="28"/>
      <c r="F371" s="28"/>
      <c r="G371" s="28"/>
      <c r="I371" s="28"/>
      <c r="J371" s="28"/>
      <c r="K371" s="28"/>
      <c r="L371" s="28"/>
      <c r="M371" s="28"/>
      <c r="O371" s="28"/>
      <c r="P371" s="28"/>
      <c r="Q371" s="28"/>
      <c r="R371" s="28"/>
      <c r="S371" s="28"/>
      <c r="U371" s="28"/>
      <c r="V371" s="28"/>
      <c r="W371" s="28"/>
      <c r="X371" s="28"/>
      <c r="Y371" s="28"/>
    </row>
    <row r="372" spans="1:25" x14ac:dyDescent="0.35">
      <c r="A372" s="20" t="s">
        <v>200</v>
      </c>
      <c r="B372" s="20"/>
      <c r="C372" s="56" t="s">
        <v>115</v>
      </c>
      <c r="D372" s="11"/>
      <c r="E372" s="11"/>
      <c r="F372" s="11"/>
      <c r="G372" s="30" t="s">
        <v>115</v>
      </c>
      <c r="I372" s="56" t="s">
        <v>115</v>
      </c>
      <c r="J372" s="11"/>
      <c r="K372" s="11"/>
      <c r="L372" s="11"/>
      <c r="M372" s="30" t="s">
        <v>115</v>
      </c>
      <c r="O372" s="55" t="s">
        <v>116</v>
      </c>
      <c r="P372" s="34"/>
      <c r="Q372" s="34"/>
      <c r="R372" s="34"/>
      <c r="S372" s="35" t="s">
        <v>116</v>
      </c>
      <c r="U372" s="57" t="s">
        <v>117</v>
      </c>
      <c r="V372" s="42"/>
      <c r="W372" s="42"/>
      <c r="X372" s="42"/>
      <c r="Y372" s="43" t="s">
        <v>117</v>
      </c>
    </row>
    <row r="373" spans="1:25" ht="15" thickBot="1" x14ac:dyDescent="0.4">
      <c r="A373" s="2"/>
      <c r="B373" s="2"/>
      <c r="C373" s="2"/>
      <c r="D373" s="18" t="s">
        <v>118</v>
      </c>
      <c r="E373" s="19" t="s">
        <v>119</v>
      </c>
      <c r="F373" s="18" t="s">
        <v>120</v>
      </c>
      <c r="G373" s="12" t="s">
        <v>121</v>
      </c>
      <c r="I373" s="2"/>
      <c r="J373" s="18" t="s">
        <v>118</v>
      </c>
      <c r="K373" s="19" t="s">
        <v>119</v>
      </c>
      <c r="L373" s="18" t="s">
        <v>120</v>
      </c>
      <c r="M373" s="12" t="s">
        <v>121</v>
      </c>
      <c r="O373" s="34"/>
      <c r="P373" s="18" t="s">
        <v>118</v>
      </c>
      <c r="Q373" s="19" t="s">
        <v>119</v>
      </c>
      <c r="R373" s="18" t="s">
        <v>120</v>
      </c>
      <c r="S373" s="39" t="s">
        <v>121</v>
      </c>
      <c r="U373" s="42"/>
      <c r="V373" s="18" t="s">
        <v>118</v>
      </c>
      <c r="W373" s="19" t="s">
        <v>119</v>
      </c>
      <c r="X373" s="18" t="s">
        <v>120</v>
      </c>
      <c r="Y373" s="47" t="s">
        <v>121</v>
      </c>
    </row>
    <row r="374" spans="1:25" ht="15" thickTop="1" x14ac:dyDescent="0.35">
      <c r="A374" s="22" t="s">
        <v>122</v>
      </c>
      <c r="B374" s="2"/>
      <c r="C374" s="21" t="s">
        <v>25</v>
      </c>
      <c r="D374" s="25">
        <v>1296518</v>
      </c>
      <c r="E374" s="14">
        <f>D374/D380</f>
        <v>0.75021510882741815</v>
      </c>
      <c r="F374">
        <v>99.96</v>
      </c>
      <c r="G374" s="15">
        <f t="shared" ref="G374:G379" si="150">E374*F374</f>
        <v>74.991502278388708</v>
      </c>
      <c r="I374" s="21" t="s">
        <v>25</v>
      </c>
      <c r="J374" s="52">
        <v>3507021.9265756607</v>
      </c>
      <c r="K374" s="14">
        <f>J374/J380</f>
        <v>0.7836292628234216</v>
      </c>
      <c r="L374">
        <v>99.96</v>
      </c>
      <c r="M374" s="15">
        <f t="shared" ref="M374:M379" si="151">K374*L374</f>
        <v>78.331581111829223</v>
      </c>
      <c r="O374" s="38" t="s">
        <v>25</v>
      </c>
      <c r="P374" s="13">
        <v>86664</v>
      </c>
      <c r="Q374" s="14">
        <f>P374/P379</f>
        <v>0.4433757622887079</v>
      </c>
      <c r="R374">
        <v>99.92</v>
      </c>
      <c r="S374" s="40">
        <f t="shared" ref="S374:S377" si="152">Q374*R374</f>
        <v>44.302106167887693</v>
      </c>
      <c r="U374" s="46" t="s">
        <v>25</v>
      </c>
      <c r="V374" s="52">
        <v>3617127000</v>
      </c>
      <c r="W374" s="14">
        <f>V374/V379</f>
        <v>0.72781441203030761</v>
      </c>
      <c r="X374">
        <v>99.96</v>
      </c>
      <c r="Y374" s="48">
        <f t="shared" ref="Y374:Y375" si="153">W374*X374</f>
        <v>72.752328626549541</v>
      </c>
    </row>
    <row r="375" spans="1:25" x14ac:dyDescent="0.35">
      <c r="A375" s="23">
        <v>1293012</v>
      </c>
      <c r="B375" s="2"/>
      <c r="C375" s="21" t="s">
        <v>29</v>
      </c>
      <c r="D375" s="13">
        <v>136282</v>
      </c>
      <c r="E375" s="14">
        <f>D375/D380</f>
        <v>7.8857999241983695E-2</v>
      </c>
      <c r="F375">
        <v>99.86</v>
      </c>
      <c r="G375" s="15">
        <f t="shared" si="150"/>
        <v>7.8747598043044915</v>
      </c>
      <c r="I375" s="21" t="s">
        <v>29</v>
      </c>
      <c r="J375" s="52">
        <v>569736.71129322052</v>
      </c>
      <c r="K375" s="14">
        <f>J375/J380</f>
        <v>0.12730526595540376</v>
      </c>
      <c r="L375">
        <v>99.86</v>
      </c>
      <c r="M375" s="15">
        <f t="shared" si="151"/>
        <v>12.71270385830662</v>
      </c>
      <c r="O375" s="38" t="s">
        <v>29</v>
      </c>
      <c r="P375" s="13">
        <v>4337</v>
      </c>
      <c r="Q375" s="14">
        <f>P375/P379</f>
        <v>2.2188229034502516E-2</v>
      </c>
      <c r="R375">
        <v>99.86</v>
      </c>
      <c r="S375" s="40">
        <f t="shared" si="152"/>
        <v>2.2157165513854213</v>
      </c>
      <c r="U375" s="46" t="s">
        <v>29</v>
      </c>
      <c r="V375" s="52">
        <v>29957000</v>
      </c>
      <c r="W375" s="14">
        <f>V375/V379</f>
        <v>6.0277497420444248E-3</v>
      </c>
      <c r="X375">
        <v>99.86</v>
      </c>
      <c r="Y375" s="48">
        <f t="shared" si="153"/>
        <v>0.60193108924055627</v>
      </c>
    </row>
    <row r="376" spans="1:25" x14ac:dyDescent="0.35">
      <c r="A376" s="23">
        <v>12</v>
      </c>
      <c r="B376" s="2"/>
      <c r="C376" s="21" t="s">
        <v>30</v>
      </c>
      <c r="D376" s="13">
        <v>5939</v>
      </c>
      <c r="E376" s="14">
        <f>D376/D380</f>
        <v>3.4365334930375334E-3</v>
      </c>
      <c r="F376">
        <v>99.96</v>
      </c>
      <c r="G376" s="15">
        <f t="shared" si="150"/>
        <v>0.34351588796403182</v>
      </c>
      <c r="I376" s="21" t="s">
        <v>30</v>
      </c>
      <c r="J376" s="52">
        <v>9481.0973815917969</v>
      </c>
      <c r="K376" s="14">
        <f>J376/J380</f>
        <v>2.1185112347296767E-3</v>
      </c>
      <c r="L376">
        <v>99.96</v>
      </c>
      <c r="M376" s="15">
        <f t="shared" si="151"/>
        <v>0.21176638302357847</v>
      </c>
      <c r="O376" s="38" t="s">
        <v>30</v>
      </c>
      <c r="P376" s="13">
        <v>101933</v>
      </c>
      <c r="Q376" s="14">
        <f>P376/P379</f>
        <v>0.52149244873736345</v>
      </c>
      <c r="R376">
        <v>99.92</v>
      </c>
      <c r="S376" s="40">
        <f t="shared" si="152"/>
        <v>52.107525477837356</v>
      </c>
      <c r="U376" s="46" t="s">
        <v>30</v>
      </c>
      <c r="V376" s="52">
        <v>11000</v>
      </c>
      <c r="W376" s="14">
        <f>V376/V379</f>
        <v>2.2133473699799267E-6</v>
      </c>
      <c r="X376">
        <v>99.96</v>
      </c>
      <c r="Y376" s="48">
        <f>W376*X376</f>
        <v>2.2124620310319347E-4</v>
      </c>
    </row>
    <row r="377" spans="1:25" x14ac:dyDescent="0.35">
      <c r="A377" s="23">
        <v>3494</v>
      </c>
      <c r="B377" s="2"/>
      <c r="C377" s="21" t="s">
        <v>31</v>
      </c>
      <c r="D377" s="13">
        <v>202057</v>
      </c>
      <c r="E377" s="14">
        <f>D377/D380</f>
        <v>0.1169179403944578</v>
      </c>
      <c r="F377">
        <v>99.96</v>
      </c>
      <c r="G377" s="15">
        <f t="shared" si="150"/>
        <v>11.687117321830002</v>
      </c>
      <c r="I377" s="21" t="s">
        <v>31</v>
      </c>
      <c r="J377" s="52">
        <v>100459.70437717438</v>
      </c>
      <c r="K377" s="14">
        <f>J377/J380</f>
        <v>2.2447297374445327E-2</v>
      </c>
      <c r="L377">
        <v>99.96</v>
      </c>
      <c r="M377" s="15">
        <f t="shared" si="151"/>
        <v>2.2438318455495549</v>
      </c>
      <c r="O377" s="38" t="s">
        <v>31</v>
      </c>
      <c r="P377" s="13">
        <v>2226</v>
      </c>
      <c r="Q377" s="14">
        <f>P377/P379</f>
        <v>1.13882863340564E-2</v>
      </c>
      <c r="R377">
        <v>99.92</v>
      </c>
      <c r="S377" s="40">
        <f t="shared" si="152"/>
        <v>1.1379175704989155</v>
      </c>
      <c r="U377" s="46" t="s">
        <v>31</v>
      </c>
      <c r="V377" s="52">
        <v>1318800000</v>
      </c>
      <c r="W377" s="14">
        <f>V377/V379</f>
        <v>0.26536022832086614</v>
      </c>
      <c r="X377">
        <v>99.96</v>
      </c>
      <c r="Y377" s="48">
        <f>W377*X377</f>
        <v>26.525408422953777</v>
      </c>
    </row>
    <row r="378" spans="1:25" ht="15" thickBot="1" x14ac:dyDescent="0.4">
      <c r="A378" s="24">
        <f>SUM(A375:A377)</f>
        <v>1296518</v>
      </c>
      <c r="B378" s="2"/>
      <c r="C378" s="21" t="s">
        <v>32</v>
      </c>
      <c r="D378" s="13">
        <v>171</v>
      </c>
      <c r="E378" s="14">
        <f>D378/D380</f>
        <v>9.8947167420343187E-5</v>
      </c>
      <c r="F378">
        <v>99.96</v>
      </c>
      <c r="G378" s="15">
        <f t="shared" si="150"/>
        <v>9.8907588553375052E-3</v>
      </c>
      <c r="I378" s="21" t="s">
        <v>32</v>
      </c>
      <c r="J378" s="52">
        <v>201.84951686859131</v>
      </c>
      <c r="K378" s="14">
        <f>J378/J380</f>
        <v>4.5102423485399766E-5</v>
      </c>
      <c r="L378">
        <v>99.96</v>
      </c>
      <c r="M378" s="15">
        <f t="shared" si="151"/>
        <v>4.5084382516005599E-3</v>
      </c>
      <c r="O378" s="38" t="s">
        <v>33</v>
      </c>
      <c r="P378" s="13">
        <v>304</v>
      </c>
      <c r="Q378" s="14">
        <f>P378/P379</f>
        <v>1.5552736053697867E-3</v>
      </c>
      <c r="R378">
        <v>99.75</v>
      </c>
      <c r="S378" s="40">
        <f>Q378*R378</f>
        <v>0.15513854213563621</v>
      </c>
      <c r="U378" s="46" t="s">
        <v>33</v>
      </c>
      <c r="V378" s="52">
        <v>3953000</v>
      </c>
      <c r="W378" s="14">
        <f>V378/V379</f>
        <v>7.9539655941187736E-4</v>
      </c>
      <c r="X378">
        <v>99.79</v>
      </c>
      <c r="Y378" s="48">
        <f>W378*X378</f>
        <v>7.9372622663711243E-2</v>
      </c>
    </row>
    <row r="379" spans="1:25" ht="15.5" thickTop="1" thickBot="1" x14ac:dyDescent="0.4">
      <c r="B379" s="2"/>
      <c r="C379" s="21" t="s">
        <v>33</v>
      </c>
      <c r="D379" s="13">
        <v>87228</v>
      </c>
      <c r="E379" s="16">
        <f>D379/D380</f>
        <v>5.0473470875682429E-2</v>
      </c>
      <c r="F379">
        <v>99.77</v>
      </c>
      <c r="G379" s="15">
        <f t="shared" si="150"/>
        <v>5.0357381892668354</v>
      </c>
      <c r="I379" s="21" t="s">
        <v>33</v>
      </c>
      <c r="J379" s="52">
        <v>288457.26745128632</v>
      </c>
      <c r="K379" s="16">
        <f>J379/J380</f>
        <v>6.4454560188514226E-2</v>
      </c>
      <c r="L379">
        <v>99.77</v>
      </c>
      <c r="M379" s="15">
        <f t="shared" si="151"/>
        <v>6.4306314700080645</v>
      </c>
      <c r="O379" s="38"/>
      <c r="P379" s="31">
        <f>SUM(P374:P378)</f>
        <v>195464</v>
      </c>
      <c r="Q379" s="32">
        <f>SUM(Q374:Q378)</f>
        <v>1.0000000000000002</v>
      </c>
      <c r="R379" s="33">
        <f>AVERAGE(R374:R378)</f>
        <v>99.873999999999995</v>
      </c>
      <c r="S379" s="41">
        <f>SUM(S374:S378)</f>
        <v>99.918404309745014</v>
      </c>
      <c r="U379" s="46"/>
      <c r="V379" s="52">
        <f>SUM(V374:V378)</f>
        <v>4969848000</v>
      </c>
      <c r="W379" s="32">
        <f>SUM(W374:W378)</f>
        <v>1</v>
      </c>
      <c r="X379" s="33">
        <f>AVERAGE(X374:X378)</f>
        <v>99.905999999999992</v>
      </c>
      <c r="Y379" s="58">
        <f>SUM(Y374:Y378)</f>
        <v>99.959262007610675</v>
      </c>
    </row>
    <row r="380" spans="1:25" ht="15" thickBot="1" x14ac:dyDescent="0.4">
      <c r="A380" s="10"/>
      <c r="B380" s="10"/>
      <c r="C380" s="10"/>
      <c r="D380" s="49">
        <f>SUM(D374:D379)</f>
        <v>1728195</v>
      </c>
      <c r="E380" s="50">
        <f>SUM(E374:E379)</f>
        <v>0.99999999999999989</v>
      </c>
      <c r="F380" s="51">
        <f>AVERAGE(F374:F379)</f>
        <v>99.911666666666648</v>
      </c>
      <c r="G380" s="26">
        <f>SUM(G374:G379)</f>
        <v>99.942524240609401</v>
      </c>
      <c r="I380" s="10"/>
      <c r="J380" s="49">
        <f>SUM(J374:J379)</f>
        <v>4475358.5565958023</v>
      </c>
      <c r="K380" s="50">
        <f>SUM(K374:K379)</f>
        <v>1</v>
      </c>
      <c r="L380" s="51">
        <f>AVERAGE(L374:L379)</f>
        <v>99.911666666666648</v>
      </c>
      <c r="M380" s="26">
        <f>SUM(M374:M379)</f>
        <v>99.935023106968643</v>
      </c>
      <c r="O380" s="34"/>
      <c r="P380" s="34"/>
      <c r="Q380" s="34"/>
      <c r="R380" s="36"/>
      <c r="S380" s="40"/>
      <c r="U380" s="42"/>
      <c r="V380" s="42"/>
      <c r="W380" s="42"/>
      <c r="X380" s="44"/>
      <c r="Y380" s="45"/>
    </row>
    <row r="381" spans="1:25" ht="15" thickTop="1" x14ac:dyDescent="0.35">
      <c r="A381" s="29" t="s">
        <v>203</v>
      </c>
      <c r="B381" s="28"/>
      <c r="C381" s="28"/>
      <c r="D381" s="28"/>
      <c r="E381" s="28"/>
      <c r="F381" s="28"/>
      <c r="G381" s="28"/>
      <c r="I381" s="28"/>
      <c r="J381" s="28"/>
      <c r="K381" s="28"/>
      <c r="L381" s="28"/>
      <c r="M381" s="28"/>
      <c r="O381" s="28"/>
      <c r="P381" s="28"/>
      <c r="Q381" s="28"/>
      <c r="R381" s="28"/>
      <c r="S381" s="28"/>
      <c r="U381" s="28"/>
      <c r="V381" s="28"/>
      <c r="W381" s="28"/>
      <c r="X381" s="28"/>
      <c r="Y381" s="28"/>
    </row>
    <row r="382" spans="1:25" x14ac:dyDescent="0.35">
      <c r="A382" s="20" t="s">
        <v>204</v>
      </c>
      <c r="B382" s="20"/>
      <c r="C382" s="56" t="s">
        <v>115</v>
      </c>
      <c r="D382" s="11"/>
      <c r="E382" s="11"/>
      <c r="F382" s="11"/>
      <c r="G382" s="30" t="s">
        <v>115</v>
      </c>
      <c r="I382" s="56" t="s">
        <v>115</v>
      </c>
      <c r="J382" s="11"/>
      <c r="K382" s="11"/>
      <c r="L382" s="11"/>
      <c r="M382" s="30" t="s">
        <v>115</v>
      </c>
      <c r="O382" s="55" t="s">
        <v>116</v>
      </c>
      <c r="P382" s="34"/>
      <c r="Q382" s="34"/>
      <c r="R382" s="34"/>
      <c r="S382" s="35" t="s">
        <v>116</v>
      </c>
      <c r="U382" s="57" t="s">
        <v>117</v>
      </c>
      <c r="V382" s="42"/>
      <c r="W382" s="42"/>
      <c r="X382" s="42"/>
      <c r="Y382" s="43" t="s">
        <v>117</v>
      </c>
    </row>
    <row r="383" spans="1:25" ht="15" thickBot="1" x14ac:dyDescent="0.4">
      <c r="A383" s="2"/>
      <c r="B383" s="2"/>
      <c r="C383" s="2"/>
      <c r="D383" s="18" t="s">
        <v>118</v>
      </c>
      <c r="E383" s="19" t="s">
        <v>119</v>
      </c>
      <c r="F383" s="18" t="s">
        <v>120</v>
      </c>
      <c r="G383" s="12" t="s">
        <v>121</v>
      </c>
      <c r="I383" s="2"/>
      <c r="J383" s="18" t="s">
        <v>118</v>
      </c>
      <c r="K383" s="19" t="s">
        <v>119</v>
      </c>
      <c r="L383" s="18" t="s">
        <v>120</v>
      </c>
      <c r="M383" s="12" t="s">
        <v>121</v>
      </c>
      <c r="O383" s="34"/>
      <c r="P383" s="18" t="s">
        <v>118</v>
      </c>
      <c r="Q383" s="19" t="s">
        <v>119</v>
      </c>
      <c r="R383" s="18" t="s">
        <v>120</v>
      </c>
      <c r="S383" s="39" t="s">
        <v>121</v>
      </c>
      <c r="U383" s="42"/>
      <c r="V383" s="18" t="s">
        <v>118</v>
      </c>
      <c r="W383" s="19" t="s">
        <v>119</v>
      </c>
      <c r="X383" s="18" t="s">
        <v>120</v>
      </c>
      <c r="Y383" s="47" t="s">
        <v>121</v>
      </c>
    </row>
    <row r="384" spans="1:25" ht="15" thickTop="1" x14ac:dyDescent="0.35">
      <c r="A384" s="22" t="s">
        <v>122</v>
      </c>
      <c r="B384" s="2"/>
      <c r="C384" s="21" t="s">
        <v>25</v>
      </c>
      <c r="D384" s="25">
        <v>1302125</v>
      </c>
      <c r="E384" s="14">
        <f>D384/D390</f>
        <v>0.75118710205183614</v>
      </c>
      <c r="F384">
        <v>99.94</v>
      </c>
      <c r="G384" s="15">
        <f t="shared" ref="G384:G389" si="154">E384*F384</f>
        <v>75.073638979060505</v>
      </c>
      <c r="I384" s="21" t="s">
        <v>25</v>
      </c>
      <c r="J384" s="52">
        <v>3870447.1634120941</v>
      </c>
      <c r="K384" s="14">
        <f>J384/J390</f>
        <v>0.79664916668572117</v>
      </c>
      <c r="L384">
        <v>99.94</v>
      </c>
      <c r="M384" s="15">
        <f t="shared" ref="M384:M389" si="155">K384*L384</f>
        <v>79.617117718570967</v>
      </c>
      <c r="O384" s="38" t="s">
        <v>25</v>
      </c>
      <c r="P384" s="13">
        <v>82982</v>
      </c>
      <c r="Q384" s="14">
        <f>P384/P389</f>
        <v>0.41248459060722947</v>
      </c>
      <c r="R384">
        <v>99.94</v>
      </c>
      <c r="S384" s="40">
        <f t="shared" ref="S384:S387" si="156">Q384*R384</f>
        <v>41.223709985286511</v>
      </c>
      <c r="U384" s="46" t="s">
        <v>25</v>
      </c>
      <c r="V384" s="52">
        <v>3464265000</v>
      </c>
      <c r="W384" s="14">
        <f>V384/V389</f>
        <v>0.71025087939103515</v>
      </c>
      <c r="X384">
        <v>99.94</v>
      </c>
      <c r="Y384" s="48">
        <f t="shared" ref="Y384:Y385" si="157">W384*X384</f>
        <v>70.982472886340048</v>
      </c>
    </row>
    <row r="385" spans="1:25" x14ac:dyDescent="0.35">
      <c r="A385" s="23">
        <v>1298634</v>
      </c>
      <c r="B385" s="2"/>
      <c r="C385" s="21" t="s">
        <v>29</v>
      </c>
      <c r="D385" s="13">
        <v>136377</v>
      </c>
      <c r="E385" s="14">
        <f>D385/D390</f>
        <v>7.8674968544896431E-2</v>
      </c>
      <c r="F385">
        <v>99.85</v>
      </c>
      <c r="G385" s="15">
        <f t="shared" si="154"/>
        <v>7.855695609207908</v>
      </c>
      <c r="I385" s="21" t="s">
        <v>29</v>
      </c>
      <c r="J385" s="52">
        <v>571801.64355945587</v>
      </c>
      <c r="K385" s="14">
        <f>J385/J390</f>
        <v>0.117693197612233</v>
      </c>
      <c r="L385">
        <v>99.85</v>
      </c>
      <c r="M385" s="15">
        <f t="shared" si="155"/>
        <v>11.751665781581464</v>
      </c>
      <c r="O385" s="38" t="s">
        <v>29</v>
      </c>
      <c r="P385" s="13">
        <v>13590</v>
      </c>
      <c r="Q385" s="14">
        <f>P385/P389</f>
        <v>6.755278959716865E-2</v>
      </c>
      <c r="R385">
        <v>99.85</v>
      </c>
      <c r="S385" s="40">
        <f t="shared" si="156"/>
        <v>6.7451460412772892</v>
      </c>
      <c r="U385" s="46" t="s">
        <v>29</v>
      </c>
      <c r="V385" s="52">
        <v>27580000</v>
      </c>
      <c r="W385" s="14">
        <f>V385/V389</f>
        <v>5.6545094713033647E-3</v>
      </c>
      <c r="X385">
        <v>99.85</v>
      </c>
      <c r="Y385" s="48">
        <f t="shared" si="157"/>
        <v>0.56460277070964093</v>
      </c>
    </row>
    <row r="386" spans="1:25" x14ac:dyDescent="0.35">
      <c r="A386" s="23">
        <v>12</v>
      </c>
      <c r="B386" s="2"/>
      <c r="C386" s="21" t="s">
        <v>30</v>
      </c>
      <c r="D386" s="13">
        <v>5937</v>
      </c>
      <c r="E386" s="14">
        <f>D386/D390</f>
        <v>3.4250151290250563E-3</v>
      </c>
      <c r="F386">
        <v>99.94</v>
      </c>
      <c r="G386" s="15">
        <f t="shared" si="154"/>
        <v>0.34229601199476412</v>
      </c>
      <c r="I386" s="21" t="s">
        <v>30</v>
      </c>
      <c r="J386" s="52">
        <v>8376.9894227981567</v>
      </c>
      <c r="K386" s="14">
        <f>J386/J390</f>
        <v>1.7242249696864571E-3</v>
      </c>
      <c r="L386">
        <v>99.94</v>
      </c>
      <c r="M386" s="15">
        <f t="shared" si="155"/>
        <v>0.17231904347046453</v>
      </c>
      <c r="O386" s="38" t="s">
        <v>30</v>
      </c>
      <c r="P386" s="13">
        <v>101551</v>
      </c>
      <c r="Q386" s="14">
        <f>P386/P389</f>
        <v>0.50478685330258077</v>
      </c>
      <c r="R386">
        <v>99.94</v>
      </c>
      <c r="S386" s="40">
        <f t="shared" si="156"/>
        <v>50.448398119059924</v>
      </c>
      <c r="U386" s="46" t="s">
        <v>30</v>
      </c>
      <c r="V386" s="52">
        <v>11000</v>
      </c>
      <c r="W386" s="14">
        <f>V386/V389</f>
        <v>2.255243081375526E-6</v>
      </c>
      <c r="X386">
        <v>99.94</v>
      </c>
      <c r="Y386" s="48">
        <f>W386*X386</f>
        <v>2.2538899355267007E-4</v>
      </c>
    </row>
    <row r="387" spans="1:25" x14ac:dyDescent="0.35">
      <c r="A387" s="23">
        <v>3479</v>
      </c>
      <c r="B387" s="2"/>
      <c r="C387" s="21" t="s">
        <v>31</v>
      </c>
      <c r="D387" s="13">
        <v>201587</v>
      </c>
      <c r="E387" s="14">
        <f>D387/D390</f>
        <v>0.11629417632049419</v>
      </c>
      <c r="F387">
        <v>99.94</v>
      </c>
      <c r="G387" s="15">
        <f t="shared" si="154"/>
        <v>11.622439981470189</v>
      </c>
      <c r="I387" s="21" t="s">
        <v>31</v>
      </c>
      <c r="J387" s="52">
        <v>100954.15614795685</v>
      </c>
      <c r="K387" s="14">
        <f>J387/J390</f>
        <v>2.0779264248585991E-2</v>
      </c>
      <c r="L387">
        <v>99.94</v>
      </c>
      <c r="M387" s="15">
        <f t="shared" si="155"/>
        <v>2.0766796690036839</v>
      </c>
      <c r="O387" s="38" t="s">
        <v>31</v>
      </c>
      <c r="P387" s="13">
        <v>2721</v>
      </c>
      <c r="Q387" s="14">
        <f>P387/P389</f>
        <v>1.3525470235018093E-2</v>
      </c>
      <c r="R387">
        <v>99.94</v>
      </c>
      <c r="S387" s="40">
        <f t="shared" si="156"/>
        <v>1.3517354952877081</v>
      </c>
      <c r="U387" s="46" t="s">
        <v>31</v>
      </c>
      <c r="V387" s="52">
        <v>1383206000</v>
      </c>
      <c r="W387" s="14">
        <f>V387/V389</f>
        <v>0.28358779651064692</v>
      </c>
      <c r="X387">
        <v>99.94</v>
      </c>
      <c r="Y387" s="48">
        <f t="shared" ref="Y387:Y388" si="158">W387*X387</f>
        <v>28.341764383274054</v>
      </c>
    </row>
    <row r="388" spans="1:25" ht="15" thickBot="1" x14ac:dyDescent="0.4">
      <c r="A388" s="24">
        <f>SUM(A385:A387)</f>
        <v>1302125</v>
      </c>
      <c r="B388" s="2"/>
      <c r="C388" s="21" t="s">
        <v>32</v>
      </c>
      <c r="D388" s="13">
        <v>171</v>
      </c>
      <c r="E388" s="14">
        <f>D388/D390</f>
        <v>9.864874297848823E-5</v>
      </c>
      <c r="F388">
        <v>99.94</v>
      </c>
      <c r="G388" s="15">
        <f t="shared" si="154"/>
        <v>9.8589553732701136E-3</v>
      </c>
      <c r="I388" s="21" t="s">
        <v>32</v>
      </c>
      <c r="J388" s="52">
        <v>303.28912830352783</v>
      </c>
      <c r="K388" s="14">
        <f>J388/J390</f>
        <v>6.2425611596475625E-5</v>
      </c>
      <c r="L388">
        <v>99.94</v>
      </c>
      <c r="M388" s="15">
        <f t="shared" si="155"/>
        <v>6.2388156229517735E-3</v>
      </c>
      <c r="O388" s="38" t="s">
        <v>33</v>
      </c>
      <c r="P388" s="13">
        <v>332</v>
      </c>
      <c r="Q388" s="14">
        <f>P388/P389</f>
        <v>1.6502962580029427E-3</v>
      </c>
      <c r="R388">
        <v>99.89</v>
      </c>
      <c r="S388" s="40">
        <f>Q388*R388</f>
        <v>0.16484809321191393</v>
      </c>
      <c r="U388" s="46" t="s">
        <v>33</v>
      </c>
      <c r="V388" s="52">
        <v>2461000</v>
      </c>
      <c r="W388" s="14">
        <f>V388/V389</f>
        <v>5.0455938393319721E-4</v>
      </c>
      <c r="X388">
        <v>99.89</v>
      </c>
      <c r="Y388" s="48">
        <f t="shared" si="158"/>
        <v>5.040043686108707E-2</v>
      </c>
    </row>
    <row r="389" spans="1:25" ht="15.5" thickTop="1" thickBot="1" x14ac:dyDescent="0.4">
      <c r="B389" s="2"/>
      <c r="C389" s="21" t="s">
        <v>33</v>
      </c>
      <c r="D389" s="13">
        <v>87226</v>
      </c>
      <c r="E389" s="16">
        <f>D389/D390</f>
        <v>5.0320089210769671E-2</v>
      </c>
      <c r="F389">
        <v>99.89</v>
      </c>
      <c r="G389" s="15">
        <f t="shared" si="154"/>
        <v>5.0264737112637823</v>
      </c>
      <c r="I389" s="21" t="s">
        <v>33</v>
      </c>
      <c r="J389" s="52">
        <v>306525.3593378067</v>
      </c>
      <c r="K389" s="16">
        <f>J389/J390</f>
        <v>6.309172087217696E-2</v>
      </c>
      <c r="L389">
        <v>99.89</v>
      </c>
      <c r="M389" s="15">
        <f t="shared" si="155"/>
        <v>6.3022319979217567</v>
      </c>
      <c r="O389" s="38"/>
      <c r="P389" s="31">
        <f>SUM(P384:P388)</f>
        <v>201176</v>
      </c>
      <c r="Q389" s="32">
        <f>SUM(Q384:Q388)</f>
        <v>0.99999999999999989</v>
      </c>
      <c r="R389" s="33">
        <f>AVERAGE(R384:R388)</f>
        <v>99.912000000000006</v>
      </c>
      <c r="S389" s="41">
        <f>SUM(S384:S388)</f>
        <v>99.933837734123358</v>
      </c>
      <c r="U389" s="46"/>
      <c r="V389" s="52">
        <f>SUM(V384:V388)</f>
        <v>4877523000</v>
      </c>
      <c r="W389" s="32">
        <f>SUM(W384:W388)</f>
        <v>1</v>
      </c>
      <c r="X389" s="33">
        <f>AVERAGE(X384:X388)</f>
        <v>99.912000000000006</v>
      </c>
      <c r="Y389" s="58">
        <f>SUM(Y384:Y388)</f>
        <v>99.939465866178381</v>
      </c>
    </row>
    <row r="390" spans="1:25" ht="15" thickBot="1" x14ac:dyDescent="0.4">
      <c r="A390" s="10"/>
      <c r="B390" s="10"/>
      <c r="C390" s="10"/>
      <c r="D390" s="49">
        <f>SUM(D384:D389)</f>
        <v>1733423</v>
      </c>
      <c r="E390" s="50">
        <f>SUM(E384:E389)</f>
        <v>1</v>
      </c>
      <c r="F390" s="51">
        <f>AVERAGE(F384:F389)</f>
        <v>99.916666666666671</v>
      </c>
      <c r="G390" s="26">
        <f>SUM(G384:G389)</f>
        <v>99.930403248370425</v>
      </c>
      <c r="I390" s="10"/>
      <c r="J390" s="49">
        <f>SUM(J384:J389)</f>
        <v>4858408.6010084152</v>
      </c>
      <c r="K390" s="50">
        <f>SUM(K384:K389)</f>
        <v>1</v>
      </c>
      <c r="L390" s="51">
        <f>AVERAGE(L384:L389)</f>
        <v>99.916666666666671</v>
      </c>
      <c r="M390" s="26">
        <f>SUM(M384:M389)</f>
        <v>99.926253026171281</v>
      </c>
      <c r="O390" s="34"/>
      <c r="P390" s="34"/>
      <c r="Q390" s="34"/>
      <c r="R390" s="36"/>
      <c r="S390" s="40"/>
      <c r="U390" s="42"/>
      <c r="V390" s="42"/>
      <c r="W390" s="42"/>
      <c r="X390" s="44"/>
      <c r="Y390" s="45"/>
    </row>
    <row r="391" spans="1:25" ht="15" thickTop="1" x14ac:dyDescent="0.35">
      <c r="A391" s="29" t="s">
        <v>212</v>
      </c>
      <c r="B391" s="28"/>
      <c r="C391" s="28"/>
      <c r="D391" s="28"/>
      <c r="E391" s="28"/>
      <c r="F391" s="28"/>
      <c r="G391" s="28"/>
      <c r="I391" s="28"/>
      <c r="J391" s="28"/>
      <c r="K391" s="28"/>
      <c r="L391" s="28"/>
      <c r="M391" s="28"/>
      <c r="O391" s="28"/>
      <c r="P391" s="28"/>
      <c r="Q391" s="28"/>
      <c r="R391" s="28"/>
      <c r="S391" s="28"/>
      <c r="U391" s="28"/>
      <c r="V391" s="28"/>
      <c r="W391" s="28"/>
      <c r="X391" s="28"/>
      <c r="Y391" s="28"/>
    </row>
    <row r="392" spans="1:25" x14ac:dyDescent="0.35">
      <c r="A392" s="20" t="s">
        <v>204</v>
      </c>
      <c r="B392" s="20"/>
      <c r="C392" s="56" t="s">
        <v>115</v>
      </c>
      <c r="D392" s="11"/>
      <c r="E392" s="11"/>
      <c r="F392" s="11"/>
      <c r="G392" s="30" t="s">
        <v>115</v>
      </c>
      <c r="I392" s="56" t="s">
        <v>115</v>
      </c>
      <c r="J392" s="11"/>
      <c r="K392" s="11"/>
      <c r="L392" s="11"/>
      <c r="M392" s="30" t="s">
        <v>115</v>
      </c>
      <c r="O392" s="55" t="s">
        <v>116</v>
      </c>
      <c r="P392" s="34"/>
      <c r="Q392" s="34"/>
      <c r="R392" s="34"/>
      <c r="S392" s="35" t="s">
        <v>116</v>
      </c>
      <c r="U392" s="57" t="s">
        <v>117</v>
      </c>
      <c r="V392" s="42"/>
      <c r="W392" s="42"/>
      <c r="X392" s="42"/>
      <c r="Y392" s="43" t="s">
        <v>117</v>
      </c>
    </row>
    <row r="393" spans="1:25" ht="15" thickBot="1" x14ac:dyDescent="0.4">
      <c r="A393" s="2"/>
      <c r="B393" s="2"/>
      <c r="C393" s="2"/>
      <c r="D393" s="18" t="s">
        <v>118</v>
      </c>
      <c r="E393" s="19" t="s">
        <v>119</v>
      </c>
      <c r="F393" s="18" t="s">
        <v>120</v>
      </c>
      <c r="G393" s="12" t="s">
        <v>121</v>
      </c>
      <c r="I393" s="2"/>
      <c r="J393" s="18" t="s">
        <v>118</v>
      </c>
      <c r="K393" s="19" t="s">
        <v>119</v>
      </c>
      <c r="L393" s="18" t="s">
        <v>120</v>
      </c>
      <c r="M393" s="12" t="s">
        <v>121</v>
      </c>
      <c r="O393" s="34"/>
      <c r="P393" s="18" t="s">
        <v>118</v>
      </c>
      <c r="Q393" s="19" t="s">
        <v>119</v>
      </c>
      <c r="R393" s="18" t="s">
        <v>120</v>
      </c>
      <c r="S393" s="39" t="s">
        <v>121</v>
      </c>
      <c r="U393" s="42"/>
      <c r="V393" s="18" t="s">
        <v>118</v>
      </c>
      <c r="W393" s="19" t="s">
        <v>119</v>
      </c>
      <c r="X393" s="18" t="s">
        <v>120</v>
      </c>
      <c r="Y393" s="47" t="s">
        <v>121</v>
      </c>
    </row>
    <row r="394" spans="1:25" ht="15" thickTop="1" x14ac:dyDescent="0.35">
      <c r="A394" s="22" t="s">
        <v>122</v>
      </c>
      <c r="B394" s="2"/>
      <c r="C394" s="21" t="s">
        <v>25</v>
      </c>
      <c r="D394" s="25">
        <v>1302125</v>
      </c>
      <c r="E394" s="14">
        <f>D394/D400</f>
        <v>0.75118710205183614</v>
      </c>
      <c r="F394">
        <v>99.96</v>
      </c>
      <c r="G394" s="15">
        <f t="shared" ref="G394:G399" si="159">E394*F394</f>
        <v>75.088662721101542</v>
      </c>
      <c r="I394" s="21" t="s">
        <v>25</v>
      </c>
      <c r="J394" s="52">
        <v>3870447.1634120941</v>
      </c>
      <c r="K394" s="14">
        <f>J394/J400</f>
        <v>0.79664916668572117</v>
      </c>
      <c r="L394">
        <v>99.96</v>
      </c>
      <c r="M394" s="15">
        <f t="shared" ref="M394:M399" si="160">K394*L394</f>
        <v>79.633050701904679</v>
      </c>
      <c r="O394" s="38" t="s">
        <v>25</v>
      </c>
      <c r="P394" s="13">
        <v>82982</v>
      </c>
      <c r="Q394" s="14">
        <f>P394/P399</f>
        <v>0.41248459060722947</v>
      </c>
      <c r="R394">
        <v>99.92</v>
      </c>
      <c r="S394" s="40">
        <f t="shared" ref="S394:S397" si="161">Q394*R394</f>
        <v>41.215460293474372</v>
      </c>
      <c r="U394" s="46" t="s">
        <v>25</v>
      </c>
      <c r="V394" s="52">
        <v>3464265000</v>
      </c>
      <c r="W394" s="14">
        <f>V394/V399</f>
        <v>0.71025087939103515</v>
      </c>
      <c r="X394">
        <v>99.96</v>
      </c>
      <c r="Y394" s="48">
        <f t="shared" ref="Y394:Y395" si="162">W394*X394</f>
        <v>70.996677903927875</v>
      </c>
    </row>
    <row r="395" spans="1:25" x14ac:dyDescent="0.35">
      <c r="A395" s="23">
        <v>1298634</v>
      </c>
      <c r="B395" s="2"/>
      <c r="C395" s="21" t="s">
        <v>29</v>
      </c>
      <c r="D395" s="13">
        <v>136377</v>
      </c>
      <c r="E395" s="14">
        <f>D395/D400</f>
        <v>7.8674968544896431E-2</v>
      </c>
      <c r="F395">
        <v>99.86</v>
      </c>
      <c r="G395" s="15">
        <f t="shared" si="159"/>
        <v>7.8564823588933574</v>
      </c>
      <c r="I395" s="21" t="s">
        <v>29</v>
      </c>
      <c r="J395" s="52">
        <v>571801.64355945587</v>
      </c>
      <c r="K395" s="14">
        <f>J395/J400</f>
        <v>0.117693197612233</v>
      </c>
      <c r="L395">
        <v>99.86</v>
      </c>
      <c r="M395" s="15">
        <f t="shared" si="160"/>
        <v>11.752842713557587</v>
      </c>
      <c r="O395" s="38" t="s">
        <v>29</v>
      </c>
      <c r="P395" s="13">
        <v>13590</v>
      </c>
      <c r="Q395" s="14">
        <f>P395/P399</f>
        <v>6.755278959716865E-2</v>
      </c>
      <c r="R395">
        <v>99.86</v>
      </c>
      <c r="S395" s="40">
        <f t="shared" si="161"/>
        <v>6.7458215691732617</v>
      </c>
      <c r="U395" s="46" t="s">
        <v>29</v>
      </c>
      <c r="V395" s="52">
        <v>27580000</v>
      </c>
      <c r="W395" s="14">
        <f>V395/V399</f>
        <v>5.6545094713033647E-3</v>
      </c>
      <c r="X395">
        <v>99.87</v>
      </c>
      <c r="Y395" s="48">
        <f t="shared" si="162"/>
        <v>0.564715860899067</v>
      </c>
    </row>
    <row r="396" spans="1:25" x14ac:dyDescent="0.35">
      <c r="A396" s="23">
        <v>12</v>
      </c>
      <c r="B396" s="2"/>
      <c r="C396" s="21" t="s">
        <v>30</v>
      </c>
      <c r="D396" s="13">
        <v>5937</v>
      </c>
      <c r="E396" s="14">
        <f>D396/D400</f>
        <v>3.4250151290250563E-3</v>
      </c>
      <c r="F396">
        <v>99.96</v>
      </c>
      <c r="G396" s="15">
        <f t="shared" si="159"/>
        <v>0.3423645122973446</v>
      </c>
      <c r="I396" s="21" t="s">
        <v>30</v>
      </c>
      <c r="J396" s="52">
        <v>8376.9894227981567</v>
      </c>
      <c r="K396" s="14">
        <f>J396/J400</f>
        <v>1.7242249696864571E-3</v>
      </c>
      <c r="L396">
        <v>99.96</v>
      </c>
      <c r="M396" s="15">
        <f t="shared" si="160"/>
        <v>0.17235352796985826</v>
      </c>
      <c r="O396" s="38" t="s">
        <v>30</v>
      </c>
      <c r="P396" s="13">
        <v>101551</v>
      </c>
      <c r="Q396" s="14">
        <f>P396/P399</f>
        <v>0.50478685330258077</v>
      </c>
      <c r="R396">
        <v>99.92</v>
      </c>
      <c r="S396" s="40">
        <f t="shared" si="161"/>
        <v>50.438302381993871</v>
      </c>
      <c r="U396" s="46" t="s">
        <v>30</v>
      </c>
      <c r="V396" s="52">
        <v>11000</v>
      </c>
      <c r="W396" s="14">
        <f>V396/V399</f>
        <v>2.255243081375526E-6</v>
      </c>
      <c r="X396">
        <v>99.96</v>
      </c>
      <c r="Y396" s="48">
        <f>W396*X396</f>
        <v>2.2543409841429757E-4</v>
      </c>
    </row>
    <row r="397" spans="1:25" x14ac:dyDescent="0.35">
      <c r="A397" s="23">
        <v>3479</v>
      </c>
      <c r="B397" s="2"/>
      <c r="C397" s="21" t="s">
        <v>31</v>
      </c>
      <c r="D397" s="13">
        <v>201587</v>
      </c>
      <c r="E397" s="14">
        <f>D397/D400</f>
        <v>0.11629417632049419</v>
      </c>
      <c r="F397">
        <v>99.96</v>
      </c>
      <c r="G397" s="15">
        <f t="shared" si="159"/>
        <v>11.624765864996599</v>
      </c>
      <c r="I397" s="21" t="s">
        <v>31</v>
      </c>
      <c r="J397" s="52">
        <v>100954.15614795685</v>
      </c>
      <c r="K397" s="14">
        <f>J397/J400</f>
        <v>2.0779264248585991E-2</v>
      </c>
      <c r="L397">
        <v>99.96</v>
      </c>
      <c r="M397" s="15">
        <f t="shared" si="160"/>
        <v>2.0770952542886554</v>
      </c>
      <c r="O397" s="38" t="s">
        <v>31</v>
      </c>
      <c r="P397" s="13">
        <v>2721</v>
      </c>
      <c r="Q397" s="14">
        <f>P397/P399</f>
        <v>1.3525470235018093E-2</v>
      </c>
      <c r="R397">
        <v>99.92</v>
      </c>
      <c r="S397" s="40">
        <f t="shared" si="161"/>
        <v>1.3514649858830079</v>
      </c>
      <c r="U397" s="46" t="s">
        <v>31</v>
      </c>
      <c r="V397" s="52">
        <v>1383206000</v>
      </c>
      <c r="W397" s="14">
        <f>V397/V399</f>
        <v>0.28358779651064692</v>
      </c>
      <c r="X397">
        <v>99.96</v>
      </c>
      <c r="Y397" s="48">
        <f>W397*X397</f>
        <v>28.347436139204262</v>
      </c>
    </row>
    <row r="398" spans="1:25" ht="15" thickBot="1" x14ac:dyDescent="0.4">
      <c r="A398" s="24">
        <f>SUM(A395:A397)</f>
        <v>1302125</v>
      </c>
      <c r="B398" s="2"/>
      <c r="C398" s="21" t="s">
        <v>32</v>
      </c>
      <c r="D398" s="13">
        <v>171</v>
      </c>
      <c r="E398" s="14">
        <f>D398/D400</f>
        <v>9.864874297848823E-5</v>
      </c>
      <c r="F398">
        <v>99.96</v>
      </c>
      <c r="G398" s="15">
        <f t="shared" si="159"/>
        <v>9.8609283481296828E-3</v>
      </c>
      <c r="I398" s="21" t="s">
        <v>32</v>
      </c>
      <c r="J398" s="52">
        <v>303.28912830352783</v>
      </c>
      <c r="K398" s="14">
        <f>J398/J400</f>
        <v>6.2425611596475625E-5</v>
      </c>
      <c r="L398">
        <v>99.96</v>
      </c>
      <c r="M398" s="15">
        <f t="shared" si="160"/>
        <v>6.2400641351837028E-3</v>
      </c>
      <c r="O398" s="38" t="s">
        <v>33</v>
      </c>
      <c r="P398" s="13">
        <v>332</v>
      </c>
      <c r="Q398" s="14">
        <f>P398/P399</f>
        <v>1.6502962580029427E-3</v>
      </c>
      <c r="R398">
        <v>99.9</v>
      </c>
      <c r="S398" s="40">
        <f>Q398*R398</f>
        <v>0.16486459617449398</v>
      </c>
      <c r="U398" s="46" t="s">
        <v>33</v>
      </c>
      <c r="V398" s="52">
        <v>2461000</v>
      </c>
      <c r="W398" s="14">
        <f>V398/V399</f>
        <v>5.0455938393319721E-4</v>
      </c>
      <c r="X398">
        <v>99.9</v>
      </c>
      <c r="Y398" s="48">
        <f>W398*X398</f>
        <v>5.0405482454926404E-2</v>
      </c>
    </row>
    <row r="399" spans="1:25" ht="15.5" thickTop="1" thickBot="1" x14ac:dyDescent="0.4">
      <c r="B399" s="2"/>
      <c r="C399" s="21" t="s">
        <v>33</v>
      </c>
      <c r="D399" s="13">
        <v>87226</v>
      </c>
      <c r="E399" s="16">
        <f>D399/D400</f>
        <v>5.0320089210769671E-2</v>
      </c>
      <c r="F399">
        <v>99.93</v>
      </c>
      <c r="G399" s="15">
        <f t="shared" si="159"/>
        <v>5.0284865148322133</v>
      </c>
      <c r="I399" s="21" t="s">
        <v>33</v>
      </c>
      <c r="J399" s="52">
        <v>306525.3593378067</v>
      </c>
      <c r="K399" s="16">
        <f>J399/J400</f>
        <v>6.309172087217696E-2</v>
      </c>
      <c r="L399">
        <v>99.93</v>
      </c>
      <c r="M399" s="15">
        <f t="shared" si="160"/>
        <v>6.3047556667566438</v>
      </c>
      <c r="O399" s="38"/>
      <c r="P399" s="31">
        <f>SUM(P394:P398)</f>
        <v>201176</v>
      </c>
      <c r="Q399" s="32">
        <f>SUM(Q394:Q398)</f>
        <v>0.99999999999999989</v>
      </c>
      <c r="R399" s="33">
        <f>AVERAGE(R394:R398)</f>
        <v>99.903999999999996</v>
      </c>
      <c r="S399" s="41">
        <f>SUM(S394:S398)</f>
        <v>99.915913826699011</v>
      </c>
      <c r="U399" s="46"/>
      <c r="V399" s="52">
        <f>SUM(V394:V398)</f>
        <v>4877523000</v>
      </c>
      <c r="W399" s="32">
        <f>SUM(W394:W398)</f>
        <v>1</v>
      </c>
      <c r="X399" s="33">
        <f>AVERAGE(X394:X398)</f>
        <v>99.929999999999993</v>
      </c>
      <c r="Y399" s="58">
        <f>SUM(Y394:Y398)</f>
        <v>99.959460820584539</v>
      </c>
    </row>
    <row r="400" spans="1:25" ht="15" thickBot="1" x14ac:dyDescent="0.4">
      <c r="A400" s="10"/>
      <c r="B400" s="10"/>
      <c r="C400" s="10"/>
      <c r="D400" s="49">
        <f>SUM(D394:D399)</f>
        <v>1733423</v>
      </c>
      <c r="E400" s="50">
        <f>SUM(E394:E399)</f>
        <v>1</v>
      </c>
      <c r="F400" s="51">
        <f>AVERAGE(F394:F399)</f>
        <v>99.938333333333318</v>
      </c>
      <c r="G400" s="26">
        <f>SUM(G394:G399)</f>
        <v>99.950622900469199</v>
      </c>
      <c r="I400" s="10"/>
      <c r="J400" s="49">
        <f>SUM(J394:J399)</f>
        <v>4858408.6010084152</v>
      </c>
      <c r="K400" s="50">
        <f>SUM(K394:K399)</f>
        <v>1</v>
      </c>
      <c r="L400" s="51">
        <f>AVERAGE(L394:L399)</f>
        <v>99.938333333333318</v>
      </c>
      <c r="M400" s="26">
        <f>SUM(M394:M399)</f>
        <v>99.946337928612607</v>
      </c>
      <c r="O400" s="34"/>
      <c r="P400" s="34"/>
      <c r="Q400" s="34"/>
      <c r="R400" s="36"/>
      <c r="S400" s="40"/>
      <c r="U400" s="42"/>
      <c r="V400" s="42"/>
      <c r="W400" s="42"/>
      <c r="X400" s="44"/>
      <c r="Y400" s="45"/>
    </row>
    <row r="401" spans="1:25" ht="15" thickTop="1" x14ac:dyDescent="0.35">
      <c r="A401" s="29" t="s">
        <v>213</v>
      </c>
      <c r="B401" s="28"/>
      <c r="C401" s="28"/>
      <c r="D401" s="28"/>
      <c r="E401" s="28"/>
      <c r="F401" s="28"/>
      <c r="G401" s="28"/>
      <c r="I401" s="28"/>
      <c r="J401" s="28"/>
      <c r="K401" s="28"/>
      <c r="L401" s="28"/>
      <c r="M401" s="28"/>
      <c r="O401" s="28"/>
      <c r="P401" s="28"/>
      <c r="Q401" s="28"/>
      <c r="R401" s="28"/>
      <c r="S401" s="28"/>
      <c r="U401" s="28"/>
      <c r="V401" s="28"/>
      <c r="W401" s="28"/>
      <c r="X401" s="28"/>
      <c r="Y401" s="28"/>
    </row>
    <row r="402" spans="1:25" x14ac:dyDescent="0.35">
      <c r="A402" s="20" t="s">
        <v>214</v>
      </c>
      <c r="B402" s="20"/>
      <c r="C402" s="56" t="s">
        <v>115</v>
      </c>
      <c r="D402" s="11"/>
      <c r="E402" s="11"/>
      <c r="F402" s="11"/>
      <c r="G402" s="30" t="s">
        <v>115</v>
      </c>
      <c r="I402" s="56" t="s">
        <v>115</v>
      </c>
      <c r="J402" s="11"/>
      <c r="K402" s="11"/>
      <c r="L402" s="11"/>
      <c r="M402" s="30" t="s">
        <v>115</v>
      </c>
      <c r="O402" s="55" t="s">
        <v>116</v>
      </c>
      <c r="P402" s="34"/>
      <c r="Q402" s="34"/>
      <c r="R402" s="34"/>
      <c r="S402" s="35" t="s">
        <v>116</v>
      </c>
      <c r="U402" s="57" t="s">
        <v>117</v>
      </c>
      <c r="V402" s="42"/>
      <c r="W402" s="42"/>
      <c r="X402" s="42"/>
      <c r="Y402" s="43" t="s">
        <v>117</v>
      </c>
    </row>
    <row r="403" spans="1:25" ht="15" thickBot="1" x14ac:dyDescent="0.4">
      <c r="A403" s="2"/>
      <c r="B403" s="2"/>
      <c r="C403" s="2"/>
      <c r="D403" s="18" t="s">
        <v>118</v>
      </c>
      <c r="E403" s="19" t="s">
        <v>119</v>
      </c>
      <c r="F403" s="18" t="s">
        <v>120</v>
      </c>
      <c r="G403" s="12" t="s">
        <v>121</v>
      </c>
      <c r="I403" s="2"/>
      <c r="J403" s="18" t="s">
        <v>118</v>
      </c>
      <c r="K403" s="19" t="s">
        <v>119</v>
      </c>
      <c r="L403" s="18" t="s">
        <v>120</v>
      </c>
      <c r="M403" s="12" t="s">
        <v>121</v>
      </c>
      <c r="O403" s="34"/>
      <c r="P403" s="18" t="s">
        <v>118</v>
      </c>
      <c r="Q403" s="19" t="s">
        <v>119</v>
      </c>
      <c r="R403" s="18" t="s">
        <v>120</v>
      </c>
      <c r="S403" s="39" t="s">
        <v>121</v>
      </c>
      <c r="U403" s="42"/>
      <c r="V403" s="18" t="s">
        <v>118</v>
      </c>
      <c r="W403" s="19" t="s">
        <v>119</v>
      </c>
      <c r="X403" s="18" t="s">
        <v>120</v>
      </c>
      <c r="Y403" s="47" t="s">
        <v>121</v>
      </c>
    </row>
    <row r="404" spans="1:25" ht="15" thickTop="1" x14ac:dyDescent="0.35">
      <c r="A404" s="22" t="s">
        <v>122</v>
      </c>
      <c r="B404" s="2"/>
      <c r="C404" s="21" t="s">
        <v>25</v>
      </c>
      <c r="D404" s="25">
        <v>1300279</v>
      </c>
      <c r="E404" s="14">
        <f>D404/D410</f>
        <v>0.75143782781665147</v>
      </c>
      <c r="F404">
        <v>99.94</v>
      </c>
      <c r="G404" s="15">
        <f t="shared" ref="G404:G409" si="163">E404*F404</f>
        <v>75.098696511996152</v>
      </c>
      <c r="I404" s="21" t="s">
        <v>25</v>
      </c>
      <c r="J404" s="52">
        <v>3496438.7152423859</v>
      </c>
      <c r="K404" s="14">
        <f>J404/J410</f>
        <v>0.78328999223777518</v>
      </c>
      <c r="L404">
        <v>99.94</v>
      </c>
      <c r="M404" s="15">
        <f t="shared" ref="M404:M409" si="164">K404*L404</f>
        <v>78.282001824243252</v>
      </c>
      <c r="O404" s="38" t="s">
        <v>25</v>
      </c>
      <c r="P404" s="13">
        <v>41781</v>
      </c>
      <c r="Q404" s="14">
        <f>P404/P409</f>
        <v>0.2294008158962505</v>
      </c>
      <c r="R404">
        <v>99.94</v>
      </c>
      <c r="S404" s="40">
        <f t="shared" ref="S404:S407" si="165">Q404*R404</f>
        <v>22.926317540671274</v>
      </c>
      <c r="U404" s="46" t="s">
        <v>25</v>
      </c>
      <c r="V404" s="52">
        <v>3288422000</v>
      </c>
      <c r="W404" s="14">
        <f>V404/V408</f>
        <v>0.71625656729301301</v>
      </c>
      <c r="X404">
        <v>99.94</v>
      </c>
      <c r="Y404" s="48">
        <f t="shared" ref="Y404:Y405" si="166">W404*X404</f>
        <v>71.582681335263715</v>
      </c>
    </row>
    <row r="405" spans="1:25" x14ac:dyDescent="0.35">
      <c r="A405" s="23">
        <v>1296790</v>
      </c>
      <c r="B405" s="2"/>
      <c r="C405" s="21" t="s">
        <v>29</v>
      </c>
      <c r="D405" s="13">
        <v>136552</v>
      </c>
      <c r="E405" s="14">
        <f>D405/D410</f>
        <v>7.8914093255385495E-2</v>
      </c>
      <c r="F405">
        <v>99.85</v>
      </c>
      <c r="G405" s="15">
        <f t="shared" si="163"/>
        <v>7.8795722115502409</v>
      </c>
      <c r="I405" s="21" t="s">
        <v>29</v>
      </c>
      <c r="J405" s="52">
        <v>578975.24116516113</v>
      </c>
      <c r="K405" s="14">
        <f>J405/J410</f>
        <v>0.12970497957853794</v>
      </c>
      <c r="L405">
        <v>99.85</v>
      </c>
      <c r="M405" s="15">
        <f t="shared" si="164"/>
        <v>12.951042210917013</v>
      </c>
      <c r="O405" s="38" t="s">
        <v>29</v>
      </c>
      <c r="P405" s="13">
        <v>35914</v>
      </c>
      <c r="Q405" s="14">
        <f>P405/P409</f>
        <v>0.19718773849591778</v>
      </c>
      <c r="R405">
        <v>99.85</v>
      </c>
      <c r="S405" s="40">
        <f t="shared" si="165"/>
        <v>19.689195688817389</v>
      </c>
      <c r="U405" s="46" t="s">
        <v>29</v>
      </c>
      <c r="V405" s="52">
        <v>22314000</v>
      </c>
      <c r="W405" s="14">
        <f>V405/V408</f>
        <v>4.860248788803959E-3</v>
      </c>
      <c r="X405">
        <v>99.85</v>
      </c>
      <c r="Y405" s="48">
        <f t="shared" si="166"/>
        <v>0.48529584156207528</v>
      </c>
    </row>
    <row r="406" spans="1:25" x14ac:dyDescent="0.35">
      <c r="A406" s="23">
        <v>12</v>
      </c>
      <c r="B406" s="2"/>
      <c r="C406" s="21" t="s">
        <v>30</v>
      </c>
      <c r="D406" s="13">
        <v>5937</v>
      </c>
      <c r="E406" s="14">
        <f>D406/D410</f>
        <v>3.4310224065354127E-3</v>
      </c>
      <c r="F406">
        <v>99.94</v>
      </c>
      <c r="G406" s="15">
        <f t="shared" si="163"/>
        <v>0.34289637930914912</v>
      </c>
      <c r="I406" s="21" t="s">
        <v>30</v>
      </c>
      <c r="J406" s="52">
        <v>8451.7200174331665</v>
      </c>
      <c r="K406" s="14">
        <f>J406/J410</f>
        <v>1.8933973239660062E-3</v>
      </c>
      <c r="L406">
        <v>99.94</v>
      </c>
      <c r="M406" s="15">
        <f t="shared" si="164"/>
        <v>0.18922612855716264</v>
      </c>
      <c r="O406" s="38" t="s">
        <v>30</v>
      </c>
      <c r="P406" s="13">
        <v>101703</v>
      </c>
      <c r="Q406" s="14">
        <f>P406/P409</f>
        <v>0.55840576288495647</v>
      </c>
      <c r="R406">
        <v>99.94</v>
      </c>
      <c r="S406" s="40">
        <f t="shared" si="165"/>
        <v>55.807071942722551</v>
      </c>
      <c r="U406" s="46" t="s">
        <v>31</v>
      </c>
      <c r="V406" s="52">
        <v>1277405000</v>
      </c>
      <c r="W406" s="14">
        <f>V406/V408</f>
        <v>0.278233669627235</v>
      </c>
      <c r="X406">
        <v>99.94</v>
      </c>
      <c r="Y406" s="48">
        <f>W406*X406</f>
        <v>27.806672942545866</v>
      </c>
    </row>
    <row r="407" spans="1:25" x14ac:dyDescent="0.35">
      <c r="A407" s="23">
        <v>3477</v>
      </c>
      <c r="B407" s="2"/>
      <c r="C407" s="21" t="s">
        <v>31</v>
      </c>
      <c r="D407" s="13">
        <v>201377</v>
      </c>
      <c r="E407" s="14">
        <f>D407/D410</f>
        <v>0.11637678948305236</v>
      </c>
      <c r="F407">
        <v>99.94</v>
      </c>
      <c r="G407" s="15">
        <f t="shared" si="163"/>
        <v>11.630696340936252</v>
      </c>
      <c r="I407" s="21" t="s">
        <v>31</v>
      </c>
      <c r="J407" s="52">
        <v>96060.402991294861</v>
      </c>
      <c r="K407" s="14">
        <f>J407/J410</f>
        <v>2.1519940271051707E-2</v>
      </c>
      <c r="L407">
        <v>99.94</v>
      </c>
      <c r="M407" s="15">
        <f t="shared" si="164"/>
        <v>2.1507028306889073</v>
      </c>
      <c r="O407" s="38" t="s">
        <v>31</v>
      </c>
      <c r="P407" s="13">
        <v>2432</v>
      </c>
      <c r="Q407" s="14">
        <f>P407/P409</f>
        <v>1.3353026118563012E-2</v>
      </c>
      <c r="R407">
        <v>99.94</v>
      </c>
      <c r="S407" s="40">
        <f t="shared" si="165"/>
        <v>1.3345014302891873</v>
      </c>
      <c r="U407" s="46" t="s">
        <v>33</v>
      </c>
      <c r="V407" s="52">
        <v>2982000</v>
      </c>
      <c r="W407" s="14">
        <f>V407/V408</f>
        <v>6.4951429094798816E-4</v>
      </c>
      <c r="X407">
        <v>99.91</v>
      </c>
      <c r="Y407" s="48">
        <f t="shared" ref="Y407" si="167">W407*X407</f>
        <v>6.4892972808613489E-2</v>
      </c>
    </row>
    <row r="408" spans="1:25" ht="15" thickBot="1" x14ac:dyDescent="0.4">
      <c r="A408" s="24">
        <f>SUM(A405:A407)</f>
        <v>1300279</v>
      </c>
      <c r="B408" s="2"/>
      <c r="C408" s="21" t="s">
        <v>32</v>
      </c>
      <c r="D408" s="13">
        <v>171</v>
      </c>
      <c r="E408" s="14">
        <f>D408/D410</f>
        <v>9.8821767141242316E-5</v>
      </c>
      <c r="F408">
        <v>99.94</v>
      </c>
      <c r="G408" s="15">
        <f t="shared" si="163"/>
        <v>9.8762474080957563E-3</v>
      </c>
      <c r="I408" s="21" t="s">
        <v>32</v>
      </c>
      <c r="J408" s="52">
        <v>3954.8305130004883</v>
      </c>
      <c r="K408" s="14">
        <f>J408/J410</f>
        <v>8.8598125524849062E-4</v>
      </c>
      <c r="L408">
        <v>99.94</v>
      </c>
      <c r="M408" s="15">
        <f t="shared" si="164"/>
        <v>8.8544966649534151E-2</v>
      </c>
      <c r="O408" s="38" t="s">
        <v>33</v>
      </c>
      <c r="P408" s="13">
        <v>301</v>
      </c>
      <c r="Q408" s="14">
        <f>P408/P409</f>
        <v>1.6526566043122807E-3</v>
      </c>
      <c r="R408">
        <v>99.91</v>
      </c>
      <c r="S408" s="40">
        <f>Q408*R408</f>
        <v>0.16511692133683997</v>
      </c>
      <c r="U408" s="46"/>
      <c r="V408" s="52">
        <f>SUM(V404:V407)</f>
        <v>4591123000</v>
      </c>
      <c r="W408" s="14">
        <f>SUM(W404:W407)</f>
        <v>1</v>
      </c>
      <c r="X408">
        <f>AVERAGE(X404:X407)</f>
        <v>99.91</v>
      </c>
      <c r="Y408" s="48">
        <f>SUM(Y404:Y407)</f>
        <v>99.939543092180273</v>
      </c>
    </row>
    <row r="409" spans="1:25" ht="15.5" thickTop="1" thickBot="1" x14ac:dyDescent="0.4">
      <c r="B409" s="2"/>
      <c r="C409" s="21" t="s">
        <v>33</v>
      </c>
      <c r="D409" s="13">
        <v>86072</v>
      </c>
      <c r="E409" s="16">
        <f>D409/D410</f>
        <v>4.9741445271233968E-2</v>
      </c>
      <c r="F409">
        <v>99.9</v>
      </c>
      <c r="G409" s="15">
        <f t="shared" si="163"/>
        <v>4.9691703825962739</v>
      </c>
      <c r="I409" s="21" t="s">
        <v>33</v>
      </c>
      <c r="J409" s="52">
        <v>279904.85254859924</v>
      </c>
      <c r="K409" s="16">
        <f>J409/J410</f>
        <v>6.2705709333420692E-2</v>
      </c>
      <c r="L409">
        <v>99.9</v>
      </c>
      <c r="M409" s="15">
        <f t="shared" si="164"/>
        <v>6.2643003624087275</v>
      </c>
      <c r="O409" s="38"/>
      <c r="P409" s="31">
        <f>SUM(P404:P408)</f>
        <v>182131</v>
      </c>
      <c r="Q409" s="32">
        <f>SUM(Q404:Q408)</f>
        <v>1</v>
      </c>
      <c r="R409" s="33">
        <f>AVERAGE(R404:R408)</f>
        <v>99.916000000000011</v>
      </c>
      <c r="S409" s="41">
        <f>SUM(S404:S408)</f>
        <v>99.922203523837254</v>
      </c>
      <c r="U409" s="46"/>
      <c r="V409" s="52"/>
      <c r="W409" s="32"/>
      <c r="X409" s="33"/>
      <c r="Y409" s="58"/>
    </row>
    <row r="410" spans="1:25" ht="15" thickBot="1" x14ac:dyDescent="0.4">
      <c r="A410" s="10"/>
      <c r="B410" s="10"/>
      <c r="C410" s="10"/>
      <c r="D410" s="49">
        <f>SUM(D404:D409)</f>
        <v>1730388</v>
      </c>
      <c r="E410" s="50">
        <f>SUM(E404:E409)</f>
        <v>0.99999999999999989</v>
      </c>
      <c r="F410" s="51">
        <f>AVERAGE(F404:F409)</f>
        <v>99.918333333333337</v>
      </c>
      <c r="G410" s="26">
        <f>SUM(G404:G409)</f>
        <v>99.930908073796175</v>
      </c>
      <c r="I410" s="10"/>
      <c r="J410" s="49">
        <f>SUM(J404:J409)</f>
        <v>4463785.7624778748</v>
      </c>
      <c r="K410" s="50">
        <f>SUM(K404:K409)</f>
        <v>1</v>
      </c>
      <c r="L410" s="51">
        <f>AVERAGE(L404:L409)</f>
        <v>99.918333333333337</v>
      </c>
      <c r="M410" s="26">
        <f>SUM(M404:M409)</f>
        <v>99.925818323464611</v>
      </c>
      <c r="O410" s="34"/>
      <c r="P410" s="34"/>
      <c r="Q410" s="34"/>
      <c r="R410" s="36"/>
      <c r="S410" s="40"/>
      <c r="U410" s="42"/>
      <c r="V410" s="42"/>
      <c r="W410" s="42"/>
      <c r="X410" s="44"/>
      <c r="Y410" s="45"/>
    </row>
    <row r="411" spans="1:25" ht="15" thickTop="1" x14ac:dyDescent="0.35">
      <c r="A411" s="29" t="s">
        <v>215</v>
      </c>
      <c r="B411" s="28"/>
      <c r="C411" s="28"/>
      <c r="D411" s="28"/>
      <c r="E411" s="28"/>
      <c r="F411" s="28"/>
      <c r="G411" s="28"/>
      <c r="I411" s="28"/>
      <c r="J411" s="28"/>
      <c r="K411" s="28"/>
      <c r="L411" s="28"/>
      <c r="M411" s="28"/>
      <c r="O411" s="28"/>
      <c r="P411" s="28"/>
      <c r="Q411" s="28"/>
      <c r="R411" s="28"/>
      <c r="S411" s="28"/>
      <c r="U411" s="28"/>
      <c r="V411" s="28"/>
      <c r="W411" s="28"/>
      <c r="X411" s="28"/>
      <c r="Y411" s="28"/>
    </row>
    <row r="412" spans="1:25" x14ac:dyDescent="0.35">
      <c r="A412" s="20" t="s">
        <v>214</v>
      </c>
      <c r="B412" s="20"/>
      <c r="C412" s="56" t="s">
        <v>115</v>
      </c>
      <c r="D412" s="11"/>
      <c r="E412" s="11"/>
      <c r="F412" s="11"/>
      <c r="G412" s="30" t="s">
        <v>115</v>
      </c>
      <c r="I412" s="56" t="s">
        <v>115</v>
      </c>
      <c r="J412" s="11"/>
      <c r="K412" s="11"/>
      <c r="L412" s="11"/>
      <c r="M412" s="30" t="s">
        <v>115</v>
      </c>
      <c r="O412" s="55" t="s">
        <v>116</v>
      </c>
      <c r="P412" s="34"/>
      <c r="Q412" s="34"/>
      <c r="R412" s="34"/>
      <c r="S412" s="35" t="s">
        <v>116</v>
      </c>
      <c r="U412" s="57" t="s">
        <v>117</v>
      </c>
      <c r="V412" s="42"/>
      <c r="W412" s="42"/>
      <c r="X412" s="42"/>
      <c r="Y412" s="43" t="s">
        <v>117</v>
      </c>
    </row>
    <row r="413" spans="1:25" ht="15" thickBot="1" x14ac:dyDescent="0.4">
      <c r="A413" s="2"/>
      <c r="B413" s="2"/>
      <c r="C413" s="2"/>
      <c r="D413" s="18" t="s">
        <v>118</v>
      </c>
      <c r="E413" s="19" t="s">
        <v>119</v>
      </c>
      <c r="F413" s="18" t="s">
        <v>120</v>
      </c>
      <c r="G413" s="12" t="s">
        <v>121</v>
      </c>
      <c r="I413" s="2"/>
      <c r="J413" s="18" t="s">
        <v>118</v>
      </c>
      <c r="K413" s="19" t="s">
        <v>119</v>
      </c>
      <c r="L413" s="18" t="s">
        <v>120</v>
      </c>
      <c r="M413" s="12" t="s">
        <v>121</v>
      </c>
      <c r="O413" s="34"/>
      <c r="P413" s="18" t="s">
        <v>118</v>
      </c>
      <c r="Q413" s="19" t="s">
        <v>119</v>
      </c>
      <c r="R413" s="18" t="s">
        <v>120</v>
      </c>
      <c r="S413" s="39" t="s">
        <v>121</v>
      </c>
      <c r="U413" s="42"/>
      <c r="V413" s="18" t="s">
        <v>118</v>
      </c>
      <c r="W413" s="19" t="s">
        <v>119</v>
      </c>
      <c r="X413" s="18" t="s">
        <v>120</v>
      </c>
      <c r="Y413" s="47" t="s">
        <v>121</v>
      </c>
    </row>
    <row r="414" spans="1:25" ht="15" thickTop="1" x14ac:dyDescent="0.35">
      <c r="A414" s="22" t="s">
        <v>122</v>
      </c>
      <c r="B414" s="2"/>
      <c r="C414" s="21" t="s">
        <v>25</v>
      </c>
      <c r="D414" s="25">
        <v>1300279</v>
      </c>
      <c r="E414" s="14">
        <f>D414/D420</f>
        <v>0.75143782781665147</v>
      </c>
      <c r="F414">
        <v>99.96</v>
      </c>
      <c r="G414" s="15">
        <f t="shared" ref="G414:G419" si="168">E414*F414</f>
        <v>75.113725268552471</v>
      </c>
      <c r="I414" s="21" t="s">
        <v>25</v>
      </c>
      <c r="J414" s="52">
        <v>3496438.7152423859</v>
      </c>
      <c r="K414" s="14">
        <f>J414/J420</f>
        <v>0.78328999223777518</v>
      </c>
      <c r="L414">
        <v>99.96</v>
      </c>
      <c r="M414" s="15">
        <f t="shared" ref="M414:M419" si="169">K414*L414</f>
        <v>78.297667624088007</v>
      </c>
      <c r="O414" s="38" t="s">
        <v>25</v>
      </c>
      <c r="P414" s="13">
        <v>41781</v>
      </c>
      <c r="Q414" s="14">
        <f>P414/P419</f>
        <v>0.2294008158962505</v>
      </c>
      <c r="R414">
        <v>99.92</v>
      </c>
      <c r="S414" s="40">
        <f t="shared" ref="S414:S417" si="170">Q414*R414</f>
        <v>22.921729524353349</v>
      </c>
      <c r="U414" s="46" t="s">
        <v>25</v>
      </c>
      <c r="V414" s="52">
        <v>3288422000</v>
      </c>
      <c r="W414" s="14">
        <f>V414/V418</f>
        <v>0.71625656729301301</v>
      </c>
      <c r="X414">
        <v>99.96</v>
      </c>
      <c r="Y414" s="48">
        <f t="shared" ref="Y414:Y415" si="171">W414*X414</f>
        <v>71.597006466609571</v>
      </c>
    </row>
    <row r="415" spans="1:25" x14ac:dyDescent="0.35">
      <c r="A415" s="23">
        <v>1296790</v>
      </c>
      <c r="B415" s="2"/>
      <c r="C415" s="21" t="s">
        <v>29</v>
      </c>
      <c r="D415" s="13">
        <v>136552</v>
      </c>
      <c r="E415" s="14">
        <f>D415/D420</f>
        <v>7.8914093255385495E-2</v>
      </c>
      <c r="F415">
        <v>99.86</v>
      </c>
      <c r="G415" s="15">
        <f t="shared" si="168"/>
        <v>7.8803613524827956</v>
      </c>
      <c r="I415" s="21" t="s">
        <v>29</v>
      </c>
      <c r="J415" s="52">
        <v>578975.24116516113</v>
      </c>
      <c r="K415" s="14">
        <f>J415/J420</f>
        <v>0.12970497957853794</v>
      </c>
      <c r="L415">
        <v>99.86</v>
      </c>
      <c r="M415" s="15">
        <f t="shared" si="169"/>
        <v>12.952339260712799</v>
      </c>
      <c r="O415" s="38" t="s">
        <v>29</v>
      </c>
      <c r="P415" s="13">
        <v>35914</v>
      </c>
      <c r="Q415" s="14">
        <f>P415/P419</f>
        <v>0.19718773849591778</v>
      </c>
      <c r="R415">
        <v>99.86</v>
      </c>
      <c r="S415" s="40">
        <f t="shared" si="170"/>
        <v>19.691167566202349</v>
      </c>
      <c r="U415" s="46" t="s">
        <v>29</v>
      </c>
      <c r="V415" s="52">
        <v>22314000</v>
      </c>
      <c r="W415" s="14">
        <f>V415/V418</f>
        <v>4.860248788803959E-3</v>
      </c>
      <c r="X415">
        <v>99.87</v>
      </c>
      <c r="Y415" s="48">
        <f t="shared" si="171"/>
        <v>0.48539304653785142</v>
      </c>
    </row>
    <row r="416" spans="1:25" x14ac:dyDescent="0.35">
      <c r="A416" s="23">
        <v>12</v>
      </c>
      <c r="B416" s="2"/>
      <c r="C416" s="21" t="s">
        <v>30</v>
      </c>
      <c r="D416" s="13">
        <v>5937</v>
      </c>
      <c r="E416" s="14">
        <f>D416/D420</f>
        <v>3.4310224065354127E-3</v>
      </c>
      <c r="F416">
        <v>99.96</v>
      </c>
      <c r="G416" s="15">
        <f t="shared" si="168"/>
        <v>0.34296499975727984</v>
      </c>
      <c r="I416" s="21" t="s">
        <v>30</v>
      </c>
      <c r="J416" s="52">
        <v>8451.7200174331665</v>
      </c>
      <c r="K416" s="14">
        <f>J416/J420</f>
        <v>1.8933973239660062E-3</v>
      </c>
      <c r="L416">
        <v>99.96</v>
      </c>
      <c r="M416" s="15">
        <f t="shared" si="169"/>
        <v>0.18926399650364195</v>
      </c>
      <c r="O416" s="38" t="s">
        <v>30</v>
      </c>
      <c r="P416" s="13">
        <v>101703</v>
      </c>
      <c r="Q416" s="14">
        <f>P416/P419</f>
        <v>0.55840576288495647</v>
      </c>
      <c r="R416">
        <v>99.92</v>
      </c>
      <c r="S416" s="40">
        <f t="shared" si="170"/>
        <v>55.795903827464855</v>
      </c>
      <c r="U416" s="46" t="s">
        <v>31</v>
      </c>
      <c r="V416" s="52">
        <v>1277405000</v>
      </c>
      <c r="W416" s="14">
        <f>V416/V418</f>
        <v>0.278233669627235</v>
      </c>
      <c r="X416">
        <v>99.96</v>
      </c>
      <c r="Y416" s="48">
        <f>W416*X416</f>
        <v>27.812237615938407</v>
      </c>
    </row>
    <row r="417" spans="1:25" x14ac:dyDescent="0.35">
      <c r="A417" s="23">
        <v>3477</v>
      </c>
      <c r="B417" s="2"/>
      <c r="C417" s="21" t="s">
        <v>31</v>
      </c>
      <c r="D417" s="13">
        <v>201377</v>
      </c>
      <c r="E417" s="14">
        <f>D417/D420</f>
        <v>0.11637678948305236</v>
      </c>
      <c r="F417">
        <v>99.96</v>
      </c>
      <c r="G417" s="15">
        <f t="shared" si="168"/>
        <v>11.633023876725913</v>
      </c>
      <c r="I417" s="21" t="s">
        <v>31</v>
      </c>
      <c r="J417" s="52">
        <v>96060.402991294861</v>
      </c>
      <c r="K417" s="14">
        <f>J417/J420</f>
        <v>2.1519940271051707E-2</v>
      </c>
      <c r="L417">
        <v>99.96</v>
      </c>
      <c r="M417" s="15">
        <f t="shared" si="169"/>
        <v>2.1511332294943286</v>
      </c>
      <c r="O417" s="38" t="s">
        <v>31</v>
      </c>
      <c r="P417" s="13">
        <v>2432</v>
      </c>
      <c r="Q417" s="14">
        <f>P417/P419</f>
        <v>1.3353026118563012E-2</v>
      </c>
      <c r="R417">
        <v>99.92</v>
      </c>
      <c r="S417" s="40">
        <f t="shared" si="170"/>
        <v>1.3342343697668162</v>
      </c>
      <c r="U417" s="46" t="s">
        <v>33</v>
      </c>
      <c r="V417" s="52">
        <v>2982000</v>
      </c>
      <c r="W417" s="14">
        <f>V417/V418</f>
        <v>6.4951429094798816E-4</v>
      </c>
      <c r="X417">
        <v>99.95</v>
      </c>
      <c r="Y417" s="48">
        <f>W417*X417</f>
        <v>6.4918953380251415E-2</v>
      </c>
    </row>
    <row r="418" spans="1:25" ht="15" thickBot="1" x14ac:dyDescent="0.4">
      <c r="A418" s="24">
        <f>SUM(A415:A417)</f>
        <v>1300279</v>
      </c>
      <c r="B418" s="2"/>
      <c r="C418" s="21" t="s">
        <v>32</v>
      </c>
      <c r="D418" s="13">
        <v>171</v>
      </c>
      <c r="E418" s="14">
        <f>D418/D420</f>
        <v>9.8821767141242316E-5</v>
      </c>
      <c r="F418">
        <v>99.96</v>
      </c>
      <c r="G418" s="15">
        <f t="shared" si="168"/>
        <v>9.8782238434385813E-3</v>
      </c>
      <c r="I418" s="21" t="s">
        <v>32</v>
      </c>
      <c r="J418" s="52">
        <v>3954.8305130004883</v>
      </c>
      <c r="K418" s="14">
        <f>J418/J420</f>
        <v>8.8598125524849062E-4</v>
      </c>
      <c r="L418">
        <v>99.96</v>
      </c>
      <c r="M418" s="15">
        <f t="shared" si="169"/>
        <v>8.8562686274639119E-2</v>
      </c>
      <c r="O418" s="38" t="s">
        <v>33</v>
      </c>
      <c r="P418" s="13">
        <v>301</v>
      </c>
      <c r="Q418" s="14">
        <f>P418/P419</f>
        <v>1.6526566043122807E-3</v>
      </c>
      <c r="R418">
        <v>99.9</v>
      </c>
      <c r="S418" s="40">
        <f>Q418*R418</f>
        <v>0.16510039477079685</v>
      </c>
      <c r="U418" s="46"/>
      <c r="V418" s="52">
        <f>SUM(V414:V417)</f>
        <v>4591123000</v>
      </c>
      <c r="W418" s="14">
        <f>SUM(W414:W417)</f>
        <v>1</v>
      </c>
      <c r="X418">
        <f>AVERAGE(X414:X417)</f>
        <v>99.934999999999988</v>
      </c>
      <c r="Y418" s="48">
        <f>SUM(Y414:Y417)</f>
        <v>99.959556082466079</v>
      </c>
    </row>
    <row r="419" spans="1:25" ht="15.5" thickTop="1" thickBot="1" x14ac:dyDescent="0.4">
      <c r="B419" s="2"/>
      <c r="C419" s="21" t="s">
        <v>33</v>
      </c>
      <c r="D419" s="13">
        <v>86072</v>
      </c>
      <c r="E419" s="16">
        <f>D419/D420</f>
        <v>4.9741445271233968E-2</v>
      </c>
      <c r="F419">
        <v>99.93</v>
      </c>
      <c r="G419" s="15">
        <f t="shared" si="168"/>
        <v>4.9706626259544109</v>
      </c>
      <c r="I419" s="21" t="s">
        <v>33</v>
      </c>
      <c r="J419" s="52">
        <v>279904.85254859924</v>
      </c>
      <c r="K419" s="16">
        <f>J419/J420</f>
        <v>6.2705709333420692E-2</v>
      </c>
      <c r="L419">
        <v>99.93</v>
      </c>
      <c r="M419" s="15">
        <f t="shared" si="169"/>
        <v>6.2661815336887301</v>
      </c>
      <c r="O419" s="38"/>
      <c r="P419" s="31">
        <f>SUM(P414:P418)</f>
        <v>182131</v>
      </c>
      <c r="Q419" s="32">
        <f>SUM(Q414:Q418)</f>
        <v>1</v>
      </c>
      <c r="R419" s="33">
        <f>AVERAGE(R414:R418)</f>
        <v>99.903999999999996</v>
      </c>
      <c r="S419" s="41">
        <f>SUM(S414:S418)</f>
        <v>99.908135682558168</v>
      </c>
      <c r="U419" s="46"/>
      <c r="V419" s="52"/>
      <c r="W419" s="32"/>
      <c r="X419" s="33"/>
      <c r="Y419" s="58"/>
    </row>
    <row r="420" spans="1:25" ht="15" thickBot="1" x14ac:dyDescent="0.4">
      <c r="A420" s="10"/>
      <c r="B420" s="10"/>
      <c r="C420" s="10"/>
      <c r="D420" s="49">
        <f>SUM(D414:D419)</f>
        <v>1730388</v>
      </c>
      <c r="E420" s="50">
        <f>SUM(E414:E419)</f>
        <v>0.99999999999999989</v>
      </c>
      <c r="F420" s="51">
        <f>AVERAGE(F414:F419)</f>
        <v>99.938333333333318</v>
      </c>
      <c r="G420" s="26">
        <f>SUM(G414:G419)</f>
        <v>99.950616347316327</v>
      </c>
      <c r="I420" s="10"/>
      <c r="J420" s="49">
        <f>SUM(J414:J419)</f>
        <v>4463785.7624778748</v>
      </c>
      <c r="K420" s="50">
        <f>SUM(K414:K419)</f>
        <v>1</v>
      </c>
      <c r="L420" s="51">
        <f>AVERAGE(L414:L419)</f>
        <v>99.938333333333318</v>
      </c>
      <c r="M420" s="26">
        <f>SUM(M414:M419)</f>
        <v>99.945148330762152</v>
      </c>
      <c r="O420" s="34"/>
      <c r="P420" s="34"/>
      <c r="Q420" s="34"/>
      <c r="R420" s="36"/>
      <c r="S420" s="40"/>
      <c r="U420" s="42"/>
      <c r="V420" s="42"/>
      <c r="W420" s="42"/>
      <c r="X420" s="44"/>
      <c r="Y420" s="45"/>
    </row>
    <row r="421" spans="1:25" ht="15" thickTop="1" x14ac:dyDescent="0.35">
      <c r="A421" s="29" t="s">
        <v>216</v>
      </c>
      <c r="B421" s="28"/>
      <c r="C421" s="28"/>
      <c r="D421" s="28"/>
      <c r="E421" s="28"/>
      <c r="F421" s="28"/>
      <c r="G421" s="28"/>
      <c r="I421" s="28"/>
      <c r="J421" s="28"/>
      <c r="K421" s="28"/>
      <c r="L421" s="28"/>
      <c r="M421" s="28"/>
      <c r="O421" s="28"/>
      <c r="P421" s="28"/>
      <c r="Q421" s="28"/>
      <c r="R421" s="28"/>
      <c r="S421" s="28"/>
      <c r="U421" s="28"/>
      <c r="V421" s="28"/>
      <c r="W421" s="28"/>
      <c r="X421" s="28"/>
      <c r="Y421" s="28"/>
    </row>
    <row r="422" spans="1:25" x14ac:dyDescent="0.35">
      <c r="A422" s="20" t="s">
        <v>217</v>
      </c>
      <c r="B422" s="20"/>
      <c r="C422" s="56" t="s">
        <v>115</v>
      </c>
      <c r="D422" s="11"/>
      <c r="E422" s="11"/>
      <c r="F422" s="11"/>
      <c r="G422" s="30" t="s">
        <v>115</v>
      </c>
      <c r="I422" s="56" t="s">
        <v>115</v>
      </c>
      <c r="J422" s="11"/>
      <c r="K422" s="11"/>
      <c r="L422" s="11"/>
      <c r="M422" s="30" t="s">
        <v>115</v>
      </c>
      <c r="O422" s="55" t="s">
        <v>116</v>
      </c>
      <c r="P422" s="34"/>
      <c r="Q422" s="34"/>
      <c r="R422" s="34"/>
      <c r="S422" s="35" t="s">
        <v>116</v>
      </c>
      <c r="U422" s="57" t="s">
        <v>117</v>
      </c>
      <c r="V422" s="42"/>
      <c r="W422" s="42"/>
      <c r="X422" s="42"/>
      <c r="Y422" s="43" t="s">
        <v>117</v>
      </c>
    </row>
    <row r="423" spans="1:25" ht="15" thickBot="1" x14ac:dyDescent="0.4">
      <c r="A423" s="2"/>
      <c r="B423" s="2"/>
      <c r="C423" s="2"/>
      <c r="D423" s="18" t="s">
        <v>118</v>
      </c>
      <c r="E423" s="19" t="s">
        <v>119</v>
      </c>
      <c r="F423" s="18" t="s">
        <v>120</v>
      </c>
      <c r="G423" s="12" t="s">
        <v>121</v>
      </c>
      <c r="I423" s="2"/>
      <c r="J423" s="18" t="s">
        <v>118</v>
      </c>
      <c r="K423" s="19" t="s">
        <v>119</v>
      </c>
      <c r="L423" s="18" t="s">
        <v>120</v>
      </c>
      <c r="M423" s="12" t="s">
        <v>121</v>
      </c>
      <c r="O423" s="34"/>
      <c r="P423" s="18" t="s">
        <v>118</v>
      </c>
      <c r="Q423" s="19" t="s">
        <v>119</v>
      </c>
      <c r="R423" s="18" t="s">
        <v>120</v>
      </c>
      <c r="S423" s="39" t="s">
        <v>121</v>
      </c>
      <c r="U423" s="42"/>
      <c r="V423" s="18" t="s">
        <v>118</v>
      </c>
      <c r="W423" s="19" t="s">
        <v>119</v>
      </c>
      <c r="X423" s="18" t="s">
        <v>120</v>
      </c>
      <c r="Y423" s="47" t="s">
        <v>121</v>
      </c>
    </row>
    <row r="424" spans="1:25" ht="15" thickTop="1" x14ac:dyDescent="0.35">
      <c r="A424" s="22" t="s">
        <v>122</v>
      </c>
      <c r="B424" s="2"/>
      <c r="C424" s="21" t="s">
        <v>25</v>
      </c>
      <c r="D424" s="25">
        <v>1300437</v>
      </c>
      <c r="E424" s="14">
        <f>D424/D430</f>
        <v>0.75145835054846688</v>
      </c>
      <c r="F424">
        <v>99.94</v>
      </c>
      <c r="G424" s="15">
        <f t="shared" ref="G424:G429" si="172">E424*F424</f>
        <v>75.100747553813775</v>
      </c>
      <c r="I424" s="21" t="s">
        <v>25</v>
      </c>
      <c r="J424" s="52">
        <v>3452131.9602451324</v>
      </c>
      <c r="K424" s="14">
        <f>J424/J430</f>
        <v>0.7852037353528335</v>
      </c>
      <c r="L424">
        <v>99.94</v>
      </c>
      <c r="M424" s="15">
        <f t="shared" ref="M424:M429" si="173">K424*L424</f>
        <v>78.473261311162176</v>
      </c>
      <c r="O424" s="38" t="s">
        <v>25</v>
      </c>
      <c r="P424" s="13">
        <v>56381</v>
      </c>
      <c r="Q424" s="14">
        <f>P424/P429</f>
        <v>0.1900083914952701</v>
      </c>
      <c r="R424">
        <v>99.94</v>
      </c>
      <c r="S424" s="40">
        <f t="shared" ref="S424:S427" si="174">Q424*R424</f>
        <v>18.989438646037293</v>
      </c>
      <c r="U424" s="46" t="s">
        <v>25</v>
      </c>
      <c r="V424" s="52">
        <v>3383360000</v>
      </c>
      <c r="W424" s="14">
        <f>V424/V428</f>
        <v>0.71382607620564276</v>
      </c>
      <c r="X424">
        <v>99.94</v>
      </c>
      <c r="Y424" s="48">
        <f t="shared" ref="Y424:Y425" si="175">W424*X424</f>
        <v>71.339778055991943</v>
      </c>
    </row>
    <row r="425" spans="1:25" x14ac:dyDescent="0.35">
      <c r="A425" s="23">
        <v>1296948</v>
      </c>
      <c r="B425" s="2"/>
      <c r="C425" s="21" t="s">
        <v>29</v>
      </c>
      <c r="D425" s="13">
        <v>136901</v>
      </c>
      <c r="E425" s="14">
        <f>D425/D430</f>
        <v>7.9108330237016994E-2</v>
      </c>
      <c r="F425">
        <v>99.85</v>
      </c>
      <c r="G425" s="15">
        <f t="shared" si="172"/>
        <v>7.898966774166146</v>
      </c>
      <c r="I425" s="21" t="s">
        <v>29</v>
      </c>
      <c r="J425" s="52">
        <v>560686.50122451782</v>
      </c>
      <c r="K425" s="14">
        <f>J425/J430</f>
        <v>0.12753079551806604</v>
      </c>
      <c r="L425">
        <v>99.85</v>
      </c>
      <c r="M425" s="15">
        <f t="shared" si="173"/>
        <v>12.733949932478893</v>
      </c>
      <c r="O425" s="38" t="s">
        <v>29</v>
      </c>
      <c r="P425" s="13">
        <v>136870</v>
      </c>
      <c r="Q425" s="14">
        <f>P425/P429</f>
        <v>0.46126263358148345</v>
      </c>
      <c r="R425">
        <v>99.85</v>
      </c>
      <c r="S425" s="40">
        <f t="shared" si="174"/>
        <v>46.057073963111122</v>
      </c>
      <c r="U425" s="46" t="s">
        <v>29</v>
      </c>
      <c r="V425" s="52">
        <v>34120000</v>
      </c>
      <c r="W425" s="14">
        <f>V425/V428</f>
        <v>7.1986858389697017E-3</v>
      </c>
      <c r="X425">
        <v>99.85</v>
      </c>
      <c r="Y425" s="48">
        <f t="shared" si="175"/>
        <v>0.71878878102112465</v>
      </c>
    </row>
    <row r="426" spans="1:25" x14ac:dyDescent="0.35">
      <c r="A426" s="23">
        <v>12</v>
      </c>
      <c r="B426" s="2"/>
      <c r="C426" s="21" t="s">
        <v>30</v>
      </c>
      <c r="D426" s="13">
        <v>5956</v>
      </c>
      <c r="E426" s="14">
        <f>D426/D430</f>
        <v>3.4416784018500464E-3</v>
      </c>
      <c r="F426">
        <v>99.94</v>
      </c>
      <c r="G426" s="15">
        <f t="shared" si="172"/>
        <v>0.34396133948089364</v>
      </c>
      <c r="I426" s="21" t="s">
        <v>30</v>
      </c>
      <c r="J426" s="52">
        <v>9104.6982231140137</v>
      </c>
      <c r="K426" s="14">
        <f>J426/J430</f>
        <v>2.070906656054302E-3</v>
      </c>
      <c r="L426">
        <v>99.94</v>
      </c>
      <c r="M426" s="15">
        <f t="shared" si="173"/>
        <v>0.20696641120606693</v>
      </c>
      <c r="O426" s="38" t="s">
        <v>30</v>
      </c>
      <c r="P426" s="13">
        <v>100306</v>
      </c>
      <c r="Q426" s="14">
        <f>P426/P429</f>
        <v>0.33803908616953515</v>
      </c>
      <c r="R426">
        <v>99.94</v>
      </c>
      <c r="S426" s="40">
        <f t="shared" si="174"/>
        <v>33.783626271783341</v>
      </c>
      <c r="U426" s="46" t="s">
        <v>31</v>
      </c>
      <c r="V426" s="52">
        <v>1320037000</v>
      </c>
      <c r="W426" s="14">
        <f>V426/V428</f>
        <v>0.27850327253270951</v>
      </c>
      <c r="X426">
        <v>99.94</v>
      </c>
      <c r="Y426" s="48">
        <f>W426*X426</f>
        <v>27.833617056918989</v>
      </c>
    </row>
    <row r="427" spans="1:25" x14ac:dyDescent="0.35">
      <c r="A427" s="23">
        <v>3477</v>
      </c>
      <c r="B427" s="2"/>
      <c r="C427" s="21" t="s">
        <v>31</v>
      </c>
      <c r="D427" s="13">
        <v>201213</v>
      </c>
      <c r="E427" s="14">
        <f>D427/D430</f>
        <v>0.11627106048882697</v>
      </c>
      <c r="F427">
        <v>99.94</v>
      </c>
      <c r="G427" s="15">
        <f t="shared" si="172"/>
        <v>11.620129785253367</v>
      </c>
      <c r="I427" s="21" t="s">
        <v>31</v>
      </c>
      <c r="J427" s="52">
        <v>93985.719736099243</v>
      </c>
      <c r="K427" s="14">
        <f>J427/J430</f>
        <v>2.1377496299813909E-2</v>
      </c>
      <c r="L427">
        <v>99.94</v>
      </c>
      <c r="M427" s="15">
        <f t="shared" si="173"/>
        <v>2.136466980203402</v>
      </c>
      <c r="O427" s="38" t="s">
        <v>31</v>
      </c>
      <c r="P427" s="13">
        <v>2840</v>
      </c>
      <c r="Q427" s="14">
        <f>P427/P429</f>
        <v>9.5710227176986403E-3</v>
      </c>
      <c r="R427">
        <v>99.94</v>
      </c>
      <c r="S427" s="40">
        <f t="shared" si="174"/>
        <v>0.95652801040680213</v>
      </c>
      <c r="U427" s="46" t="s">
        <v>33</v>
      </c>
      <c r="V427" s="52">
        <v>2237000</v>
      </c>
      <c r="W427" s="14">
        <f>V427/V428</f>
        <v>4.7196542267805458E-4</v>
      </c>
      <c r="X427">
        <v>99.91</v>
      </c>
      <c r="Y427" s="48">
        <f t="shared" ref="Y427" si="176">W427*X427</f>
        <v>4.715406537976443E-2</v>
      </c>
    </row>
    <row r="428" spans="1:25" ht="15" thickBot="1" x14ac:dyDescent="0.4">
      <c r="A428" s="24">
        <f>SUM(A425:A427)</f>
        <v>1300437</v>
      </c>
      <c r="B428" s="2"/>
      <c r="C428" s="21" t="s">
        <v>32</v>
      </c>
      <c r="D428" s="13">
        <v>170</v>
      </c>
      <c r="E428" s="14">
        <f>D428/D430</f>
        <v>9.8234608514860295E-5</v>
      </c>
      <c r="F428">
        <v>99.94</v>
      </c>
      <c r="G428" s="15">
        <f t="shared" si="172"/>
        <v>9.8175667749751377E-3</v>
      </c>
      <c r="I428" s="21" t="s">
        <v>32</v>
      </c>
      <c r="J428" s="52">
        <v>257.41759014129639</v>
      </c>
      <c r="K428" s="14">
        <f>J428/J430</f>
        <v>5.8550847896937849E-5</v>
      </c>
      <c r="L428">
        <v>99.94</v>
      </c>
      <c r="M428" s="15">
        <f t="shared" si="173"/>
        <v>5.8515717388199686E-3</v>
      </c>
      <c r="O428" s="38" t="s">
        <v>33</v>
      </c>
      <c r="P428" s="13">
        <v>332</v>
      </c>
      <c r="Q428" s="14">
        <f>P428/P429</f>
        <v>1.118866036012658E-3</v>
      </c>
      <c r="R428">
        <v>99.91</v>
      </c>
      <c r="S428" s="40">
        <f>Q428*R428</f>
        <v>0.11178590565802465</v>
      </c>
      <c r="U428" s="46"/>
      <c r="V428" s="52">
        <f>SUM(V424:V427)</f>
        <v>4739754000</v>
      </c>
      <c r="W428" s="14">
        <f>SUM(W424:W427)</f>
        <v>0.99999999999999989</v>
      </c>
      <c r="X428">
        <f>AVERAGE(X424:X427)</f>
        <v>99.91</v>
      </c>
      <c r="Y428" s="48">
        <f>SUM(Y424:Y427)</f>
        <v>99.9393379593118</v>
      </c>
    </row>
    <row r="429" spans="1:25" ht="15.5" thickTop="1" thickBot="1" x14ac:dyDescent="0.4">
      <c r="B429" s="2"/>
      <c r="C429" s="21" t="s">
        <v>33</v>
      </c>
      <c r="D429" s="13">
        <v>85874</v>
      </c>
      <c r="E429" s="16">
        <f>D429/D430</f>
        <v>4.9622345715324194E-2</v>
      </c>
      <c r="F429">
        <v>99.9</v>
      </c>
      <c r="G429" s="15">
        <f t="shared" si="172"/>
        <v>4.9572723369608873</v>
      </c>
      <c r="I429" s="21" t="s">
        <v>33</v>
      </c>
      <c r="J429" s="52">
        <v>280312.99213504791</v>
      </c>
      <c r="K429" s="16">
        <f>J429/J430</f>
        <v>6.3758515325335302E-2</v>
      </c>
      <c r="L429">
        <v>99.9</v>
      </c>
      <c r="M429" s="15">
        <f t="shared" si="173"/>
        <v>6.3694756810009974</v>
      </c>
      <c r="O429" s="38"/>
      <c r="P429" s="31">
        <f>SUM(P424:P428)</f>
        <v>296729</v>
      </c>
      <c r="Q429" s="32">
        <f>SUM(Q424:Q428)</f>
        <v>0.99999999999999989</v>
      </c>
      <c r="R429" s="33">
        <f>AVERAGE(R424:R428)</f>
        <v>99.916000000000011</v>
      </c>
      <c r="S429" s="41">
        <f>SUM(S424:S428)</f>
        <v>99.898452796996565</v>
      </c>
      <c r="U429" s="46"/>
      <c r="V429" s="52"/>
      <c r="W429" s="32"/>
      <c r="X429" s="33"/>
      <c r="Y429" s="58"/>
    </row>
    <row r="430" spans="1:25" ht="15" thickBot="1" x14ac:dyDescent="0.4">
      <c r="A430" s="10"/>
      <c r="B430" s="10"/>
      <c r="C430" s="10"/>
      <c r="D430" s="49">
        <f>SUM(D424:D429)</f>
        <v>1730551</v>
      </c>
      <c r="E430" s="50">
        <f>SUM(E424:E429)</f>
        <v>1</v>
      </c>
      <c r="F430" s="51">
        <f>AVERAGE(F424:F429)</f>
        <v>99.918333333333337</v>
      </c>
      <c r="G430" s="26">
        <f>SUM(G424:G429)</f>
        <v>99.930895356450037</v>
      </c>
      <c r="I430" s="10"/>
      <c r="J430" s="49">
        <f>SUM(J424:J429)</f>
        <v>4396479.2891540527</v>
      </c>
      <c r="K430" s="50">
        <f>SUM(K424:K429)</f>
        <v>0.99999999999999989</v>
      </c>
      <c r="L430" s="51">
        <f>AVERAGE(L424:L429)</f>
        <v>99.918333333333337</v>
      </c>
      <c r="M430" s="26">
        <f>SUM(M424:M429)</f>
        <v>99.925971887790354</v>
      </c>
      <c r="O430" s="34"/>
      <c r="P430" s="34"/>
      <c r="Q430" s="34"/>
      <c r="R430" s="36"/>
      <c r="S430" s="40"/>
      <c r="U430" s="42"/>
      <c r="V430" s="42"/>
      <c r="W430" s="42"/>
      <c r="X430" s="44"/>
      <c r="Y430" s="45"/>
    </row>
    <row r="431" spans="1:25" ht="15" thickTop="1" x14ac:dyDescent="0.35">
      <c r="A431" s="29" t="s">
        <v>218</v>
      </c>
      <c r="B431" s="28"/>
      <c r="C431" s="28"/>
      <c r="D431" s="28"/>
      <c r="E431" s="28"/>
      <c r="F431" s="28"/>
      <c r="G431" s="28"/>
      <c r="I431" s="28"/>
      <c r="J431" s="28"/>
      <c r="K431" s="28"/>
      <c r="L431" s="28"/>
      <c r="M431" s="28"/>
      <c r="O431" s="28"/>
      <c r="P431" s="28"/>
      <c r="Q431" s="28"/>
      <c r="R431" s="28"/>
      <c r="S431" s="28"/>
      <c r="U431" s="28"/>
      <c r="V431" s="28"/>
      <c r="W431" s="28"/>
      <c r="X431" s="28"/>
      <c r="Y431" s="28"/>
    </row>
    <row r="432" spans="1:25" x14ac:dyDescent="0.35">
      <c r="A432" s="20" t="s">
        <v>217</v>
      </c>
      <c r="B432" s="20"/>
      <c r="C432" s="56" t="s">
        <v>115</v>
      </c>
      <c r="D432" s="11"/>
      <c r="E432" s="11"/>
      <c r="F432" s="11"/>
      <c r="G432" s="30" t="s">
        <v>115</v>
      </c>
      <c r="I432" s="56" t="s">
        <v>115</v>
      </c>
      <c r="J432" s="11"/>
      <c r="K432" s="11"/>
      <c r="L432" s="11"/>
      <c r="M432" s="30" t="s">
        <v>115</v>
      </c>
      <c r="O432" s="55" t="s">
        <v>116</v>
      </c>
      <c r="P432" s="34"/>
      <c r="Q432" s="34"/>
      <c r="R432" s="34"/>
      <c r="S432" s="35" t="s">
        <v>116</v>
      </c>
      <c r="U432" s="57" t="s">
        <v>117</v>
      </c>
      <c r="V432" s="42"/>
      <c r="W432" s="42"/>
      <c r="X432" s="42"/>
      <c r="Y432" s="43" t="s">
        <v>117</v>
      </c>
    </row>
    <row r="433" spans="1:25" ht="15" thickBot="1" x14ac:dyDescent="0.4">
      <c r="A433" s="2"/>
      <c r="B433" s="2"/>
      <c r="C433" s="2"/>
      <c r="D433" s="18" t="s">
        <v>118</v>
      </c>
      <c r="E433" s="19" t="s">
        <v>119</v>
      </c>
      <c r="F433" s="18" t="s">
        <v>120</v>
      </c>
      <c r="G433" s="12" t="s">
        <v>121</v>
      </c>
      <c r="I433" s="2"/>
      <c r="J433" s="18" t="s">
        <v>118</v>
      </c>
      <c r="K433" s="19" t="s">
        <v>119</v>
      </c>
      <c r="L433" s="18" t="s">
        <v>120</v>
      </c>
      <c r="M433" s="12" t="s">
        <v>121</v>
      </c>
      <c r="O433" s="34"/>
      <c r="P433" s="18" t="s">
        <v>118</v>
      </c>
      <c r="Q433" s="19" t="s">
        <v>119</v>
      </c>
      <c r="R433" s="18" t="s">
        <v>120</v>
      </c>
      <c r="S433" s="39" t="s">
        <v>121</v>
      </c>
      <c r="U433" s="42"/>
      <c r="V433" s="18" t="s">
        <v>118</v>
      </c>
      <c r="W433" s="19" t="s">
        <v>119</v>
      </c>
      <c r="X433" s="18" t="s">
        <v>120</v>
      </c>
      <c r="Y433" s="47" t="s">
        <v>121</v>
      </c>
    </row>
    <row r="434" spans="1:25" ht="15" thickTop="1" x14ac:dyDescent="0.35">
      <c r="A434" s="22" t="s">
        <v>122</v>
      </c>
      <c r="B434" s="2"/>
      <c r="C434" s="21" t="s">
        <v>25</v>
      </c>
      <c r="D434" s="25">
        <v>1300437</v>
      </c>
      <c r="E434" s="14">
        <f>D434/D440</f>
        <v>0.75145835054846688</v>
      </c>
      <c r="F434">
        <v>99.96</v>
      </c>
      <c r="G434" s="15">
        <f t="shared" ref="G434:G439" si="177">E434*F434</f>
        <v>75.115776720824741</v>
      </c>
      <c r="I434" s="21" t="s">
        <v>25</v>
      </c>
      <c r="J434" s="52">
        <v>3452131.9602451324</v>
      </c>
      <c r="K434" s="14">
        <f>J434/J440</f>
        <v>0.7852037353528335</v>
      </c>
      <c r="L434">
        <v>99.96</v>
      </c>
      <c r="M434" s="15">
        <f t="shared" ref="M434:M439" si="178">K434*L434</f>
        <v>78.488965385869236</v>
      </c>
      <c r="O434" s="38" t="s">
        <v>25</v>
      </c>
      <c r="P434" s="13">
        <v>56381</v>
      </c>
      <c r="Q434" s="14">
        <f>P434/P439</f>
        <v>0.1900083914952701</v>
      </c>
      <c r="R434">
        <v>99.92</v>
      </c>
      <c r="S434" s="40">
        <f t="shared" ref="S434:S437" si="179">Q434*R434</f>
        <v>18.985638478207388</v>
      </c>
      <c r="U434" s="46" t="s">
        <v>25</v>
      </c>
      <c r="V434" s="52">
        <v>3383360000</v>
      </c>
      <c r="W434" s="14">
        <f>V434/V438</f>
        <v>0.71382607620564276</v>
      </c>
      <c r="X434">
        <v>99.96</v>
      </c>
      <c r="Y434" s="48">
        <f t="shared" ref="Y434:Y435" si="180">W434*X434</f>
        <v>71.354054577516052</v>
      </c>
    </row>
    <row r="435" spans="1:25" x14ac:dyDescent="0.35">
      <c r="A435" s="23">
        <v>1296948</v>
      </c>
      <c r="B435" s="2"/>
      <c r="C435" s="21" t="s">
        <v>29</v>
      </c>
      <c r="D435" s="13">
        <v>136901</v>
      </c>
      <c r="E435" s="14">
        <f>D435/D440</f>
        <v>7.9108330237016994E-2</v>
      </c>
      <c r="F435">
        <v>99.86</v>
      </c>
      <c r="G435" s="15">
        <f t="shared" si="177"/>
        <v>7.8997578574685168</v>
      </c>
      <c r="I435" s="21" t="s">
        <v>29</v>
      </c>
      <c r="J435" s="52">
        <v>560686.50122451782</v>
      </c>
      <c r="K435" s="14">
        <f>J435/J440</f>
        <v>0.12753079551806604</v>
      </c>
      <c r="L435">
        <v>99.86</v>
      </c>
      <c r="M435" s="15">
        <f t="shared" si="178"/>
        <v>12.735225240434074</v>
      </c>
      <c r="O435" s="38" t="s">
        <v>29</v>
      </c>
      <c r="P435" s="13">
        <v>136870</v>
      </c>
      <c r="Q435" s="14">
        <f>P435/P439</f>
        <v>0.46126263358148345</v>
      </c>
      <c r="R435">
        <v>99.86</v>
      </c>
      <c r="S435" s="40">
        <f t="shared" si="179"/>
        <v>46.061686589446936</v>
      </c>
      <c r="U435" s="46" t="s">
        <v>29</v>
      </c>
      <c r="V435" s="52">
        <v>34120000</v>
      </c>
      <c r="W435" s="14">
        <f>V435/V438</f>
        <v>7.1986858389697017E-3</v>
      </c>
      <c r="X435">
        <v>99.87</v>
      </c>
      <c r="Y435" s="48">
        <f t="shared" si="180"/>
        <v>0.71893275473790419</v>
      </c>
    </row>
    <row r="436" spans="1:25" x14ac:dyDescent="0.35">
      <c r="A436" s="23">
        <v>12</v>
      </c>
      <c r="B436" s="2"/>
      <c r="C436" s="21" t="s">
        <v>30</v>
      </c>
      <c r="D436" s="13">
        <v>5956</v>
      </c>
      <c r="E436" s="14">
        <f>D436/D440</f>
        <v>3.4416784018500464E-3</v>
      </c>
      <c r="F436">
        <v>99.96</v>
      </c>
      <c r="G436" s="15">
        <f t="shared" si="177"/>
        <v>0.34403017304893063</v>
      </c>
      <c r="I436" s="21" t="s">
        <v>30</v>
      </c>
      <c r="J436" s="52">
        <v>9104.6982231140137</v>
      </c>
      <c r="K436" s="14">
        <f>J436/J440</f>
        <v>2.070906656054302E-3</v>
      </c>
      <c r="L436">
        <v>99.96</v>
      </c>
      <c r="M436" s="15">
        <f t="shared" si="178"/>
        <v>0.20700782933918802</v>
      </c>
      <c r="O436" s="38" t="s">
        <v>30</v>
      </c>
      <c r="P436" s="13">
        <v>100306</v>
      </c>
      <c r="Q436" s="14">
        <f>P436/P439</f>
        <v>0.33803908616953515</v>
      </c>
      <c r="R436">
        <v>99.92</v>
      </c>
      <c r="S436" s="40">
        <f t="shared" si="179"/>
        <v>33.776865490059954</v>
      </c>
      <c r="U436" s="46" t="s">
        <v>31</v>
      </c>
      <c r="V436" s="52">
        <v>1320037000</v>
      </c>
      <c r="W436" s="14">
        <f>V436/V438</f>
        <v>0.27850327253270951</v>
      </c>
      <c r="X436">
        <v>99.96</v>
      </c>
      <c r="Y436" s="48">
        <f>W436*X436</f>
        <v>27.839187122369641</v>
      </c>
    </row>
    <row r="437" spans="1:25" x14ac:dyDescent="0.35">
      <c r="A437" s="23">
        <v>3477</v>
      </c>
      <c r="B437" s="2"/>
      <c r="C437" s="21" t="s">
        <v>31</v>
      </c>
      <c r="D437" s="13">
        <v>201213</v>
      </c>
      <c r="E437" s="14">
        <f>D437/D440</f>
        <v>0.11627106048882697</v>
      </c>
      <c r="F437">
        <v>99.96</v>
      </c>
      <c r="G437" s="15">
        <f t="shared" si="177"/>
        <v>11.622455206463144</v>
      </c>
      <c r="I437" s="21" t="s">
        <v>31</v>
      </c>
      <c r="J437" s="52">
        <v>93985.719736099243</v>
      </c>
      <c r="K437" s="14">
        <f>J437/J440</f>
        <v>2.1377496299813909E-2</v>
      </c>
      <c r="L437">
        <v>99.96</v>
      </c>
      <c r="M437" s="15">
        <f t="shared" si="178"/>
        <v>2.136894530129398</v>
      </c>
      <c r="O437" s="38" t="s">
        <v>31</v>
      </c>
      <c r="P437" s="13">
        <v>2840</v>
      </c>
      <c r="Q437" s="14">
        <f>P437/P439</f>
        <v>9.5710227176986403E-3</v>
      </c>
      <c r="R437">
        <v>99.92</v>
      </c>
      <c r="S437" s="40">
        <f t="shared" si="179"/>
        <v>0.95633658995244819</v>
      </c>
      <c r="U437" s="46" t="s">
        <v>33</v>
      </c>
      <c r="V437" s="52">
        <v>2237000</v>
      </c>
      <c r="W437" s="14">
        <f>V437/V438</f>
        <v>4.7196542267805458E-4</v>
      </c>
      <c r="X437">
        <v>99.95</v>
      </c>
      <c r="Y437" s="48">
        <f>W437*X437</f>
        <v>4.717294399667156E-2</v>
      </c>
    </row>
    <row r="438" spans="1:25" ht="15" thickBot="1" x14ac:dyDescent="0.4">
      <c r="A438" s="24">
        <f>SUM(A435:A437)</f>
        <v>1300437</v>
      </c>
      <c r="B438" s="2"/>
      <c r="C438" s="21" t="s">
        <v>32</v>
      </c>
      <c r="D438" s="13">
        <v>170</v>
      </c>
      <c r="E438" s="14">
        <f>D438/D440</f>
        <v>9.8234608514860295E-5</v>
      </c>
      <c r="F438">
        <v>99.96</v>
      </c>
      <c r="G438" s="15">
        <f t="shared" si="177"/>
        <v>9.8195314671454346E-3</v>
      </c>
      <c r="I438" s="21" t="s">
        <v>32</v>
      </c>
      <c r="J438" s="52">
        <v>257.41759014129639</v>
      </c>
      <c r="K438" s="14">
        <f>J438/J440</f>
        <v>5.8550847896937849E-5</v>
      </c>
      <c r="L438">
        <v>99.96</v>
      </c>
      <c r="M438" s="15">
        <f t="shared" si="178"/>
        <v>5.8527427557779066E-3</v>
      </c>
      <c r="O438" s="38" t="s">
        <v>33</v>
      </c>
      <c r="P438" s="13">
        <v>332</v>
      </c>
      <c r="Q438" s="14">
        <f>P438/P439</f>
        <v>1.118866036012658E-3</v>
      </c>
      <c r="R438">
        <v>99.9</v>
      </c>
      <c r="S438" s="40">
        <f>Q438*R438</f>
        <v>0.11177471699766453</v>
      </c>
      <c r="U438" s="46"/>
      <c r="V438" s="52">
        <f>SUM(V434:V437)</f>
        <v>4739754000</v>
      </c>
      <c r="W438" s="14">
        <f>SUM(W434:W437)</f>
        <v>0.99999999999999989</v>
      </c>
      <c r="X438">
        <f>AVERAGE(X434:X437)</f>
        <v>99.934999999999988</v>
      </c>
      <c r="Y438" s="48">
        <f>SUM(Y434:Y437)</f>
        <v>99.959347398620267</v>
      </c>
    </row>
    <row r="439" spans="1:25" ht="15.5" thickTop="1" thickBot="1" x14ac:dyDescent="0.4">
      <c r="B439" s="2"/>
      <c r="C439" s="21" t="s">
        <v>33</v>
      </c>
      <c r="D439" s="13">
        <v>85874</v>
      </c>
      <c r="E439" s="16">
        <f>D439/D440</f>
        <v>4.9622345715324194E-2</v>
      </c>
      <c r="F439">
        <v>99.93</v>
      </c>
      <c r="G439" s="15">
        <f t="shared" si="177"/>
        <v>4.9587610073323471</v>
      </c>
      <c r="I439" s="21" t="s">
        <v>33</v>
      </c>
      <c r="J439" s="52">
        <v>280312.99213504791</v>
      </c>
      <c r="K439" s="16">
        <f>J439/J440</f>
        <v>6.3758515325335302E-2</v>
      </c>
      <c r="L439">
        <v>99.93</v>
      </c>
      <c r="M439" s="15">
        <f t="shared" si="178"/>
        <v>6.3713884364607569</v>
      </c>
      <c r="O439" s="38"/>
      <c r="P439" s="31">
        <f>SUM(P434:P438)</f>
        <v>296729</v>
      </c>
      <c r="Q439" s="32">
        <f>SUM(Q434:Q438)</f>
        <v>0.99999999999999989</v>
      </c>
      <c r="R439" s="33">
        <f>AVERAGE(R434:R438)</f>
        <v>99.903999999999996</v>
      </c>
      <c r="S439" s="41">
        <f>SUM(S434:S438)</f>
        <v>99.892301864664375</v>
      </c>
      <c r="U439" s="46"/>
      <c r="V439" s="52"/>
      <c r="W439" s="32"/>
      <c r="X439" s="33"/>
      <c r="Y439" s="58"/>
    </row>
    <row r="440" spans="1:25" ht="15" thickBot="1" x14ac:dyDescent="0.4">
      <c r="A440" s="10"/>
      <c r="B440" s="10"/>
      <c r="C440" s="10"/>
      <c r="D440" s="49">
        <f>SUM(D434:D439)</f>
        <v>1730551</v>
      </c>
      <c r="E440" s="50">
        <f>SUM(E434:E439)</f>
        <v>1</v>
      </c>
      <c r="F440" s="51">
        <f>AVERAGE(F434:F439)</f>
        <v>99.938333333333318</v>
      </c>
      <c r="G440" s="26">
        <f>SUM(G434:G439)</f>
        <v>99.950600496604821</v>
      </c>
      <c r="I440" s="10"/>
      <c r="J440" s="49">
        <f>SUM(J434:J439)</f>
        <v>4396479.2891540527</v>
      </c>
      <c r="K440" s="50">
        <f>SUM(K434:K439)</f>
        <v>0.99999999999999989</v>
      </c>
      <c r="L440" s="51">
        <f>AVERAGE(L434:L439)</f>
        <v>99.938333333333318</v>
      </c>
      <c r="M440" s="26">
        <f>SUM(M434:M439)</f>
        <v>99.945334164988438</v>
      </c>
      <c r="O440" s="34"/>
      <c r="P440" s="34"/>
      <c r="Q440" s="34"/>
      <c r="R440" s="36"/>
      <c r="S440" s="40"/>
      <c r="U440" s="42"/>
      <c r="V440" s="42"/>
      <c r="W440" s="42"/>
      <c r="X440" s="44"/>
      <c r="Y440" s="45"/>
    </row>
    <row r="441" spans="1:25" ht="15" thickTop="1" x14ac:dyDescent="0.35">
      <c r="A441" s="29" t="s">
        <v>219</v>
      </c>
      <c r="B441" s="28"/>
      <c r="C441" s="28"/>
      <c r="D441" s="28"/>
      <c r="E441" s="28"/>
      <c r="F441" s="28"/>
      <c r="G441" s="28"/>
      <c r="I441" s="28"/>
      <c r="J441" s="28"/>
      <c r="K441" s="28"/>
      <c r="L441" s="28"/>
      <c r="M441" s="28"/>
      <c r="O441" s="28"/>
      <c r="P441" s="28"/>
      <c r="Q441" s="28"/>
      <c r="R441" s="28"/>
      <c r="S441" s="28"/>
      <c r="U441" s="28"/>
      <c r="V441" s="28"/>
      <c r="W441" s="28"/>
      <c r="X441" s="28"/>
      <c r="Y441" s="28"/>
    </row>
    <row r="442" spans="1:25" x14ac:dyDescent="0.35">
      <c r="A442" s="20" t="s">
        <v>220</v>
      </c>
      <c r="B442" s="20"/>
      <c r="C442" s="56" t="s">
        <v>115</v>
      </c>
      <c r="D442" s="11"/>
      <c r="E442" s="11"/>
      <c r="F442" s="11"/>
      <c r="G442" s="30" t="s">
        <v>115</v>
      </c>
      <c r="I442" s="56" t="s">
        <v>115</v>
      </c>
      <c r="J442" s="11"/>
      <c r="K442" s="11"/>
      <c r="L442" s="11"/>
      <c r="M442" s="30" t="s">
        <v>115</v>
      </c>
      <c r="O442" s="55" t="s">
        <v>116</v>
      </c>
      <c r="P442" s="34"/>
      <c r="Q442" s="34"/>
      <c r="R442" s="34"/>
      <c r="S442" s="35" t="s">
        <v>116</v>
      </c>
      <c r="U442" s="57" t="s">
        <v>117</v>
      </c>
      <c r="V442" s="42"/>
      <c r="W442" s="42"/>
      <c r="X442" s="42"/>
      <c r="Y442" s="43" t="s">
        <v>117</v>
      </c>
    </row>
    <row r="443" spans="1:25" ht="15" thickBot="1" x14ac:dyDescent="0.4">
      <c r="A443" s="2"/>
      <c r="B443" s="2"/>
      <c r="C443" s="2"/>
      <c r="D443" s="18" t="s">
        <v>118</v>
      </c>
      <c r="E443" s="19" t="s">
        <v>119</v>
      </c>
      <c r="F443" s="18" t="s">
        <v>120</v>
      </c>
      <c r="G443" s="12" t="s">
        <v>121</v>
      </c>
      <c r="I443" s="2"/>
      <c r="J443" s="18" t="s">
        <v>118</v>
      </c>
      <c r="K443" s="19" t="s">
        <v>119</v>
      </c>
      <c r="L443" s="18" t="s">
        <v>120</v>
      </c>
      <c r="M443" s="12" t="s">
        <v>121</v>
      </c>
      <c r="O443" s="34"/>
      <c r="P443" s="18" t="s">
        <v>118</v>
      </c>
      <c r="Q443" s="19" t="s">
        <v>119</v>
      </c>
      <c r="R443" s="18" t="s">
        <v>120</v>
      </c>
      <c r="S443" s="39" t="s">
        <v>121</v>
      </c>
      <c r="U443" s="42"/>
      <c r="V443" s="18" t="s">
        <v>118</v>
      </c>
      <c r="W443" s="19" t="s">
        <v>119</v>
      </c>
      <c r="X443" s="18" t="s">
        <v>120</v>
      </c>
      <c r="Y443" s="47" t="s">
        <v>121</v>
      </c>
    </row>
    <row r="444" spans="1:25" ht="15" thickTop="1" x14ac:dyDescent="0.35">
      <c r="A444" s="22" t="s">
        <v>122</v>
      </c>
      <c r="B444" s="2"/>
      <c r="C444" s="21" t="s">
        <v>25</v>
      </c>
      <c r="D444" s="25">
        <v>1301245</v>
      </c>
      <c r="E444" s="14">
        <f>D444/D450</f>
        <v>0.75316562298684786</v>
      </c>
      <c r="F444">
        <v>99.94</v>
      </c>
      <c r="G444" s="15">
        <f t="shared" ref="G444:G449" si="181">E444*F444</f>
        <v>75.271372361305581</v>
      </c>
      <c r="I444" s="21" t="s">
        <v>25</v>
      </c>
      <c r="J444" s="52">
        <v>3356226.6887178421</v>
      </c>
      <c r="K444" s="14">
        <f>J444/J450</f>
        <v>0.77972659383562559</v>
      </c>
      <c r="L444">
        <v>99.94</v>
      </c>
      <c r="M444" s="15">
        <f t="shared" ref="M444:M449" si="182">K444*L444</f>
        <v>77.925875787932426</v>
      </c>
      <c r="O444" s="38" t="s">
        <v>25</v>
      </c>
      <c r="P444" s="13">
        <v>51054</v>
      </c>
      <c r="Q444" s="14">
        <f>P444/P449</f>
        <v>0.24312238979394551</v>
      </c>
      <c r="R444">
        <v>99.94</v>
      </c>
      <c r="S444" s="40">
        <f t="shared" ref="S444:S447" si="183">Q444*R444</f>
        <v>24.297651636006915</v>
      </c>
      <c r="U444" s="46" t="s">
        <v>25</v>
      </c>
      <c r="V444" s="52">
        <v>3926249000</v>
      </c>
      <c r="W444" s="14">
        <f>V444/V448</f>
        <v>0.74388996431790322</v>
      </c>
      <c r="X444">
        <v>99.94</v>
      </c>
      <c r="Y444" s="48">
        <f t="shared" ref="Y444:Y445" si="184">W444*X444</f>
        <v>74.344363033931245</v>
      </c>
    </row>
    <row r="445" spans="1:25" x14ac:dyDescent="0.35">
      <c r="A445" s="23">
        <v>1297756</v>
      </c>
      <c r="B445" s="2"/>
      <c r="C445" s="21" t="s">
        <v>29</v>
      </c>
      <c r="D445" s="13">
        <v>133514</v>
      </c>
      <c r="E445" s="14">
        <f>D445/D450</f>
        <v>7.7278417966997762E-2</v>
      </c>
      <c r="F445">
        <v>99.86</v>
      </c>
      <c r="G445" s="15">
        <f t="shared" si="181"/>
        <v>7.7170228181843967</v>
      </c>
      <c r="I445" s="21" t="s">
        <v>29</v>
      </c>
      <c r="J445" s="52">
        <v>559831.5059299469</v>
      </c>
      <c r="K445" s="14">
        <f>J445/J450</f>
        <v>0.13006139147513471</v>
      </c>
      <c r="L445">
        <v>99.86</v>
      </c>
      <c r="M445" s="15">
        <f t="shared" si="182"/>
        <v>12.987930552706953</v>
      </c>
      <c r="O445" s="38" t="s">
        <v>29</v>
      </c>
      <c r="P445" s="13">
        <v>26694</v>
      </c>
      <c r="Q445" s="14">
        <f>P445/P449</f>
        <v>0.12711852299838566</v>
      </c>
      <c r="R445">
        <v>99.86</v>
      </c>
      <c r="S445" s="40">
        <f t="shared" si="183"/>
        <v>12.694055706618792</v>
      </c>
      <c r="U445" s="46" t="s">
        <v>29</v>
      </c>
      <c r="V445" s="52">
        <v>27587000</v>
      </c>
      <c r="W445" s="14">
        <f>V445/V448</f>
        <v>5.22679342182271E-3</v>
      </c>
      <c r="X445">
        <v>99.86</v>
      </c>
      <c r="Y445" s="48">
        <f t="shared" si="184"/>
        <v>0.52194759110321587</v>
      </c>
    </row>
    <row r="446" spans="1:25" x14ac:dyDescent="0.35">
      <c r="A446" s="23">
        <v>12</v>
      </c>
      <c r="B446" s="2"/>
      <c r="C446" s="21" t="s">
        <v>30</v>
      </c>
      <c r="D446" s="13">
        <v>5960</v>
      </c>
      <c r="E446" s="14">
        <f>D446/D450</f>
        <v>3.4496709789483249E-3</v>
      </c>
      <c r="F446">
        <v>99.94</v>
      </c>
      <c r="G446" s="15">
        <f t="shared" si="181"/>
        <v>0.3447601176360956</v>
      </c>
      <c r="I446" s="21" t="s">
        <v>30</v>
      </c>
      <c r="J446" s="52">
        <v>9955.4144763946533</v>
      </c>
      <c r="K446" s="14">
        <f>J446/J450</f>
        <v>2.3128656493898924E-3</v>
      </c>
      <c r="L446">
        <v>99.94</v>
      </c>
      <c r="M446" s="15">
        <f t="shared" si="182"/>
        <v>0.23114779300002586</v>
      </c>
      <c r="O446" s="38" t="s">
        <v>30</v>
      </c>
      <c r="P446" s="13">
        <v>111541</v>
      </c>
      <c r="Q446" s="14">
        <f>P446/P449</f>
        <v>0.53116532455843768</v>
      </c>
      <c r="R446">
        <v>99.94</v>
      </c>
      <c r="S446" s="40">
        <f t="shared" si="183"/>
        <v>53.08466253637026</v>
      </c>
      <c r="U446" s="46" t="s">
        <v>31</v>
      </c>
      <c r="V446" s="52">
        <v>1322200000</v>
      </c>
      <c r="W446" s="14">
        <f>V446/V448</f>
        <v>0.25051169979823784</v>
      </c>
      <c r="X446">
        <v>99.94</v>
      </c>
      <c r="Y446" s="48">
        <f>W446*X446</f>
        <v>25.03613927783589</v>
      </c>
    </row>
    <row r="447" spans="1:25" x14ac:dyDescent="0.35">
      <c r="A447" s="23">
        <v>3477</v>
      </c>
      <c r="B447" s="2"/>
      <c r="C447" s="21" t="s">
        <v>31</v>
      </c>
      <c r="D447" s="13">
        <v>200943</v>
      </c>
      <c r="E447" s="14">
        <f>D447/D450</f>
        <v>0.11630658314141162</v>
      </c>
      <c r="F447">
        <v>99.94</v>
      </c>
      <c r="G447" s="15">
        <f t="shared" si="181"/>
        <v>11.623679919152677</v>
      </c>
      <c r="I447" s="21" t="s">
        <v>31</v>
      </c>
      <c r="J447" s="52">
        <v>86789.510527610779</v>
      </c>
      <c r="K447" s="14">
        <f>J447/J450</f>
        <v>2.0163146205778925E-2</v>
      </c>
      <c r="L447">
        <v>99.94</v>
      </c>
      <c r="M447" s="15">
        <f t="shared" si="182"/>
        <v>2.0151048318055458</v>
      </c>
      <c r="O447" s="38" t="s">
        <v>31</v>
      </c>
      <c r="P447" s="13">
        <v>20304</v>
      </c>
      <c r="Q447" s="14">
        <f>P447/P449</f>
        <v>9.6688937250289292E-2</v>
      </c>
      <c r="R447">
        <v>99.94</v>
      </c>
      <c r="S447" s="40">
        <f t="shared" si="183"/>
        <v>9.6630923887939115</v>
      </c>
      <c r="U447" s="46" t="s">
        <v>33</v>
      </c>
      <c r="V447" s="52">
        <v>1961000</v>
      </c>
      <c r="W447" s="14">
        <f>V447/V448</f>
        <v>3.7154246203626113E-4</v>
      </c>
      <c r="X447">
        <v>99.92</v>
      </c>
      <c r="Y447" s="48">
        <f t="shared" ref="Y447" si="185">W447*X447</f>
        <v>3.7124522806663215E-2</v>
      </c>
    </row>
    <row r="448" spans="1:25" ht="15" thickBot="1" x14ac:dyDescent="0.4">
      <c r="A448" s="24">
        <f>SUM(A445:A447)</f>
        <v>1301245</v>
      </c>
      <c r="B448" s="2"/>
      <c r="C448" s="21" t="s">
        <v>32</v>
      </c>
      <c r="D448" s="13">
        <v>170</v>
      </c>
      <c r="E448" s="14">
        <f>D448/D450</f>
        <v>9.8396655439801214E-5</v>
      </c>
      <c r="F448">
        <v>99.94</v>
      </c>
      <c r="G448" s="15">
        <f t="shared" si="181"/>
        <v>9.8337617446537327E-3</v>
      </c>
      <c r="I448" s="21" t="s">
        <v>32</v>
      </c>
      <c r="J448" s="52">
        <v>245.12012672424316</v>
      </c>
      <c r="K448" s="14">
        <f>J448/J450</f>
        <v>5.6946892810826768E-5</v>
      </c>
      <c r="L448">
        <v>99.94</v>
      </c>
      <c r="M448" s="15">
        <f t="shared" si="182"/>
        <v>5.6912724675140273E-3</v>
      </c>
      <c r="O448" s="38" t="s">
        <v>33</v>
      </c>
      <c r="P448" s="13">
        <v>400</v>
      </c>
      <c r="Q448" s="14">
        <f>P448/P449</f>
        <v>1.9048253989418695E-3</v>
      </c>
      <c r="R448">
        <v>99.92</v>
      </c>
      <c r="S448" s="40">
        <f>Q448*R448</f>
        <v>0.19033015386227162</v>
      </c>
      <c r="U448" s="46"/>
      <c r="V448" s="52">
        <f>SUM(V444:V447)</f>
        <v>5277997000</v>
      </c>
      <c r="W448" s="14">
        <f>SUM(W444:W447)</f>
        <v>1</v>
      </c>
      <c r="X448">
        <f>AVERAGE(X444:X447)</f>
        <v>99.915000000000006</v>
      </c>
      <c r="Y448" s="48">
        <f>SUM(Y444:Y447)</f>
        <v>99.939574425677009</v>
      </c>
    </row>
    <row r="449" spans="1:25" ht="15.5" thickTop="1" thickBot="1" x14ac:dyDescent="0.4">
      <c r="B449" s="2"/>
      <c r="C449" s="21" t="s">
        <v>33</v>
      </c>
      <c r="D449" s="13">
        <v>85869</v>
      </c>
      <c r="E449" s="16">
        <f>D449/D450</f>
        <v>4.9701308270354648E-2</v>
      </c>
      <c r="F449">
        <v>99.9</v>
      </c>
      <c r="G449" s="15">
        <f t="shared" si="181"/>
        <v>4.9651606962084296</v>
      </c>
      <c r="I449" s="21" t="s">
        <v>33</v>
      </c>
      <c r="J449" s="52">
        <v>291315.25795459747</v>
      </c>
      <c r="K449" s="16">
        <f>J449/J450</f>
        <v>6.7679055941260086E-2</v>
      </c>
      <c r="L449">
        <v>99.9</v>
      </c>
      <c r="M449" s="15">
        <f t="shared" si="182"/>
        <v>6.7611376885318828</v>
      </c>
      <c r="O449" s="38"/>
      <c r="P449" s="31">
        <f>SUM(P444:P448)</f>
        <v>209993</v>
      </c>
      <c r="Q449" s="32">
        <f>SUM(Q444:Q448)</f>
        <v>1</v>
      </c>
      <c r="R449" s="33">
        <f>AVERAGE(R444:R448)</f>
        <v>99.92</v>
      </c>
      <c r="S449" s="41">
        <f>SUM(S444:S448)</f>
        <v>99.929792421652152</v>
      </c>
      <c r="U449" s="46"/>
      <c r="V449" s="52"/>
      <c r="W449" s="32"/>
      <c r="X449" s="33"/>
      <c r="Y449" s="58"/>
    </row>
    <row r="450" spans="1:25" ht="15" thickBot="1" x14ac:dyDescent="0.4">
      <c r="A450" s="10"/>
      <c r="B450" s="10"/>
      <c r="C450" s="10"/>
      <c r="D450" s="49">
        <f>SUM(D444:D449)</f>
        <v>1727701</v>
      </c>
      <c r="E450" s="50">
        <f>SUM(E444:E449)</f>
        <v>1</v>
      </c>
      <c r="F450" s="51">
        <f>AVERAGE(F444:F449)</f>
        <v>99.92</v>
      </c>
      <c r="G450" s="26">
        <f>SUM(G444:G449)</f>
        <v>99.931829674231835</v>
      </c>
      <c r="I450" s="10"/>
      <c r="J450" s="49">
        <f>SUM(J444:J449)</f>
        <v>4304363.4977331161</v>
      </c>
      <c r="K450" s="50">
        <f>SUM(K444:K449)</f>
        <v>1</v>
      </c>
      <c r="L450" s="51">
        <f>AVERAGE(L444:L449)</f>
        <v>99.92</v>
      </c>
      <c r="M450" s="26">
        <f>SUM(M444:M449)</f>
        <v>99.926887926444351</v>
      </c>
      <c r="O450" s="34"/>
      <c r="P450" s="34"/>
      <c r="Q450" s="34"/>
      <c r="R450" s="36"/>
      <c r="S450" s="40"/>
      <c r="U450" s="42"/>
      <c r="V450" s="42"/>
      <c r="W450" s="42"/>
      <c r="X450" s="44"/>
      <c r="Y450" s="45"/>
    </row>
    <row r="451" spans="1:25" ht="15" thickTop="1" x14ac:dyDescent="0.35">
      <c r="A451" s="29" t="s">
        <v>221</v>
      </c>
      <c r="B451" s="28"/>
      <c r="C451" s="28"/>
      <c r="D451" s="28"/>
      <c r="E451" s="28"/>
      <c r="F451" s="28"/>
      <c r="G451" s="28"/>
      <c r="I451" s="28"/>
      <c r="J451" s="28"/>
      <c r="K451" s="28"/>
      <c r="L451" s="28"/>
      <c r="M451" s="28"/>
      <c r="O451" s="28"/>
      <c r="P451" s="28"/>
      <c r="Q451" s="28"/>
      <c r="R451" s="28"/>
      <c r="S451" s="28"/>
      <c r="U451" s="28"/>
      <c r="V451" s="28"/>
      <c r="W451" s="28"/>
      <c r="X451" s="28"/>
      <c r="Y451" s="28"/>
    </row>
    <row r="452" spans="1:25" x14ac:dyDescent="0.35">
      <c r="A452" s="20" t="s">
        <v>220</v>
      </c>
      <c r="B452" s="20"/>
      <c r="C452" s="56" t="s">
        <v>115</v>
      </c>
      <c r="D452" s="11"/>
      <c r="E452" s="11"/>
      <c r="F452" s="11"/>
      <c r="G452" s="30" t="s">
        <v>115</v>
      </c>
      <c r="I452" s="56" t="s">
        <v>115</v>
      </c>
      <c r="J452" s="11"/>
      <c r="K452" s="11"/>
      <c r="L452" s="11"/>
      <c r="M452" s="30" t="s">
        <v>115</v>
      </c>
      <c r="O452" s="55" t="s">
        <v>116</v>
      </c>
      <c r="P452" s="34"/>
      <c r="Q452" s="34"/>
      <c r="R452" s="34"/>
      <c r="S452" s="35" t="s">
        <v>116</v>
      </c>
      <c r="U452" s="57" t="s">
        <v>117</v>
      </c>
      <c r="V452" s="42"/>
      <c r="W452" s="42"/>
      <c r="X452" s="42"/>
      <c r="Y452" s="43" t="s">
        <v>117</v>
      </c>
    </row>
    <row r="453" spans="1:25" ht="15" thickBot="1" x14ac:dyDescent="0.4">
      <c r="A453" s="2"/>
      <c r="B453" s="2"/>
      <c r="C453" s="2"/>
      <c r="D453" s="18" t="s">
        <v>118</v>
      </c>
      <c r="E453" s="19" t="s">
        <v>119</v>
      </c>
      <c r="F453" s="18" t="s">
        <v>120</v>
      </c>
      <c r="G453" s="12" t="s">
        <v>121</v>
      </c>
      <c r="I453" s="2"/>
      <c r="J453" s="18" t="s">
        <v>118</v>
      </c>
      <c r="K453" s="19" t="s">
        <v>119</v>
      </c>
      <c r="L453" s="18" t="s">
        <v>120</v>
      </c>
      <c r="M453" s="12" t="s">
        <v>121</v>
      </c>
      <c r="O453" s="34"/>
      <c r="P453" s="18" t="s">
        <v>118</v>
      </c>
      <c r="Q453" s="19" t="s">
        <v>119</v>
      </c>
      <c r="R453" s="18" t="s">
        <v>120</v>
      </c>
      <c r="S453" s="39" t="s">
        <v>121</v>
      </c>
      <c r="U453" s="42"/>
      <c r="V453" s="18" t="s">
        <v>118</v>
      </c>
      <c r="W453" s="19" t="s">
        <v>119</v>
      </c>
      <c r="X453" s="18" t="s">
        <v>120</v>
      </c>
      <c r="Y453" s="47" t="s">
        <v>121</v>
      </c>
    </row>
    <row r="454" spans="1:25" ht="15" thickTop="1" x14ac:dyDescent="0.35">
      <c r="A454" s="22" t="s">
        <v>122</v>
      </c>
      <c r="B454" s="2"/>
      <c r="C454" s="21" t="s">
        <v>25</v>
      </c>
      <c r="D454" s="25">
        <v>1301245</v>
      </c>
      <c r="E454" s="14">
        <f>D454/D460</f>
        <v>0.75316562298684786</v>
      </c>
      <c r="F454">
        <v>99.96</v>
      </c>
      <c r="G454" s="15">
        <f t="shared" ref="G454:G459" si="186">E454*F454</f>
        <v>75.286435673765311</v>
      </c>
      <c r="I454" s="21" t="s">
        <v>25</v>
      </c>
      <c r="J454" s="52">
        <v>3356226.6887178421</v>
      </c>
      <c r="K454" s="14">
        <f>J454/J460</f>
        <v>0.77972659383562559</v>
      </c>
      <c r="L454">
        <v>99.96</v>
      </c>
      <c r="M454" s="15">
        <f t="shared" ref="M454:M459" si="187">K454*L454</f>
        <v>77.941470319809127</v>
      </c>
      <c r="O454" s="38" t="s">
        <v>25</v>
      </c>
      <c r="P454" s="13">
        <v>51054</v>
      </c>
      <c r="Q454" s="14">
        <f>P454/P459</f>
        <v>0.24312238979394551</v>
      </c>
      <c r="R454">
        <v>99.92</v>
      </c>
      <c r="S454" s="40">
        <f t="shared" ref="S454:S457" si="188">Q454*R454</f>
        <v>24.292789188211035</v>
      </c>
      <c r="U454" s="46" t="s">
        <v>25</v>
      </c>
      <c r="V454" s="52">
        <v>3926249000</v>
      </c>
      <c r="W454" s="14">
        <f>V454/V458</f>
        <v>0.74388996431790322</v>
      </c>
      <c r="X454">
        <v>99.96</v>
      </c>
      <c r="Y454" s="48">
        <f t="shared" ref="Y454:Y455" si="189">W454*X454</f>
        <v>74.359240833217598</v>
      </c>
    </row>
    <row r="455" spans="1:25" x14ac:dyDescent="0.35">
      <c r="A455" s="23">
        <v>1297756</v>
      </c>
      <c r="B455" s="2"/>
      <c r="C455" s="21" t="s">
        <v>29</v>
      </c>
      <c r="D455" s="13">
        <v>133514</v>
      </c>
      <c r="E455" s="14">
        <f>D455/D460</f>
        <v>7.7278417966997762E-2</v>
      </c>
      <c r="F455">
        <v>99.86</v>
      </c>
      <c r="G455" s="15">
        <f t="shared" si="186"/>
        <v>7.7170228181843967</v>
      </c>
      <c r="I455" s="21" t="s">
        <v>29</v>
      </c>
      <c r="J455" s="52">
        <v>559831.5059299469</v>
      </c>
      <c r="K455" s="14">
        <f>J455/J460</f>
        <v>0.13006139147513471</v>
      </c>
      <c r="L455">
        <v>99.86</v>
      </c>
      <c r="M455" s="15">
        <f t="shared" si="187"/>
        <v>12.987930552706953</v>
      </c>
      <c r="O455" s="38" t="s">
        <v>29</v>
      </c>
      <c r="P455" s="13">
        <v>26694</v>
      </c>
      <c r="Q455" s="14">
        <f>P455/P459</f>
        <v>0.12711852299838566</v>
      </c>
      <c r="R455">
        <v>99.86</v>
      </c>
      <c r="S455" s="40">
        <f t="shared" si="188"/>
        <v>12.694055706618792</v>
      </c>
      <c r="U455" s="46" t="s">
        <v>29</v>
      </c>
      <c r="V455" s="52">
        <v>27587000</v>
      </c>
      <c r="W455" s="14">
        <f>V455/V458</f>
        <v>5.22679342182271E-3</v>
      </c>
      <c r="X455">
        <v>99.87</v>
      </c>
      <c r="Y455" s="48">
        <f t="shared" si="189"/>
        <v>0.52199985903743407</v>
      </c>
    </row>
    <row r="456" spans="1:25" x14ac:dyDescent="0.35">
      <c r="A456" s="23">
        <v>12</v>
      </c>
      <c r="B456" s="2"/>
      <c r="C456" s="21" t="s">
        <v>30</v>
      </c>
      <c r="D456" s="13">
        <v>5960</v>
      </c>
      <c r="E456" s="14">
        <f>D456/D460</f>
        <v>3.4496709789483249E-3</v>
      </c>
      <c r="F456">
        <v>99.96</v>
      </c>
      <c r="G456" s="15">
        <f t="shared" si="186"/>
        <v>0.34482911105567454</v>
      </c>
      <c r="I456" s="21" t="s">
        <v>30</v>
      </c>
      <c r="J456" s="52">
        <v>9955.4144763946533</v>
      </c>
      <c r="K456" s="14">
        <f>J456/J460</f>
        <v>2.3128656493898924E-3</v>
      </c>
      <c r="L456">
        <v>99.96</v>
      </c>
      <c r="M456" s="15">
        <f t="shared" si="187"/>
        <v>0.23119405031301363</v>
      </c>
      <c r="O456" s="38" t="s">
        <v>30</v>
      </c>
      <c r="P456" s="13">
        <v>111541</v>
      </c>
      <c r="Q456" s="14">
        <f>P456/P459</f>
        <v>0.53116532455843768</v>
      </c>
      <c r="R456">
        <v>99.92</v>
      </c>
      <c r="S456" s="40">
        <f t="shared" si="188"/>
        <v>53.074039229879091</v>
      </c>
      <c r="U456" s="46" t="s">
        <v>31</v>
      </c>
      <c r="V456" s="52">
        <v>1322200000</v>
      </c>
      <c r="W456" s="14">
        <f>V456/V458</f>
        <v>0.25051169979823784</v>
      </c>
      <c r="X456">
        <v>99.96</v>
      </c>
      <c r="Y456" s="48">
        <f>W456*X456</f>
        <v>25.041149511831854</v>
      </c>
    </row>
    <row r="457" spans="1:25" x14ac:dyDescent="0.35">
      <c r="A457" s="23">
        <v>3477</v>
      </c>
      <c r="B457" s="2"/>
      <c r="C457" s="21" t="s">
        <v>31</v>
      </c>
      <c r="D457" s="13">
        <v>200943</v>
      </c>
      <c r="E457" s="14">
        <f>D457/D460</f>
        <v>0.11630658314141162</v>
      </c>
      <c r="F457">
        <v>99.96</v>
      </c>
      <c r="G457" s="15">
        <f t="shared" si="186"/>
        <v>11.626006050815505</v>
      </c>
      <c r="I457" s="21" t="s">
        <v>31</v>
      </c>
      <c r="J457" s="52">
        <v>86789.510527610779</v>
      </c>
      <c r="K457" s="14">
        <f>J457/J460</f>
        <v>2.0163146205778925E-2</v>
      </c>
      <c r="L457">
        <v>99.96</v>
      </c>
      <c r="M457" s="15">
        <f t="shared" si="187"/>
        <v>2.0155080947296611</v>
      </c>
      <c r="O457" s="38" t="s">
        <v>31</v>
      </c>
      <c r="P457" s="13">
        <v>20304</v>
      </c>
      <c r="Q457" s="14">
        <f>P457/P459</f>
        <v>9.6688937250289292E-2</v>
      </c>
      <c r="R457">
        <v>99.92</v>
      </c>
      <c r="S457" s="40">
        <f t="shared" si="188"/>
        <v>9.661158610048906</v>
      </c>
      <c r="U457" s="46" t="s">
        <v>33</v>
      </c>
      <c r="V457" s="52">
        <v>1961000</v>
      </c>
      <c r="W457" s="14">
        <f>V457/V458</f>
        <v>3.7154246203626113E-4</v>
      </c>
      <c r="X457">
        <v>99.95</v>
      </c>
      <c r="Y457" s="48">
        <f>W457*X457</f>
        <v>3.7135669080524299E-2</v>
      </c>
    </row>
    <row r="458" spans="1:25" ht="15" thickBot="1" x14ac:dyDescent="0.4">
      <c r="A458" s="24">
        <f>SUM(A455:A457)</f>
        <v>1301245</v>
      </c>
      <c r="B458" s="2"/>
      <c r="C458" s="21" t="s">
        <v>32</v>
      </c>
      <c r="D458" s="13">
        <v>170</v>
      </c>
      <c r="E458" s="14">
        <f>D458/D460</f>
        <v>9.8396655439801214E-5</v>
      </c>
      <c r="F458">
        <v>99.96</v>
      </c>
      <c r="G458" s="15">
        <f t="shared" si="186"/>
        <v>9.835729677762528E-3</v>
      </c>
      <c r="I458" s="21" t="s">
        <v>32</v>
      </c>
      <c r="J458" s="52">
        <v>245.12012672424316</v>
      </c>
      <c r="K458" s="14">
        <f>J458/J460</f>
        <v>5.6946892810826768E-5</v>
      </c>
      <c r="L458">
        <v>99.96</v>
      </c>
      <c r="M458" s="15">
        <f t="shared" si="187"/>
        <v>5.6924114053702431E-3</v>
      </c>
      <c r="O458" s="38" t="s">
        <v>33</v>
      </c>
      <c r="P458" s="13">
        <v>400</v>
      </c>
      <c r="Q458" s="14">
        <f>P458/P459</f>
        <v>1.9048253989418695E-3</v>
      </c>
      <c r="R458">
        <v>99.9</v>
      </c>
      <c r="S458" s="40">
        <f>Q458*R458</f>
        <v>0.19029205735429278</v>
      </c>
      <c r="U458" s="46"/>
      <c r="V458" s="52">
        <f>SUM(V454:V457)</f>
        <v>5277997000</v>
      </c>
      <c r="W458" s="14">
        <f>SUM(W454:W457)</f>
        <v>1</v>
      </c>
      <c r="X458">
        <f>AVERAGE(X454:X457)</f>
        <v>99.934999999999988</v>
      </c>
      <c r="Y458" s="48">
        <f>SUM(Y454:Y457)</f>
        <v>99.959525873167422</v>
      </c>
    </row>
    <row r="459" spans="1:25" ht="15.5" thickTop="1" thickBot="1" x14ac:dyDescent="0.4">
      <c r="B459" s="2"/>
      <c r="C459" s="21" t="s">
        <v>33</v>
      </c>
      <c r="D459" s="13">
        <v>85869</v>
      </c>
      <c r="E459" s="16">
        <f>D459/D460</f>
        <v>4.9701308270354648E-2</v>
      </c>
      <c r="F459">
        <v>99.93</v>
      </c>
      <c r="G459" s="15">
        <f t="shared" si="186"/>
        <v>4.9666517354565407</v>
      </c>
      <c r="I459" s="21" t="s">
        <v>33</v>
      </c>
      <c r="J459" s="52">
        <v>291315.25795459747</v>
      </c>
      <c r="K459" s="16">
        <f>J459/J460</f>
        <v>6.7679055941260086E-2</v>
      </c>
      <c r="L459">
        <v>99.93</v>
      </c>
      <c r="M459" s="15">
        <f t="shared" si="187"/>
        <v>6.7631680602101207</v>
      </c>
      <c r="O459" s="38"/>
      <c r="P459" s="31">
        <f>SUM(P454:P458)</f>
        <v>209993</v>
      </c>
      <c r="Q459" s="32">
        <f>SUM(Q454:Q458)</f>
        <v>1</v>
      </c>
      <c r="R459" s="33">
        <f>AVERAGE(R454:R458)</f>
        <v>99.903999999999996</v>
      </c>
      <c r="S459" s="41">
        <f>SUM(S454:S458)</f>
        <v>99.912334792112119</v>
      </c>
      <c r="U459" s="46"/>
      <c r="V459" s="52"/>
      <c r="W459" s="32"/>
      <c r="X459" s="33"/>
      <c r="Y459" s="58"/>
    </row>
    <row r="460" spans="1:25" ht="15" thickBot="1" x14ac:dyDescent="0.4">
      <c r="A460" s="10"/>
      <c r="B460" s="10"/>
      <c r="C460" s="10"/>
      <c r="D460" s="49">
        <f>SUM(D454:D459)</f>
        <v>1727701</v>
      </c>
      <c r="E460" s="50">
        <f>SUM(E454:E459)</f>
        <v>1</v>
      </c>
      <c r="F460" s="51">
        <f>AVERAGE(F454:F459)</f>
        <v>99.938333333333318</v>
      </c>
      <c r="G460" s="26">
        <f>SUM(G454:G459)</f>
        <v>99.950781118955192</v>
      </c>
      <c r="I460" s="10"/>
      <c r="J460" s="49">
        <f>SUM(J454:J459)</f>
        <v>4304363.4977331161</v>
      </c>
      <c r="K460" s="50">
        <f>SUM(K454:K459)</f>
        <v>1</v>
      </c>
      <c r="L460" s="51">
        <f>AVERAGE(L454:L459)</f>
        <v>99.938333333333318</v>
      </c>
      <c r="M460" s="26">
        <f>SUM(M454:M459)</f>
        <v>99.944963489174242</v>
      </c>
      <c r="O460" s="34"/>
      <c r="P460" s="34"/>
      <c r="Q460" s="34"/>
      <c r="R460" s="36"/>
      <c r="S460" s="40"/>
      <c r="U460" s="42"/>
      <c r="V460" s="42"/>
      <c r="W460" s="42"/>
      <c r="X460" s="44"/>
      <c r="Y460" s="45"/>
    </row>
    <row r="461" spans="1:25" ht="15" thickTop="1" x14ac:dyDescent="0.35">
      <c r="A461" s="29" t="s">
        <v>222</v>
      </c>
      <c r="B461" s="28"/>
      <c r="C461" s="28"/>
      <c r="D461" s="28"/>
      <c r="E461" s="28"/>
      <c r="F461" s="28"/>
      <c r="G461" s="28"/>
      <c r="I461" s="28"/>
      <c r="J461" s="28"/>
      <c r="K461" s="28"/>
      <c r="L461" s="28"/>
      <c r="M461" s="28"/>
      <c r="O461" s="28"/>
      <c r="P461" s="28"/>
      <c r="Q461" s="28"/>
      <c r="R461" s="28"/>
      <c r="S461" s="28"/>
      <c r="U461" s="28"/>
      <c r="V461" s="28"/>
      <c r="W461" s="28"/>
      <c r="X461" s="28"/>
      <c r="Y461" s="28"/>
    </row>
    <row r="462" spans="1:25" x14ac:dyDescent="0.35">
      <c r="A462" s="20" t="s">
        <v>224</v>
      </c>
      <c r="B462" s="20"/>
      <c r="C462" s="56" t="s">
        <v>115</v>
      </c>
      <c r="D462" s="11"/>
      <c r="E462" s="11"/>
      <c r="F462" s="11"/>
      <c r="G462" s="30" t="s">
        <v>115</v>
      </c>
      <c r="I462" s="56" t="s">
        <v>115</v>
      </c>
      <c r="J462" s="11"/>
      <c r="K462" s="11"/>
      <c r="L462" s="11"/>
      <c r="M462" s="30" t="s">
        <v>115</v>
      </c>
      <c r="O462" s="55" t="s">
        <v>116</v>
      </c>
      <c r="P462" s="34"/>
      <c r="Q462" s="34"/>
      <c r="R462" s="34"/>
      <c r="S462" s="35" t="s">
        <v>116</v>
      </c>
      <c r="U462" s="57" t="s">
        <v>117</v>
      </c>
      <c r="V462" s="42"/>
      <c r="W462" s="42"/>
      <c r="X462" s="42"/>
      <c r="Y462" s="43" t="s">
        <v>117</v>
      </c>
    </row>
    <row r="463" spans="1:25" ht="15" thickBot="1" x14ac:dyDescent="0.4">
      <c r="A463" s="2"/>
      <c r="B463" s="2"/>
      <c r="C463" s="2"/>
      <c r="D463" s="18" t="s">
        <v>118</v>
      </c>
      <c r="E463" s="19" t="s">
        <v>119</v>
      </c>
      <c r="F463" s="18" t="s">
        <v>120</v>
      </c>
      <c r="G463" s="12" t="s">
        <v>121</v>
      </c>
      <c r="I463" s="2"/>
      <c r="J463" s="18" t="s">
        <v>118</v>
      </c>
      <c r="K463" s="19" t="s">
        <v>119</v>
      </c>
      <c r="L463" s="18" t="s">
        <v>120</v>
      </c>
      <c r="M463" s="12" t="s">
        <v>121</v>
      </c>
      <c r="O463" s="34"/>
      <c r="P463" s="18" t="s">
        <v>118</v>
      </c>
      <c r="Q463" s="19" t="s">
        <v>119</v>
      </c>
      <c r="R463" s="18" t="s">
        <v>120</v>
      </c>
      <c r="S463" s="39" t="s">
        <v>121</v>
      </c>
      <c r="U463" s="42"/>
      <c r="V463" s="18" t="s">
        <v>118</v>
      </c>
      <c r="W463" s="19" t="s">
        <v>119</v>
      </c>
      <c r="X463" s="18" t="s">
        <v>120</v>
      </c>
      <c r="Y463" s="47" t="s">
        <v>121</v>
      </c>
    </row>
    <row r="464" spans="1:25" ht="15" thickTop="1" x14ac:dyDescent="0.35">
      <c r="A464" s="22" t="s">
        <v>122</v>
      </c>
      <c r="B464" s="2"/>
      <c r="C464" s="21" t="s">
        <v>25</v>
      </c>
      <c r="D464" s="25">
        <v>1302157</v>
      </c>
      <c r="E464" s="14">
        <f>D464/D470</f>
        <v>0.75340437546720485</v>
      </c>
      <c r="F464">
        <v>99.94</v>
      </c>
      <c r="G464" s="15">
        <f t="shared" ref="G464:G469" si="190">E464*F464</f>
        <v>75.295233284192449</v>
      </c>
      <c r="I464" s="21" t="s">
        <v>25</v>
      </c>
      <c r="J464" s="52">
        <v>4052928.9879865646</v>
      </c>
      <c r="K464" s="14">
        <f>J464/J470</f>
        <v>0.80014133851862501</v>
      </c>
      <c r="L464">
        <v>99.94</v>
      </c>
      <c r="M464" s="15">
        <f t="shared" ref="M464:M469" si="191">K464*L464</f>
        <v>79.966125371551385</v>
      </c>
      <c r="O464" s="38" t="s">
        <v>25</v>
      </c>
      <c r="P464" s="13">
        <v>84015</v>
      </c>
      <c r="Q464" s="14">
        <f>P464/P469</f>
        <v>0.43057676735580819</v>
      </c>
      <c r="R464">
        <v>99.94</v>
      </c>
      <c r="S464" s="40">
        <f t="shared" ref="S464:S467" si="192">Q464*R464</f>
        <v>43.03184212953947</v>
      </c>
      <c r="U464" s="46" t="s">
        <v>25</v>
      </c>
      <c r="V464" s="95">
        <v>3783986000</v>
      </c>
      <c r="W464" s="14">
        <f>V464/V468</f>
        <v>0.71521272932160007</v>
      </c>
      <c r="X464">
        <v>99.94</v>
      </c>
      <c r="Y464" s="48">
        <f t="shared" ref="Y464:Y465" si="193">W464*X464</f>
        <v>71.478360168400712</v>
      </c>
    </row>
    <row r="465" spans="1:25" x14ac:dyDescent="0.35">
      <c r="A465" s="23">
        <v>1298668</v>
      </c>
      <c r="B465" s="2"/>
      <c r="C465" s="21" t="s">
        <v>29</v>
      </c>
      <c r="D465" s="13">
        <v>133609</v>
      </c>
      <c r="E465" s="14">
        <f>D465/D470</f>
        <v>7.7303739258628393E-2</v>
      </c>
      <c r="F465">
        <v>99.86</v>
      </c>
      <c r="G465" s="15">
        <f t="shared" si="190"/>
        <v>7.7195514023666316</v>
      </c>
      <c r="I465" s="21" t="s">
        <v>29</v>
      </c>
      <c r="J465" s="52">
        <v>603984.73794555664</v>
      </c>
      <c r="K465" s="14">
        <f>J465/J470</f>
        <v>0.11924046981752365</v>
      </c>
      <c r="L465">
        <v>99.86</v>
      </c>
      <c r="M465" s="15">
        <f t="shared" si="191"/>
        <v>11.907353315977911</v>
      </c>
      <c r="O465" s="38" t="s">
        <v>29</v>
      </c>
      <c r="P465" s="13">
        <v>8589</v>
      </c>
      <c r="Q465" s="14">
        <f>P465/P469</f>
        <v>4.4018613995346498E-2</v>
      </c>
      <c r="R465">
        <v>99.86</v>
      </c>
      <c r="S465" s="40">
        <f t="shared" si="192"/>
        <v>4.3956987935753009</v>
      </c>
      <c r="U465" s="46" t="s">
        <v>29</v>
      </c>
      <c r="V465" s="52">
        <v>33496000</v>
      </c>
      <c r="W465" s="14">
        <f>V465/V468</f>
        <v>6.3310925519693565E-3</v>
      </c>
      <c r="X465">
        <v>99.86</v>
      </c>
      <c r="Y465" s="48">
        <f t="shared" si="193"/>
        <v>0.63222290223965993</v>
      </c>
    </row>
    <row r="466" spans="1:25" x14ac:dyDescent="0.35">
      <c r="A466" s="23">
        <v>12</v>
      </c>
      <c r="B466" s="2"/>
      <c r="C466" s="21" t="s">
        <v>30</v>
      </c>
      <c r="D466" s="13">
        <v>5965</v>
      </c>
      <c r="E466" s="14">
        <f>D466/D470</f>
        <v>3.4512405951524099E-3</v>
      </c>
      <c r="F466">
        <v>99.94</v>
      </c>
      <c r="G466" s="15">
        <f t="shared" si="190"/>
        <v>0.34491698507953183</v>
      </c>
      <c r="I466" s="21" t="s">
        <v>30</v>
      </c>
      <c r="J466" s="52">
        <v>9326.3961324691772</v>
      </c>
      <c r="K466" s="14">
        <f>J466/J470</f>
        <v>1.8412449631139583E-3</v>
      </c>
      <c r="L466">
        <v>99.94</v>
      </c>
      <c r="M466" s="15">
        <f t="shared" si="191"/>
        <v>0.184014021613609</v>
      </c>
      <c r="O466" s="38" t="s">
        <v>30</v>
      </c>
      <c r="P466" s="13">
        <v>99470</v>
      </c>
      <c r="Q466" s="14">
        <f>P466/P469</f>
        <v>0.50978362255409437</v>
      </c>
      <c r="R466">
        <v>99.94</v>
      </c>
      <c r="S466" s="40">
        <f t="shared" si="192"/>
        <v>50.947775238056188</v>
      </c>
      <c r="U466" s="46" t="s">
        <v>31</v>
      </c>
      <c r="V466" s="52">
        <v>427000</v>
      </c>
      <c r="W466" s="14">
        <f>V466/V468</f>
        <v>8.0707443267581655E-5</v>
      </c>
      <c r="X466">
        <v>99.94</v>
      </c>
      <c r="Y466" s="48">
        <f>W466*X466</f>
        <v>8.0659018801621102E-3</v>
      </c>
    </row>
    <row r="467" spans="1:25" x14ac:dyDescent="0.35">
      <c r="A467" s="23">
        <v>3477</v>
      </c>
      <c r="B467" s="2"/>
      <c r="C467" s="21" t="s">
        <v>31</v>
      </c>
      <c r="D467" s="13">
        <v>200899</v>
      </c>
      <c r="E467" s="14">
        <f>D467/D470</f>
        <v>0.11623651036471484</v>
      </c>
      <c r="F467">
        <v>99.94</v>
      </c>
      <c r="G467" s="15">
        <f t="shared" si="190"/>
        <v>11.616676845849602</v>
      </c>
      <c r="I467" s="21" t="s">
        <v>31</v>
      </c>
      <c r="J467" s="52">
        <v>100309.73568725586</v>
      </c>
      <c r="K467" s="14">
        <f>J467/J470</f>
        <v>1.9803447436941981E-2</v>
      </c>
      <c r="L467">
        <v>99.94</v>
      </c>
      <c r="M467" s="15">
        <f t="shared" si="191"/>
        <v>1.9791565368479815</v>
      </c>
      <c r="O467" s="38" t="s">
        <v>31</v>
      </c>
      <c r="P467" s="13">
        <v>2624</v>
      </c>
      <c r="Q467" s="14">
        <f>P467/P469</f>
        <v>1.344799663800084E-2</v>
      </c>
      <c r="R467">
        <v>99.94</v>
      </c>
      <c r="S467" s="40">
        <f t="shared" si="192"/>
        <v>1.343992784001804</v>
      </c>
      <c r="U467" s="46" t="s">
        <v>33</v>
      </c>
      <c r="V467" s="52">
        <v>1472805000</v>
      </c>
      <c r="W467" s="14">
        <f>V467/V468</f>
        <v>0.27837547068316298</v>
      </c>
      <c r="X467">
        <v>99.92</v>
      </c>
      <c r="Y467" s="48">
        <f t="shared" ref="Y467" si="194">W467*X467</f>
        <v>27.815277030661647</v>
      </c>
    </row>
    <row r="468" spans="1:25" ht="15" thickBot="1" x14ac:dyDescent="0.4">
      <c r="A468" s="24">
        <f>SUM(A465:A467)</f>
        <v>1302157</v>
      </c>
      <c r="B468" s="2"/>
      <c r="C468" s="21" t="s">
        <v>32</v>
      </c>
      <c r="D468" s="13">
        <v>170</v>
      </c>
      <c r="E468" s="14">
        <f>D468/D470</f>
        <v>9.8358910507277399E-5</v>
      </c>
      <c r="F468">
        <v>99.94</v>
      </c>
      <c r="G468" s="15">
        <f t="shared" si="190"/>
        <v>9.8299895160973028E-3</v>
      </c>
      <c r="I468" s="21" t="s">
        <v>32</v>
      </c>
      <c r="J468" s="52">
        <v>244.20752048492432</v>
      </c>
      <c r="K468" s="14">
        <f>J468/J470</f>
        <v>4.8212177636547729E-5</v>
      </c>
      <c r="L468">
        <v>99.94</v>
      </c>
      <c r="M468" s="15">
        <f t="shared" si="191"/>
        <v>4.8183250329965803E-3</v>
      </c>
      <c r="O468" s="38" t="s">
        <v>33</v>
      </c>
      <c r="P468" s="13">
        <v>424</v>
      </c>
      <c r="Q468" s="14">
        <f>P468/P469</f>
        <v>2.1729994567501357E-3</v>
      </c>
      <c r="R468">
        <v>99.92</v>
      </c>
      <c r="S468" s="40">
        <f>Q468*R468</f>
        <v>0.21712610571847357</v>
      </c>
      <c r="U468" s="46"/>
      <c r="V468" s="52">
        <f>SUM(V464:V467)</f>
        <v>5290714000</v>
      </c>
      <c r="W468" s="14">
        <f>SUM(W464:W467)</f>
        <v>1</v>
      </c>
      <c r="X468">
        <f>AVERAGE(X464:X467)</f>
        <v>99.915000000000006</v>
      </c>
      <c r="Y468" s="48">
        <f>SUM(Y464:Y467)</f>
        <v>99.933926003182179</v>
      </c>
    </row>
    <row r="469" spans="1:25" ht="15.5" thickTop="1" thickBot="1" x14ac:dyDescent="0.4">
      <c r="B469" s="2"/>
      <c r="C469" s="21" t="s">
        <v>33</v>
      </c>
      <c r="D469" s="13">
        <v>85564</v>
      </c>
      <c r="E469" s="16">
        <f>D469/D470</f>
        <v>4.9505775403792258E-2</v>
      </c>
      <c r="F469">
        <v>99.91</v>
      </c>
      <c r="G469" s="15">
        <f t="shared" si="190"/>
        <v>4.9461220205928846</v>
      </c>
      <c r="I469" s="21" t="s">
        <v>33</v>
      </c>
      <c r="J469" s="52">
        <v>298472.27315998077</v>
      </c>
      <c r="K469" s="16">
        <f>J469/J470</f>
        <v>5.8925287086158878E-2</v>
      </c>
      <c r="L469">
        <v>99.91</v>
      </c>
      <c r="M469" s="15">
        <f t="shared" si="191"/>
        <v>5.8872254327781333</v>
      </c>
      <c r="O469" s="38"/>
      <c r="P469" s="31">
        <f>SUM(P464:P468)</f>
        <v>195122</v>
      </c>
      <c r="Q469" s="32">
        <f>SUM(Q464:Q468)</f>
        <v>1.0000000000000002</v>
      </c>
      <c r="R469" s="33">
        <f>AVERAGE(R464:R468)</f>
        <v>99.92</v>
      </c>
      <c r="S469" s="41">
        <f>SUM(S464:S468)</f>
        <v>99.936435050891234</v>
      </c>
      <c r="U469" s="46"/>
      <c r="V469" s="52"/>
      <c r="W469" s="32"/>
      <c r="X469" s="33"/>
      <c r="Y469" s="58"/>
    </row>
    <row r="470" spans="1:25" ht="15" thickBot="1" x14ac:dyDescent="0.4">
      <c r="A470" s="10"/>
      <c r="B470" s="10"/>
      <c r="C470" s="10"/>
      <c r="D470" s="49">
        <f>SUM(D464:D469)</f>
        <v>1728364</v>
      </c>
      <c r="E470" s="50">
        <f>SUM(E464:E469)</f>
        <v>1</v>
      </c>
      <c r="F470" s="51">
        <f>AVERAGE(F464:F469)</f>
        <v>99.921666666666667</v>
      </c>
      <c r="G470" s="26">
        <f>SUM(G464:G469)</f>
        <v>99.932330527597188</v>
      </c>
      <c r="I470" s="10"/>
      <c r="J470" s="49">
        <f>SUM(J464:J469)</f>
        <v>5065266.338432312</v>
      </c>
      <c r="K470" s="50">
        <f>SUM(K464:K469)</f>
        <v>1</v>
      </c>
      <c r="L470" s="51">
        <f>AVERAGE(L464:L469)</f>
        <v>99.921666666666667</v>
      </c>
      <c r="M470" s="26">
        <f>SUM(M464:M469)</f>
        <v>99.928693003802024</v>
      </c>
      <c r="O470" s="34"/>
      <c r="P470" s="34"/>
      <c r="Q470" s="34"/>
      <c r="R470" s="36"/>
      <c r="S470" s="40"/>
      <c r="U470" s="42"/>
      <c r="V470" s="42"/>
      <c r="W470" s="42"/>
      <c r="X470" s="44"/>
      <c r="Y470" s="45"/>
    </row>
    <row r="471" spans="1:25" ht="15" thickTop="1" x14ac:dyDescent="0.35">
      <c r="A471" s="29" t="s">
        <v>223</v>
      </c>
      <c r="B471" s="28"/>
      <c r="C471" s="28"/>
      <c r="D471" s="28"/>
      <c r="E471" s="28"/>
      <c r="F471" s="28"/>
      <c r="G471" s="28"/>
      <c r="I471" s="28"/>
      <c r="J471" s="28"/>
      <c r="K471" s="28"/>
      <c r="L471" s="28"/>
      <c r="M471" s="28"/>
      <c r="O471" s="28"/>
      <c r="P471" s="28"/>
      <c r="Q471" s="28"/>
      <c r="R471" s="28"/>
      <c r="S471" s="28"/>
      <c r="U471" s="28"/>
      <c r="V471" s="28"/>
      <c r="W471" s="28"/>
      <c r="X471" s="28"/>
      <c r="Y471" s="28"/>
    </row>
    <row r="472" spans="1:25" x14ac:dyDescent="0.35">
      <c r="A472" s="20" t="s">
        <v>224</v>
      </c>
      <c r="B472" s="20"/>
      <c r="C472" s="56" t="s">
        <v>115</v>
      </c>
      <c r="D472" s="11"/>
      <c r="E472" s="11"/>
      <c r="F472" s="11"/>
      <c r="G472" s="30" t="s">
        <v>115</v>
      </c>
      <c r="I472" s="56" t="s">
        <v>115</v>
      </c>
      <c r="J472" s="11"/>
      <c r="K472" s="11"/>
      <c r="L472" s="11"/>
      <c r="M472" s="30" t="s">
        <v>115</v>
      </c>
      <c r="O472" s="55" t="s">
        <v>116</v>
      </c>
      <c r="P472" s="34"/>
      <c r="Q472" s="34"/>
      <c r="R472" s="34"/>
      <c r="S472" s="35" t="s">
        <v>116</v>
      </c>
      <c r="U472" s="57" t="s">
        <v>117</v>
      </c>
      <c r="V472" s="42"/>
      <c r="W472" s="42"/>
      <c r="X472" s="42"/>
      <c r="Y472" s="43" t="s">
        <v>117</v>
      </c>
    </row>
    <row r="473" spans="1:25" ht="15" thickBot="1" x14ac:dyDescent="0.4">
      <c r="A473" s="2"/>
      <c r="B473" s="2"/>
      <c r="C473" s="2"/>
      <c r="D473" s="18" t="s">
        <v>118</v>
      </c>
      <c r="E473" s="19" t="s">
        <v>119</v>
      </c>
      <c r="F473" s="18" t="s">
        <v>120</v>
      </c>
      <c r="G473" s="12" t="s">
        <v>121</v>
      </c>
      <c r="I473" s="2"/>
      <c r="J473" s="18" t="s">
        <v>118</v>
      </c>
      <c r="K473" s="19" t="s">
        <v>119</v>
      </c>
      <c r="L473" s="18" t="s">
        <v>120</v>
      </c>
      <c r="M473" s="12" t="s">
        <v>121</v>
      </c>
      <c r="O473" s="34"/>
      <c r="P473" s="18" t="s">
        <v>118</v>
      </c>
      <c r="Q473" s="19" t="s">
        <v>119</v>
      </c>
      <c r="R473" s="18" t="s">
        <v>120</v>
      </c>
      <c r="S473" s="39" t="s">
        <v>121</v>
      </c>
      <c r="U473" s="42"/>
      <c r="V473" s="18" t="s">
        <v>118</v>
      </c>
      <c r="W473" s="19" t="s">
        <v>119</v>
      </c>
      <c r="X473" s="18" t="s">
        <v>120</v>
      </c>
      <c r="Y473" s="47" t="s">
        <v>121</v>
      </c>
    </row>
    <row r="474" spans="1:25" ht="15" thickTop="1" x14ac:dyDescent="0.35">
      <c r="A474" s="22" t="s">
        <v>122</v>
      </c>
      <c r="B474" s="2"/>
      <c r="C474" s="21" t="s">
        <v>25</v>
      </c>
      <c r="D474" s="25">
        <v>1302157</v>
      </c>
      <c r="E474" s="14">
        <f>D474/D480</f>
        <v>0.75340437546720485</v>
      </c>
      <c r="F474">
        <v>99.96</v>
      </c>
      <c r="G474" s="15">
        <f t="shared" ref="G474:G479" si="195">E474*F474</f>
        <v>75.310301371701797</v>
      </c>
      <c r="I474" s="21" t="s">
        <v>25</v>
      </c>
      <c r="J474" s="52">
        <v>4052928.9879865646</v>
      </c>
      <c r="K474" s="14">
        <f>J474/J480</f>
        <v>0.80014133851862501</v>
      </c>
      <c r="L474">
        <v>99.96</v>
      </c>
      <c r="M474" s="15">
        <f t="shared" ref="M474:M479" si="196">K474*L474</f>
        <v>79.982128198321746</v>
      </c>
      <c r="O474" s="38" t="s">
        <v>25</v>
      </c>
      <c r="P474" s="13">
        <v>84015</v>
      </c>
      <c r="Q474" s="14">
        <f>P474/P479</f>
        <v>0.43057676735580819</v>
      </c>
      <c r="R474">
        <v>99.92</v>
      </c>
      <c r="S474" s="40">
        <f t="shared" ref="S474:S477" si="197">Q474*R474</f>
        <v>43.023230594192356</v>
      </c>
      <c r="U474" s="46" t="s">
        <v>25</v>
      </c>
      <c r="V474" s="52">
        <v>3783986000</v>
      </c>
      <c r="W474" s="14">
        <f>V474/V478</f>
        <v>0.71521272932160007</v>
      </c>
      <c r="X474">
        <v>99.96</v>
      </c>
      <c r="Y474" s="48">
        <f t="shared" ref="Y474:Y475" si="198">W474*X474</f>
        <v>71.492664422987133</v>
      </c>
    </row>
    <row r="475" spans="1:25" x14ac:dyDescent="0.35">
      <c r="A475" s="23">
        <v>1298668</v>
      </c>
      <c r="B475" s="2"/>
      <c r="C475" s="21" t="s">
        <v>29</v>
      </c>
      <c r="D475" s="13">
        <v>133609</v>
      </c>
      <c r="E475" s="14">
        <f>D475/D480</f>
        <v>7.7303739258628393E-2</v>
      </c>
      <c r="F475">
        <v>99.86</v>
      </c>
      <c r="G475" s="15">
        <f t="shared" si="195"/>
        <v>7.7195514023666316</v>
      </c>
      <c r="I475" s="21" t="s">
        <v>29</v>
      </c>
      <c r="J475" s="52">
        <v>603984.73794555664</v>
      </c>
      <c r="K475" s="14">
        <f>J475/J480</f>
        <v>0.11924046981752365</v>
      </c>
      <c r="L475">
        <v>99.86</v>
      </c>
      <c r="M475" s="15">
        <f t="shared" si="196"/>
        <v>11.907353315977911</v>
      </c>
      <c r="O475" s="38" t="s">
        <v>29</v>
      </c>
      <c r="P475" s="13">
        <v>8589</v>
      </c>
      <c r="Q475" s="14">
        <f>P475/P479</f>
        <v>4.4018613995346498E-2</v>
      </c>
      <c r="R475">
        <v>99.86</v>
      </c>
      <c r="S475" s="40">
        <f t="shared" si="197"/>
        <v>4.3956987935753009</v>
      </c>
      <c r="U475" s="46" t="s">
        <v>29</v>
      </c>
      <c r="V475" s="52">
        <v>33496000</v>
      </c>
      <c r="W475" s="14">
        <f>V475/V478</f>
        <v>6.3310925519693565E-3</v>
      </c>
      <c r="X475">
        <v>99.87</v>
      </c>
      <c r="Y475" s="48">
        <f t="shared" si="198"/>
        <v>0.63228621316517963</v>
      </c>
    </row>
    <row r="476" spans="1:25" x14ac:dyDescent="0.35">
      <c r="A476" s="23">
        <v>12</v>
      </c>
      <c r="B476" s="2"/>
      <c r="C476" s="21" t="s">
        <v>30</v>
      </c>
      <c r="D476" s="13">
        <v>5965</v>
      </c>
      <c r="E476" s="14">
        <f>D476/D480</f>
        <v>3.4512405951524099E-3</v>
      </c>
      <c r="F476">
        <v>99.96</v>
      </c>
      <c r="G476" s="15">
        <f t="shared" si="195"/>
        <v>0.34498600989143485</v>
      </c>
      <c r="I476" s="21" t="s">
        <v>30</v>
      </c>
      <c r="J476" s="52">
        <v>9326.3961324691772</v>
      </c>
      <c r="K476" s="14">
        <f>J476/J480</f>
        <v>1.8412449631139583E-3</v>
      </c>
      <c r="L476">
        <v>99.96</v>
      </c>
      <c r="M476" s="15">
        <f t="shared" si="196"/>
        <v>0.18405084651287126</v>
      </c>
      <c r="O476" s="38" t="s">
        <v>30</v>
      </c>
      <c r="P476" s="13">
        <v>99470</v>
      </c>
      <c r="Q476" s="14">
        <f>P476/P479</f>
        <v>0.50978362255409437</v>
      </c>
      <c r="R476">
        <v>99.92</v>
      </c>
      <c r="S476" s="40">
        <f t="shared" si="197"/>
        <v>50.937579565605112</v>
      </c>
      <c r="U476" s="46" t="s">
        <v>31</v>
      </c>
      <c r="V476" s="52">
        <v>427000</v>
      </c>
      <c r="W476" s="14">
        <f>V476/V478</f>
        <v>8.0707443267581655E-5</v>
      </c>
      <c r="X476">
        <v>99.96</v>
      </c>
      <c r="Y476" s="48">
        <f>W476*X476</f>
        <v>8.0675160290274613E-3</v>
      </c>
    </row>
    <row r="477" spans="1:25" x14ac:dyDescent="0.35">
      <c r="A477" s="23">
        <v>3477</v>
      </c>
      <c r="B477" s="2"/>
      <c r="C477" s="21" t="s">
        <v>31</v>
      </c>
      <c r="D477" s="13">
        <v>200899</v>
      </c>
      <c r="E477" s="14">
        <f>D477/D480</f>
        <v>0.11623651036471484</v>
      </c>
      <c r="F477">
        <v>99.96</v>
      </c>
      <c r="G477" s="15">
        <f t="shared" si="195"/>
        <v>11.619001576056895</v>
      </c>
      <c r="I477" s="21" t="s">
        <v>31</v>
      </c>
      <c r="J477" s="52">
        <v>100309.73568725586</v>
      </c>
      <c r="K477" s="14">
        <f>J477/J480</f>
        <v>1.9803447436941981E-2</v>
      </c>
      <c r="L477">
        <v>99.96</v>
      </c>
      <c r="M477" s="15">
        <f t="shared" si="196"/>
        <v>1.9795526057967203</v>
      </c>
      <c r="O477" s="38" t="s">
        <v>31</v>
      </c>
      <c r="P477" s="13">
        <v>2624</v>
      </c>
      <c r="Q477" s="14">
        <f>P477/P479</f>
        <v>1.344799663800084E-2</v>
      </c>
      <c r="R477">
        <v>99.92</v>
      </c>
      <c r="S477" s="40">
        <f t="shared" si="197"/>
        <v>1.3437238240690439</v>
      </c>
      <c r="U477" s="46" t="s">
        <v>33</v>
      </c>
      <c r="V477" s="52">
        <v>1472805000</v>
      </c>
      <c r="W477" s="14">
        <f>V477/V478</f>
        <v>0.27837547068316298</v>
      </c>
      <c r="X477">
        <v>99.95</v>
      </c>
      <c r="Y477" s="48">
        <f>W477*X477</f>
        <v>27.823628294782139</v>
      </c>
    </row>
    <row r="478" spans="1:25" ht="15" thickBot="1" x14ac:dyDescent="0.4">
      <c r="A478" s="24">
        <f>SUM(A475:A477)</f>
        <v>1302157</v>
      </c>
      <c r="B478" s="2"/>
      <c r="C478" s="21" t="s">
        <v>32</v>
      </c>
      <c r="D478" s="13">
        <v>170</v>
      </c>
      <c r="E478" s="14">
        <f>D478/D480</f>
        <v>9.8358910507277399E-5</v>
      </c>
      <c r="F478">
        <v>99.96</v>
      </c>
      <c r="G478" s="15">
        <f t="shared" si="195"/>
        <v>9.8319566943074477E-3</v>
      </c>
      <c r="I478" s="21" t="s">
        <v>32</v>
      </c>
      <c r="J478" s="52">
        <v>244.20752048492432</v>
      </c>
      <c r="K478" s="14">
        <f>J478/J480</f>
        <v>4.8212177636547729E-5</v>
      </c>
      <c r="L478">
        <v>99.96</v>
      </c>
      <c r="M478" s="15">
        <f t="shared" si="196"/>
        <v>4.8192892765493104E-3</v>
      </c>
      <c r="O478" s="38" t="s">
        <v>33</v>
      </c>
      <c r="P478" s="13">
        <v>424</v>
      </c>
      <c r="Q478" s="14">
        <f>P478/P479</f>
        <v>2.1729994567501357E-3</v>
      </c>
      <c r="R478">
        <v>99.9</v>
      </c>
      <c r="S478" s="40">
        <f>Q478*R478</f>
        <v>0.21708264572933855</v>
      </c>
      <c r="U478" s="46"/>
      <c r="V478" s="52">
        <f>SUM(V474:V477)</f>
        <v>5290714000</v>
      </c>
      <c r="W478" s="14">
        <f>SUM(W474:W477)</f>
        <v>1</v>
      </c>
      <c r="X478">
        <f>AVERAGE(X474:X477)</f>
        <v>99.934999999999988</v>
      </c>
      <c r="Y478" s="48">
        <f>SUM(Y474:Y477)</f>
        <v>99.956646446963475</v>
      </c>
    </row>
    <row r="479" spans="1:25" ht="15.5" thickTop="1" thickBot="1" x14ac:dyDescent="0.4">
      <c r="B479" s="2"/>
      <c r="C479" s="21" t="s">
        <v>33</v>
      </c>
      <c r="D479" s="13">
        <v>85564</v>
      </c>
      <c r="E479" s="16">
        <f>D479/D480</f>
        <v>4.9505775403792258E-2</v>
      </c>
      <c r="F479">
        <v>99.93</v>
      </c>
      <c r="G479" s="15">
        <f t="shared" si="195"/>
        <v>4.9471121361009605</v>
      </c>
      <c r="I479" s="21" t="s">
        <v>33</v>
      </c>
      <c r="J479" s="52">
        <v>298472.27315998077</v>
      </c>
      <c r="K479" s="16">
        <f>J479/J480</f>
        <v>5.8925287086158878E-2</v>
      </c>
      <c r="L479">
        <v>99.93</v>
      </c>
      <c r="M479" s="15">
        <f t="shared" si="196"/>
        <v>5.8884039385198568</v>
      </c>
      <c r="O479" s="38"/>
      <c r="P479" s="31">
        <f>SUM(P474:P478)</f>
        <v>195122</v>
      </c>
      <c r="Q479" s="32">
        <f>SUM(Q474:Q478)</f>
        <v>1.0000000000000002</v>
      </c>
      <c r="R479" s="33">
        <f>AVERAGE(R474:R478)</f>
        <v>99.903999999999996</v>
      </c>
      <c r="S479" s="41">
        <f>SUM(S474:S478)</f>
        <v>99.917315423171146</v>
      </c>
      <c r="U479" s="46"/>
      <c r="V479" s="52"/>
      <c r="W479" s="32"/>
      <c r="X479" s="33"/>
      <c r="Y479" s="58"/>
    </row>
    <row r="480" spans="1:25" ht="15" thickBot="1" x14ac:dyDescent="0.4">
      <c r="A480" s="10"/>
      <c r="B480" s="10"/>
      <c r="C480" s="10"/>
      <c r="D480" s="49">
        <f>SUM(D474:D479)</f>
        <v>1728364</v>
      </c>
      <c r="E480" s="50">
        <f>SUM(E474:E479)</f>
        <v>1</v>
      </c>
      <c r="F480" s="51">
        <f>AVERAGE(F474:F479)</f>
        <v>99.938333333333318</v>
      </c>
      <c r="G480" s="26">
        <f>SUM(G474:G479)</f>
        <v>99.950784452812016</v>
      </c>
      <c r="I480" s="10"/>
      <c r="J480" s="49">
        <f>SUM(J474:J479)</f>
        <v>5065266.338432312</v>
      </c>
      <c r="K480" s="50">
        <f>SUM(K474:K479)</f>
        <v>1</v>
      </c>
      <c r="L480" s="51">
        <f>AVERAGE(L474:L479)</f>
        <v>99.938333333333318</v>
      </c>
      <c r="M480" s="26">
        <f>SUM(M474:M479)</f>
        <v>99.946308194405674</v>
      </c>
      <c r="O480" s="34"/>
      <c r="P480" s="34"/>
      <c r="Q480" s="34"/>
      <c r="R480" s="36"/>
      <c r="S480" s="40"/>
      <c r="U480" s="42"/>
      <c r="V480" s="42"/>
      <c r="W480" s="42"/>
      <c r="X480" s="44"/>
      <c r="Y480" s="45"/>
    </row>
    <row r="481" spans="1:25" ht="15" thickTop="1" x14ac:dyDescent="0.35">
      <c r="A481" s="29" t="s">
        <v>225</v>
      </c>
      <c r="B481" s="28"/>
      <c r="C481" s="28"/>
      <c r="D481" s="28"/>
      <c r="E481" s="28"/>
      <c r="F481" s="28"/>
      <c r="G481" s="28"/>
      <c r="I481" s="28"/>
      <c r="J481" s="28"/>
      <c r="K481" s="28"/>
      <c r="L481" s="28"/>
      <c r="M481" s="28"/>
      <c r="O481" s="28"/>
      <c r="P481" s="28"/>
      <c r="Q481" s="28"/>
      <c r="R481" s="28"/>
      <c r="S481" s="28"/>
      <c r="U481" s="28"/>
      <c r="V481" s="28"/>
      <c r="W481" s="28"/>
      <c r="X481" s="28"/>
      <c r="Y481" s="28"/>
    </row>
    <row r="482" spans="1:25" x14ac:dyDescent="0.35">
      <c r="A482" s="20" t="s">
        <v>226</v>
      </c>
      <c r="B482" s="20"/>
      <c r="C482" s="56" t="s">
        <v>115</v>
      </c>
      <c r="D482" s="11"/>
      <c r="E482" s="11"/>
      <c r="F482" s="11"/>
      <c r="G482" s="30" t="s">
        <v>115</v>
      </c>
      <c r="I482" s="56" t="s">
        <v>115</v>
      </c>
      <c r="J482" s="11"/>
      <c r="K482" s="11"/>
      <c r="L482" s="11"/>
      <c r="M482" s="30" t="s">
        <v>115</v>
      </c>
      <c r="O482" s="55" t="s">
        <v>116</v>
      </c>
      <c r="P482" s="34"/>
      <c r="Q482" s="34"/>
      <c r="R482" s="34"/>
      <c r="S482" s="35" t="s">
        <v>116</v>
      </c>
      <c r="U482" s="57" t="s">
        <v>117</v>
      </c>
      <c r="V482" s="42"/>
      <c r="W482" s="42"/>
      <c r="X482" s="42"/>
      <c r="Y482" s="43" t="s">
        <v>117</v>
      </c>
    </row>
    <row r="483" spans="1:25" ht="15" thickBot="1" x14ac:dyDescent="0.4">
      <c r="A483" s="2"/>
      <c r="B483" s="2"/>
      <c r="C483" s="2"/>
      <c r="D483" s="18" t="s">
        <v>118</v>
      </c>
      <c r="E483" s="19" t="s">
        <v>119</v>
      </c>
      <c r="F483" s="18" t="s">
        <v>120</v>
      </c>
      <c r="G483" s="12" t="s">
        <v>121</v>
      </c>
      <c r="I483" s="2"/>
      <c r="J483" s="18" t="s">
        <v>118</v>
      </c>
      <c r="K483" s="19" t="s">
        <v>119</v>
      </c>
      <c r="L483" s="18" t="s">
        <v>120</v>
      </c>
      <c r="M483" s="12" t="s">
        <v>121</v>
      </c>
      <c r="O483" s="34"/>
      <c r="P483" s="18" t="s">
        <v>118</v>
      </c>
      <c r="Q483" s="19" t="s">
        <v>119</v>
      </c>
      <c r="R483" s="18" t="s">
        <v>120</v>
      </c>
      <c r="S483" s="39" t="s">
        <v>121</v>
      </c>
      <c r="U483" s="42"/>
      <c r="V483" s="18" t="s">
        <v>118</v>
      </c>
      <c r="W483" s="19" t="s">
        <v>119</v>
      </c>
      <c r="X483" s="18" t="s">
        <v>120</v>
      </c>
      <c r="Y483" s="47" t="s">
        <v>121</v>
      </c>
    </row>
    <row r="484" spans="1:25" ht="15" thickTop="1" x14ac:dyDescent="0.35">
      <c r="A484" s="22" t="s">
        <v>122</v>
      </c>
      <c r="B484" s="2"/>
      <c r="C484" s="21" t="s">
        <v>25</v>
      </c>
      <c r="D484" s="25">
        <v>1306997</v>
      </c>
      <c r="E484" s="14">
        <f>D484/D490</f>
        <v>0.75431539228241817</v>
      </c>
      <c r="F484">
        <v>99.95</v>
      </c>
      <c r="G484" s="15">
        <f t="shared" ref="G484:G489" si="199">E484*F484</f>
        <v>75.393823458627693</v>
      </c>
      <c r="I484" s="21" t="s">
        <v>25</v>
      </c>
      <c r="J484" s="52">
        <v>3795872.4488811493</v>
      </c>
      <c r="K484" s="14">
        <f>J484/J490</f>
        <v>0.80128657690761995</v>
      </c>
      <c r="L484">
        <v>99.95</v>
      </c>
      <c r="M484" s="15">
        <f t="shared" ref="M484:M489" si="200">K484*L484</f>
        <v>80.088593361916622</v>
      </c>
      <c r="O484" s="38" t="s">
        <v>25</v>
      </c>
      <c r="P484" s="13">
        <v>72177</v>
      </c>
      <c r="Q484" s="14">
        <f>P484/P489</f>
        <v>0.38889517497777421</v>
      </c>
      <c r="R484">
        <v>99.95</v>
      </c>
      <c r="S484" s="40">
        <f t="shared" ref="S484:S487" si="201">Q484*R484</f>
        <v>38.870072739028529</v>
      </c>
      <c r="U484" s="46" t="s">
        <v>25</v>
      </c>
      <c r="V484" s="52">
        <v>3449240000</v>
      </c>
      <c r="W484" s="14">
        <f>V484/V489</f>
        <v>0.69655428534847807</v>
      </c>
      <c r="X484">
        <v>99.95</v>
      </c>
      <c r="Y484" s="48">
        <f t="shared" ref="Y484:Y485" si="202">W484*X484</f>
        <v>69.620600820580393</v>
      </c>
    </row>
    <row r="485" spans="1:25" x14ac:dyDescent="0.35">
      <c r="A485" s="23">
        <v>1303508</v>
      </c>
      <c r="B485" s="2"/>
      <c r="C485" s="21" t="s">
        <v>29</v>
      </c>
      <c r="D485" s="13">
        <v>133871</v>
      </c>
      <c r="E485" s="14">
        <f>D485/D490</f>
        <v>7.7261811526912152E-2</v>
      </c>
      <c r="F485">
        <v>99.87</v>
      </c>
      <c r="G485" s="15">
        <f t="shared" si="199"/>
        <v>7.7161371171927167</v>
      </c>
      <c r="I485" s="21" t="s">
        <v>29</v>
      </c>
      <c r="J485" s="52">
        <v>544890.37354946136</v>
      </c>
      <c r="K485" s="14">
        <f>J485/J490</f>
        <v>0.11502318586602035</v>
      </c>
      <c r="L485">
        <v>99.87</v>
      </c>
      <c r="M485" s="15">
        <f t="shared" si="200"/>
        <v>11.487365572439453</v>
      </c>
      <c r="O485" s="38" t="s">
        <v>29</v>
      </c>
      <c r="P485" s="13">
        <v>10081</v>
      </c>
      <c r="Q485" s="14">
        <f>P485/P489</f>
        <v>5.4317196045152082E-2</v>
      </c>
      <c r="R485">
        <v>99.87</v>
      </c>
      <c r="S485" s="40">
        <f t="shared" si="201"/>
        <v>5.4246583690293386</v>
      </c>
      <c r="U485" s="46" t="s">
        <v>29</v>
      </c>
      <c r="V485" s="52">
        <v>28557000</v>
      </c>
      <c r="W485" s="14">
        <f>V485/V489</f>
        <v>5.766922779132936E-3</v>
      </c>
      <c r="X485">
        <v>99.87</v>
      </c>
      <c r="Y485" s="48">
        <f t="shared" si="202"/>
        <v>0.57594257795200632</v>
      </c>
    </row>
    <row r="486" spans="1:25" x14ac:dyDescent="0.35">
      <c r="A486" s="23">
        <v>12</v>
      </c>
      <c r="B486" s="2"/>
      <c r="C486" s="21" t="s">
        <v>30</v>
      </c>
      <c r="D486" s="13">
        <v>5971</v>
      </c>
      <c r="E486" s="14">
        <f>D486/D490</f>
        <v>3.4460807540631837E-3</v>
      </c>
      <c r="F486">
        <v>99.95</v>
      </c>
      <c r="G486" s="15">
        <f t="shared" si="199"/>
        <v>0.3444357713686152</v>
      </c>
      <c r="I486" s="21" t="s">
        <v>30</v>
      </c>
      <c r="J486" s="52">
        <v>9273.9216156005859</v>
      </c>
      <c r="K486" s="14">
        <f>J486/J490</f>
        <v>1.9576708664340182E-3</v>
      </c>
      <c r="L486">
        <v>99.95</v>
      </c>
      <c r="M486" s="15">
        <f t="shared" si="200"/>
        <v>0.19566920310008012</v>
      </c>
      <c r="O486" s="38" t="s">
        <v>30</v>
      </c>
      <c r="P486" s="13">
        <v>100322</v>
      </c>
      <c r="Q486" s="14">
        <f>P486/P489</f>
        <v>0.54054257927207094</v>
      </c>
      <c r="R486">
        <v>99.95</v>
      </c>
      <c r="S486" s="40">
        <f t="shared" si="201"/>
        <v>54.027230798243494</v>
      </c>
      <c r="U486" s="46" t="s">
        <v>30</v>
      </c>
      <c r="V486" s="52">
        <v>175000</v>
      </c>
      <c r="W486" s="14">
        <f>V486/V489</f>
        <v>3.5340248847857404E-5</v>
      </c>
      <c r="X486">
        <v>99.95</v>
      </c>
      <c r="Y486" s="48">
        <f>W486*X486</f>
        <v>3.5322578723433477E-3</v>
      </c>
    </row>
    <row r="487" spans="1:25" x14ac:dyDescent="0.35">
      <c r="A487" s="23">
        <v>3477</v>
      </c>
      <c r="B487" s="2"/>
      <c r="C487" s="21" t="s">
        <v>31</v>
      </c>
      <c r="D487" s="13">
        <v>200126</v>
      </c>
      <c r="E487" s="14">
        <f>D487/D490</f>
        <v>0.1154999760488442</v>
      </c>
      <c r="F487">
        <v>99.95</v>
      </c>
      <c r="G487" s="15">
        <f t="shared" si="199"/>
        <v>11.544222606081977</v>
      </c>
      <c r="I487" s="21" t="s">
        <v>31</v>
      </c>
      <c r="J487" s="52">
        <v>91265.404289245605</v>
      </c>
      <c r="K487" s="14">
        <f>J487/J490</f>
        <v>1.9265595558822044E-2</v>
      </c>
      <c r="L487">
        <v>99.95</v>
      </c>
      <c r="M487" s="15">
        <f t="shared" si="200"/>
        <v>1.9255962761042633</v>
      </c>
      <c r="O487" s="38" t="s">
        <v>31</v>
      </c>
      <c r="P487" s="13">
        <v>2507</v>
      </c>
      <c r="Q487" s="14">
        <f>P487/P489</f>
        <v>1.3507907001805005E-2</v>
      </c>
      <c r="R487">
        <v>99.95</v>
      </c>
      <c r="S487" s="40">
        <f t="shared" si="201"/>
        <v>1.3501153048304104</v>
      </c>
      <c r="U487" s="46" t="s">
        <v>31</v>
      </c>
      <c r="V487" s="52">
        <v>1465402000</v>
      </c>
      <c r="W487" s="14">
        <f>V487/V489</f>
        <v>0.29592955052655961</v>
      </c>
      <c r="X487">
        <v>99.95</v>
      </c>
      <c r="Y487" s="48">
        <f t="shared" ref="Y487" si="203">W487*X487</f>
        <v>29.578158575129635</v>
      </c>
    </row>
    <row r="488" spans="1:25" ht="15" thickBot="1" x14ac:dyDescent="0.4">
      <c r="A488" s="24">
        <f>SUM(A485:A487)</f>
        <v>1306997</v>
      </c>
      <c r="B488" s="2"/>
      <c r="C488" s="21" t="s">
        <v>32</v>
      </c>
      <c r="D488" s="13">
        <v>170</v>
      </c>
      <c r="E488" s="14">
        <f>D488/D490</f>
        <v>9.8113168345459928E-5</v>
      </c>
      <c r="F488">
        <v>99.95</v>
      </c>
      <c r="G488" s="15">
        <f t="shared" si="199"/>
        <v>9.8064111761287202E-3</v>
      </c>
      <c r="I488" s="21" t="s">
        <v>32</v>
      </c>
      <c r="J488" s="52">
        <v>290.95643901824951</v>
      </c>
      <c r="K488" s="14">
        <f>J488/J490</f>
        <v>6.141921052138692E-5</v>
      </c>
      <c r="L488">
        <v>99.95</v>
      </c>
      <c r="M488" s="15">
        <f t="shared" si="200"/>
        <v>6.1388500916126224E-3</v>
      </c>
      <c r="O488" s="38" t="s">
        <v>33</v>
      </c>
      <c r="P488" s="13">
        <v>508</v>
      </c>
      <c r="Q488" s="14">
        <f>P488/P489</f>
        <v>2.737142703197823E-3</v>
      </c>
      <c r="R488">
        <v>99.92</v>
      </c>
      <c r="S488" s="40">
        <f>Q488*R488</f>
        <v>0.27349529890352647</v>
      </c>
      <c r="U488" s="46" t="s">
        <v>33</v>
      </c>
      <c r="V488" s="52">
        <v>8487000</v>
      </c>
      <c r="W488" s="14">
        <f>V488/V489</f>
        <v>1.7139010969815186E-3</v>
      </c>
      <c r="X488">
        <v>99.92</v>
      </c>
      <c r="Y488" s="48">
        <f>W488*X488</f>
        <v>0.17125299761039334</v>
      </c>
    </row>
    <row r="489" spans="1:25" ht="15.5" thickTop="1" thickBot="1" x14ac:dyDescent="0.4">
      <c r="B489" s="2"/>
      <c r="C489" s="21" t="s">
        <v>33</v>
      </c>
      <c r="D489" s="13">
        <v>85558</v>
      </c>
      <c r="E489" s="16">
        <f>D489/D490</f>
        <v>4.9378626219416827E-2</v>
      </c>
      <c r="F489">
        <v>99.91</v>
      </c>
      <c r="G489" s="15">
        <f t="shared" si="199"/>
        <v>4.9334185455819348</v>
      </c>
      <c r="I489" s="21" t="s">
        <v>33</v>
      </c>
      <c r="J489" s="52">
        <v>295628.95569038391</v>
      </c>
      <c r="K489" s="16">
        <f>J489/J490</f>
        <v>6.2405551590582212E-2</v>
      </c>
      <c r="L489">
        <v>99.91</v>
      </c>
      <c r="M489" s="15">
        <f t="shared" si="200"/>
        <v>6.2349386594150689</v>
      </c>
      <c r="O489" s="38"/>
      <c r="P489" s="31">
        <f>SUM(P484:P488)</f>
        <v>185595</v>
      </c>
      <c r="Q489" s="32">
        <f>SUM(Q484:Q488)</f>
        <v>1</v>
      </c>
      <c r="R489" s="33">
        <f>AVERAGE(R484:R488)</f>
        <v>99.927999999999997</v>
      </c>
      <c r="S489" s="41">
        <f>SUM(S484:S488)</f>
        <v>99.945572510035305</v>
      </c>
      <c r="U489" s="46"/>
      <c r="V489" s="52">
        <f>SUM(V484:V488)</f>
        <v>4951861000</v>
      </c>
      <c r="W489" s="32">
        <f>SUM(W484:W488)</f>
        <v>1</v>
      </c>
      <c r="X489" s="33">
        <f>AVERAGE(X484:X488)</f>
        <v>99.927999999999997</v>
      </c>
      <c r="Y489" s="58">
        <f>SUM(Y484:Y488)</f>
        <v>99.949487229144765</v>
      </c>
    </row>
    <row r="490" spans="1:25" ht="15" thickBot="1" x14ac:dyDescent="0.4">
      <c r="A490" s="10"/>
      <c r="B490" s="10"/>
      <c r="C490" s="10"/>
      <c r="D490" s="49">
        <f>SUM(D484:D489)</f>
        <v>1732693</v>
      </c>
      <c r="E490" s="50">
        <f>SUM(E484:E489)</f>
        <v>1</v>
      </c>
      <c r="F490" s="51">
        <f>AVERAGE(F484:F489)</f>
        <v>99.929999999999993</v>
      </c>
      <c r="G490" s="26">
        <f>SUM(G484:G489)</f>
        <v>99.94184391002905</v>
      </c>
      <c r="I490" s="10"/>
      <c r="J490" s="49">
        <f>SUM(J484:J489)</f>
        <v>4737222.060464859</v>
      </c>
      <c r="K490" s="50">
        <f>SUM(K484:K489)</f>
        <v>1</v>
      </c>
      <c r="L490" s="51">
        <f>AVERAGE(L484:L489)</f>
        <v>99.929999999999993</v>
      </c>
      <c r="M490" s="26">
        <f>SUM(M484:M489)</f>
        <v>99.938301923067101</v>
      </c>
      <c r="O490" s="34"/>
      <c r="P490" s="34"/>
      <c r="Q490" s="34"/>
      <c r="R490" s="36"/>
      <c r="S490" s="40"/>
      <c r="U490" s="42"/>
      <c r="V490" s="42"/>
      <c r="W490" s="42"/>
      <c r="X490" s="44"/>
      <c r="Y490" s="45"/>
    </row>
    <row r="491" spans="1:25" ht="15" thickTop="1" x14ac:dyDescent="0.35">
      <c r="A491" s="29" t="s">
        <v>227</v>
      </c>
      <c r="B491" s="28"/>
      <c r="C491" s="28"/>
      <c r="D491" s="28"/>
      <c r="E491" s="28"/>
      <c r="F491" s="28"/>
      <c r="G491" s="28"/>
      <c r="I491" s="28"/>
      <c r="J491" s="28"/>
      <c r="K491" s="28"/>
      <c r="L491" s="28"/>
      <c r="M491" s="28"/>
      <c r="O491" s="28"/>
      <c r="P491" s="28"/>
      <c r="Q491" s="28"/>
      <c r="R491" s="28"/>
      <c r="S491" s="28"/>
      <c r="U491" s="28"/>
      <c r="V491" s="28"/>
      <c r="W491" s="28"/>
      <c r="X491" s="28"/>
      <c r="Y491" s="28"/>
    </row>
    <row r="492" spans="1:25" x14ac:dyDescent="0.35">
      <c r="A492" s="20" t="s">
        <v>226</v>
      </c>
      <c r="B492" s="20"/>
      <c r="C492" s="56" t="s">
        <v>115</v>
      </c>
      <c r="D492" s="11"/>
      <c r="E492" s="11"/>
      <c r="F492" s="11"/>
      <c r="G492" s="30" t="s">
        <v>115</v>
      </c>
      <c r="I492" s="56" t="s">
        <v>115</v>
      </c>
      <c r="J492" s="11"/>
      <c r="K492" s="11"/>
      <c r="L492" s="11"/>
      <c r="M492" s="30" t="s">
        <v>115</v>
      </c>
      <c r="O492" s="55" t="s">
        <v>116</v>
      </c>
      <c r="P492" s="34"/>
      <c r="Q492" s="34"/>
      <c r="R492" s="34"/>
      <c r="S492" s="35" t="s">
        <v>116</v>
      </c>
      <c r="U492" s="57" t="s">
        <v>117</v>
      </c>
      <c r="V492" s="42"/>
      <c r="W492" s="42"/>
      <c r="X492" s="42"/>
      <c r="Y492" s="43" t="s">
        <v>117</v>
      </c>
    </row>
    <row r="493" spans="1:25" ht="15" thickBot="1" x14ac:dyDescent="0.4">
      <c r="A493" s="2"/>
      <c r="B493" s="2"/>
      <c r="C493" s="2"/>
      <c r="D493" s="18" t="s">
        <v>118</v>
      </c>
      <c r="E493" s="19" t="s">
        <v>119</v>
      </c>
      <c r="F493" s="18" t="s">
        <v>120</v>
      </c>
      <c r="G493" s="12" t="s">
        <v>121</v>
      </c>
      <c r="I493" s="2"/>
      <c r="J493" s="18" t="s">
        <v>118</v>
      </c>
      <c r="K493" s="19" t="s">
        <v>119</v>
      </c>
      <c r="L493" s="18" t="s">
        <v>120</v>
      </c>
      <c r="M493" s="12" t="s">
        <v>121</v>
      </c>
      <c r="O493" s="34"/>
      <c r="P493" s="18" t="s">
        <v>118</v>
      </c>
      <c r="Q493" s="19" t="s">
        <v>119</v>
      </c>
      <c r="R493" s="18" t="s">
        <v>120</v>
      </c>
      <c r="S493" s="39" t="s">
        <v>121</v>
      </c>
      <c r="U493" s="42"/>
      <c r="V493" s="18" t="s">
        <v>118</v>
      </c>
      <c r="W493" s="19" t="s">
        <v>119</v>
      </c>
      <c r="X493" s="18" t="s">
        <v>120</v>
      </c>
      <c r="Y493" s="47" t="s">
        <v>121</v>
      </c>
    </row>
    <row r="494" spans="1:25" ht="15" thickTop="1" x14ac:dyDescent="0.35">
      <c r="A494" s="22" t="s">
        <v>122</v>
      </c>
      <c r="B494" s="2"/>
      <c r="C494" s="21" t="s">
        <v>25</v>
      </c>
      <c r="D494" s="25">
        <v>1306997</v>
      </c>
      <c r="E494" s="14">
        <f>D494/D500</f>
        <v>0.75431539228241817</v>
      </c>
      <c r="F494">
        <v>99.96</v>
      </c>
      <c r="G494" s="15">
        <f t="shared" ref="G494:G499" si="204">E494*F494</f>
        <v>75.401366612550518</v>
      </c>
      <c r="I494" s="21" t="s">
        <v>25</v>
      </c>
      <c r="J494" s="52">
        <v>3795872.4488811493</v>
      </c>
      <c r="K494" s="14">
        <f>J494/J500</f>
        <v>0.80128657690761995</v>
      </c>
      <c r="L494">
        <v>99.96</v>
      </c>
      <c r="M494" s="15">
        <f t="shared" ref="M494:M499" si="205">K494*L494</f>
        <v>80.096606227685683</v>
      </c>
      <c r="O494" s="38" t="s">
        <v>25</v>
      </c>
      <c r="P494" s="13">
        <v>72177</v>
      </c>
      <c r="Q494" s="14">
        <f>P494/P499</f>
        <v>0.38889517497777421</v>
      </c>
      <c r="R494">
        <v>99.92</v>
      </c>
      <c r="S494" s="40">
        <f t="shared" ref="S494:S497" si="206">Q494*R494</f>
        <v>38.858405883779199</v>
      </c>
      <c r="U494" s="46" t="s">
        <v>25</v>
      </c>
      <c r="V494" s="52">
        <v>3449240000</v>
      </c>
      <c r="W494" s="14">
        <f>V494/V499</f>
        <v>0.69655428534847807</v>
      </c>
      <c r="X494">
        <v>99.96</v>
      </c>
      <c r="Y494" s="48">
        <f t="shared" ref="Y494:Y495" si="207">W494*X494</f>
        <v>69.627566363433857</v>
      </c>
    </row>
    <row r="495" spans="1:25" x14ac:dyDescent="0.35">
      <c r="A495" s="23">
        <v>1303508</v>
      </c>
      <c r="B495" s="2"/>
      <c r="C495" s="21" t="s">
        <v>29</v>
      </c>
      <c r="D495" s="13">
        <v>133871</v>
      </c>
      <c r="E495" s="14">
        <f>D495/D500</f>
        <v>7.7261811526912152E-2</v>
      </c>
      <c r="F495">
        <v>99.86</v>
      </c>
      <c r="G495" s="15">
        <f t="shared" si="204"/>
        <v>7.7153644990774479</v>
      </c>
      <c r="I495" s="21" t="s">
        <v>29</v>
      </c>
      <c r="J495" s="52">
        <v>544890.37354946136</v>
      </c>
      <c r="K495" s="14">
        <f>J495/J500</f>
        <v>0.11502318586602035</v>
      </c>
      <c r="L495">
        <v>99.86</v>
      </c>
      <c r="M495" s="15">
        <f t="shared" si="205"/>
        <v>11.486215340580792</v>
      </c>
      <c r="O495" s="38" t="s">
        <v>29</v>
      </c>
      <c r="P495" s="13">
        <v>10081</v>
      </c>
      <c r="Q495" s="14">
        <f>P495/P499</f>
        <v>5.4317196045152082E-2</v>
      </c>
      <c r="R495">
        <v>99.86</v>
      </c>
      <c r="S495" s="40">
        <f t="shared" si="206"/>
        <v>5.424115197068887</v>
      </c>
      <c r="U495" s="46" t="s">
        <v>29</v>
      </c>
      <c r="V495" s="52">
        <v>28557000</v>
      </c>
      <c r="W495" s="14">
        <f>V495/V499</f>
        <v>5.766922779132936E-3</v>
      </c>
      <c r="X495">
        <v>99.87</v>
      </c>
      <c r="Y495" s="48">
        <f t="shared" si="207"/>
        <v>0.57594257795200632</v>
      </c>
    </row>
    <row r="496" spans="1:25" x14ac:dyDescent="0.35">
      <c r="A496" s="23">
        <v>12</v>
      </c>
      <c r="B496" s="2"/>
      <c r="C496" s="21" t="s">
        <v>30</v>
      </c>
      <c r="D496" s="13">
        <v>5971</v>
      </c>
      <c r="E496" s="14">
        <f>D496/D500</f>
        <v>3.4460807540631837E-3</v>
      </c>
      <c r="F496">
        <v>99.96</v>
      </c>
      <c r="G496" s="15">
        <f t="shared" si="204"/>
        <v>0.3444702321761558</v>
      </c>
      <c r="I496" s="21" t="s">
        <v>30</v>
      </c>
      <c r="J496" s="52">
        <v>9273.9216156005859</v>
      </c>
      <c r="K496" s="14">
        <f>J496/J500</f>
        <v>1.9576708664340182E-3</v>
      </c>
      <c r="L496">
        <v>99.96</v>
      </c>
      <c r="M496" s="15">
        <f t="shared" si="205"/>
        <v>0.19568877980874444</v>
      </c>
      <c r="O496" s="38" t="s">
        <v>30</v>
      </c>
      <c r="P496" s="13">
        <v>100322</v>
      </c>
      <c r="Q496" s="14">
        <f>P496/P499</f>
        <v>0.54054257927207094</v>
      </c>
      <c r="R496">
        <v>99.92</v>
      </c>
      <c r="S496" s="40">
        <f t="shared" si="206"/>
        <v>54.011014520865331</v>
      </c>
      <c r="U496" s="46" t="s">
        <v>30</v>
      </c>
      <c r="V496" s="52">
        <v>175000</v>
      </c>
      <c r="W496" s="14">
        <f>V496/V499</f>
        <v>3.5340248847857404E-5</v>
      </c>
      <c r="X496">
        <v>99.96</v>
      </c>
      <c r="Y496" s="48">
        <f>W496*X496</f>
        <v>3.5326112748318259E-3</v>
      </c>
    </row>
    <row r="497" spans="1:25" x14ac:dyDescent="0.35">
      <c r="A497" s="23">
        <v>3477</v>
      </c>
      <c r="B497" s="2"/>
      <c r="C497" s="21" t="s">
        <v>31</v>
      </c>
      <c r="D497" s="13">
        <v>200126</v>
      </c>
      <c r="E497" s="14">
        <f>D497/D500</f>
        <v>0.1154999760488442</v>
      </c>
      <c r="F497">
        <v>99.96</v>
      </c>
      <c r="G497" s="15">
        <f t="shared" si="204"/>
        <v>11.545377605842464</v>
      </c>
      <c r="I497" s="21" t="s">
        <v>31</v>
      </c>
      <c r="J497" s="52">
        <v>91265.404289245605</v>
      </c>
      <c r="K497" s="14">
        <f>J497/J500</f>
        <v>1.9265595558822044E-2</v>
      </c>
      <c r="L497">
        <v>99.96</v>
      </c>
      <c r="M497" s="15">
        <f t="shared" si="205"/>
        <v>1.9257889320598514</v>
      </c>
      <c r="O497" s="38" t="s">
        <v>31</v>
      </c>
      <c r="P497" s="13">
        <v>2507</v>
      </c>
      <c r="Q497" s="14">
        <f>P497/P499</f>
        <v>1.3507907001805005E-2</v>
      </c>
      <c r="R497">
        <v>99.92</v>
      </c>
      <c r="S497" s="40">
        <f t="shared" si="206"/>
        <v>1.3497100676203562</v>
      </c>
      <c r="U497" s="46" t="s">
        <v>31</v>
      </c>
      <c r="V497" s="52">
        <v>1465402000</v>
      </c>
      <c r="W497" s="14">
        <f>V497/V499</f>
        <v>0.29592955052655961</v>
      </c>
      <c r="X497">
        <v>99.96</v>
      </c>
      <c r="Y497" s="48">
        <f>W497*X497</f>
        <v>29.581117870634898</v>
      </c>
    </row>
    <row r="498" spans="1:25" ht="15" thickBot="1" x14ac:dyDescent="0.4">
      <c r="A498" s="24">
        <f>SUM(A495:A497)</f>
        <v>1306997</v>
      </c>
      <c r="B498" s="2"/>
      <c r="C498" s="21" t="s">
        <v>32</v>
      </c>
      <c r="D498" s="13">
        <v>170</v>
      </c>
      <c r="E498" s="14">
        <f>D498/D500</f>
        <v>9.8113168345459928E-5</v>
      </c>
      <c r="F498">
        <v>99.96</v>
      </c>
      <c r="G498" s="15">
        <f t="shared" si="204"/>
        <v>9.8073923078121732E-3</v>
      </c>
      <c r="I498" s="21" t="s">
        <v>32</v>
      </c>
      <c r="J498" s="52">
        <v>290.95643901824951</v>
      </c>
      <c r="K498" s="14">
        <f>J498/J500</f>
        <v>6.141921052138692E-5</v>
      </c>
      <c r="L498">
        <v>99.96</v>
      </c>
      <c r="M498" s="15">
        <f t="shared" si="205"/>
        <v>6.1394642837178364E-3</v>
      </c>
      <c r="O498" s="38" t="s">
        <v>33</v>
      </c>
      <c r="P498" s="13">
        <v>508</v>
      </c>
      <c r="Q498" s="14">
        <f>P498/P499</f>
        <v>2.737142703197823E-3</v>
      </c>
      <c r="R498">
        <v>99.9</v>
      </c>
      <c r="S498" s="40">
        <f>Q498*R498</f>
        <v>0.27344055604946255</v>
      </c>
      <c r="U498" s="46" t="s">
        <v>33</v>
      </c>
      <c r="V498" s="52">
        <v>8487000</v>
      </c>
      <c r="W498" s="14">
        <f>V498/V499</f>
        <v>1.7139010969815186E-3</v>
      </c>
      <c r="X498">
        <v>99.95</v>
      </c>
      <c r="Y498" s="48">
        <f>W498*X498</f>
        <v>0.17130441464330279</v>
      </c>
    </row>
    <row r="499" spans="1:25" ht="15.5" thickTop="1" thickBot="1" x14ac:dyDescent="0.4">
      <c r="B499" s="2"/>
      <c r="C499" s="21" t="s">
        <v>33</v>
      </c>
      <c r="D499" s="13">
        <v>85558</v>
      </c>
      <c r="E499" s="16">
        <f>D499/D500</f>
        <v>4.9378626219416827E-2</v>
      </c>
      <c r="F499">
        <v>99.93</v>
      </c>
      <c r="G499" s="15">
        <f t="shared" si="204"/>
        <v>4.9344061181063239</v>
      </c>
      <c r="I499" s="21" t="s">
        <v>33</v>
      </c>
      <c r="J499" s="52">
        <v>295628.95569038391</v>
      </c>
      <c r="K499" s="16">
        <f>J499/J500</f>
        <v>6.2405551590582212E-2</v>
      </c>
      <c r="L499">
        <v>99.93</v>
      </c>
      <c r="M499" s="15">
        <f t="shared" si="205"/>
        <v>6.2361867704468805</v>
      </c>
      <c r="O499" s="38"/>
      <c r="P499" s="31">
        <f>SUM(P494:P498)</f>
        <v>185595</v>
      </c>
      <c r="Q499" s="32">
        <f>SUM(Q494:Q498)</f>
        <v>1</v>
      </c>
      <c r="R499" s="33">
        <f>AVERAGE(R494:R498)</f>
        <v>99.903999999999996</v>
      </c>
      <c r="S499" s="41">
        <f>SUM(S494:S498)</f>
        <v>99.916686225383231</v>
      </c>
      <c r="U499" s="46"/>
      <c r="V499" s="52">
        <f>SUM(V494:V498)</f>
        <v>4951861000</v>
      </c>
      <c r="W499" s="32">
        <f>SUM(W494:W498)</f>
        <v>1</v>
      </c>
      <c r="X499" s="33">
        <f>AVERAGE(X494:X498)</f>
        <v>99.939999999999984</v>
      </c>
      <c r="Y499" s="58">
        <f>SUM(Y494:Y498)</f>
        <v>99.959463837938898</v>
      </c>
    </row>
    <row r="500" spans="1:25" ht="15" thickBot="1" x14ac:dyDescent="0.4">
      <c r="A500" s="10"/>
      <c r="B500" s="10"/>
      <c r="C500" s="10"/>
      <c r="D500" s="49">
        <f>SUM(D494:D499)</f>
        <v>1732693</v>
      </c>
      <c r="E500" s="50">
        <f>SUM(E494:E499)</f>
        <v>1</v>
      </c>
      <c r="F500" s="51">
        <f>AVERAGE(F494:F499)</f>
        <v>99.938333333333318</v>
      </c>
      <c r="G500" s="26">
        <f>SUM(G494:G499)</f>
        <v>99.950792460060711</v>
      </c>
      <c r="I500" s="10"/>
      <c r="J500" s="49">
        <f>SUM(J494:J499)</f>
        <v>4737222.060464859</v>
      </c>
      <c r="K500" s="50">
        <f>SUM(K494:K499)</f>
        <v>1</v>
      </c>
      <c r="L500" s="51">
        <f>AVERAGE(L494:L499)</f>
        <v>99.938333333333318</v>
      </c>
      <c r="M500" s="26">
        <f>SUM(M494:M499)</f>
        <v>99.946625514865659</v>
      </c>
      <c r="O500" s="34"/>
      <c r="P500" s="34"/>
      <c r="Q500" s="34"/>
      <c r="R500" s="36"/>
      <c r="S500" s="40"/>
      <c r="U500" s="42"/>
      <c r="V500" s="42"/>
      <c r="W500" s="42"/>
      <c r="X500" s="44"/>
      <c r="Y500" s="45"/>
    </row>
    <row r="501" spans="1:25" ht="15" thickTop="1" x14ac:dyDescent="0.35">
      <c r="A501" s="29" t="s">
        <v>228</v>
      </c>
      <c r="B501" s="28"/>
      <c r="C501" s="28"/>
      <c r="D501" s="28"/>
      <c r="E501" s="28"/>
      <c r="F501" s="28"/>
      <c r="G501" s="28"/>
      <c r="I501" s="28"/>
      <c r="J501" s="28"/>
      <c r="K501" s="28"/>
      <c r="L501" s="28"/>
      <c r="M501" s="28"/>
      <c r="O501" s="28"/>
      <c r="P501" s="28"/>
      <c r="Q501" s="28"/>
      <c r="R501" s="28"/>
      <c r="S501" s="28"/>
      <c r="U501" s="28"/>
      <c r="V501" s="28"/>
      <c r="W501" s="28"/>
      <c r="X501" s="28"/>
      <c r="Y501" s="28"/>
    </row>
    <row r="502" spans="1:25" x14ac:dyDescent="0.35">
      <c r="A502" s="20" t="s">
        <v>229</v>
      </c>
      <c r="B502" s="20"/>
      <c r="C502" s="56" t="s">
        <v>115</v>
      </c>
      <c r="D502" s="11"/>
      <c r="E502" s="11"/>
      <c r="F502" s="11"/>
      <c r="G502" s="30" t="s">
        <v>115</v>
      </c>
      <c r="I502" s="56" t="s">
        <v>115</v>
      </c>
      <c r="J502" s="11"/>
      <c r="K502" s="11"/>
      <c r="L502" s="11"/>
      <c r="M502" s="30" t="s">
        <v>115</v>
      </c>
      <c r="O502" s="55" t="s">
        <v>116</v>
      </c>
      <c r="P502" s="34"/>
      <c r="Q502" s="34"/>
      <c r="R502" s="34"/>
      <c r="S502" s="35" t="s">
        <v>116</v>
      </c>
      <c r="U502" s="57" t="s">
        <v>117</v>
      </c>
      <c r="V502" s="42"/>
      <c r="W502" s="42"/>
      <c r="X502" s="42"/>
      <c r="Y502" s="43" t="s">
        <v>117</v>
      </c>
    </row>
    <row r="503" spans="1:25" ht="15" thickBot="1" x14ac:dyDescent="0.4">
      <c r="A503" s="2"/>
      <c r="B503" s="2"/>
      <c r="C503" s="2"/>
      <c r="D503" s="18" t="s">
        <v>118</v>
      </c>
      <c r="E503" s="19" t="s">
        <v>119</v>
      </c>
      <c r="F503" s="18" t="s">
        <v>120</v>
      </c>
      <c r="G503" s="12" t="s">
        <v>121</v>
      </c>
      <c r="I503" s="2"/>
      <c r="J503" s="18" t="s">
        <v>118</v>
      </c>
      <c r="K503" s="19" t="s">
        <v>119</v>
      </c>
      <c r="L503" s="18" t="s">
        <v>120</v>
      </c>
      <c r="M503" s="12" t="s">
        <v>121</v>
      </c>
      <c r="O503" s="34"/>
      <c r="P503" s="18" t="s">
        <v>118</v>
      </c>
      <c r="Q503" s="19" t="s">
        <v>119</v>
      </c>
      <c r="R503" s="18" t="s">
        <v>120</v>
      </c>
      <c r="S503" s="39" t="s">
        <v>121</v>
      </c>
      <c r="U503" s="42"/>
      <c r="V503" s="18" t="s">
        <v>118</v>
      </c>
      <c r="W503" s="19" t="s">
        <v>119</v>
      </c>
      <c r="X503" s="18" t="s">
        <v>120</v>
      </c>
      <c r="Y503" s="47" t="s">
        <v>121</v>
      </c>
    </row>
    <row r="504" spans="1:25" ht="15" thickTop="1" x14ac:dyDescent="0.35">
      <c r="A504" s="22" t="s">
        <v>122</v>
      </c>
      <c r="B504" s="2"/>
      <c r="C504" s="21" t="s">
        <v>25</v>
      </c>
      <c r="D504" s="25">
        <v>1308079</v>
      </c>
      <c r="E504" s="14">
        <f>D504/D510</f>
        <v>0.75433427677090614</v>
      </c>
      <c r="F504">
        <v>99.95</v>
      </c>
      <c r="G504" s="15">
        <f t="shared" ref="G504:G509" si="208">E504*F504</f>
        <v>75.395710963252071</v>
      </c>
      <c r="I504" s="21" t="s">
        <v>25</v>
      </c>
      <c r="J504" s="52">
        <v>3827813.8748588562</v>
      </c>
      <c r="K504" s="14">
        <f>J504/J510</f>
        <v>0.79977073928534592</v>
      </c>
      <c r="L504">
        <v>99.95</v>
      </c>
      <c r="M504" s="15">
        <f t="shared" ref="M504:M509" si="209">K504*L504</f>
        <v>79.937085391570321</v>
      </c>
      <c r="O504" s="38" t="s">
        <v>25</v>
      </c>
      <c r="P504" s="13">
        <v>82719</v>
      </c>
      <c r="Q504" s="14">
        <f>P504/P509</f>
        <v>0.41606224913738471</v>
      </c>
      <c r="R504">
        <v>99.95</v>
      </c>
      <c r="S504" s="40">
        <f t="shared" ref="S504:S507" si="210">Q504*R504</f>
        <v>41.585421801281605</v>
      </c>
      <c r="U504" s="46" t="s">
        <v>25</v>
      </c>
      <c r="V504" s="52">
        <v>3986319000</v>
      </c>
      <c r="W504" s="14">
        <f>V504/V508</f>
        <v>0.71856252129287645</v>
      </c>
      <c r="X504">
        <v>99.95</v>
      </c>
      <c r="Y504" s="48">
        <f t="shared" ref="Y504:Y505" si="211">W504*X504</f>
        <v>71.820324003223007</v>
      </c>
    </row>
    <row r="505" spans="1:25" x14ac:dyDescent="0.35">
      <c r="A505" s="23">
        <v>1304590</v>
      </c>
      <c r="B505" s="2"/>
      <c r="C505" s="21" t="s">
        <v>29</v>
      </c>
      <c r="D505" s="13">
        <v>134180</v>
      </c>
      <c r="E505" s="14">
        <f>D505/D510</f>
        <v>7.7378027823334972E-2</v>
      </c>
      <c r="F505">
        <v>99.87</v>
      </c>
      <c r="G505" s="15">
        <f t="shared" si="208"/>
        <v>7.727743638716464</v>
      </c>
      <c r="I505" s="21" t="s">
        <v>29</v>
      </c>
      <c r="J505" s="52">
        <v>535002.51616191864</v>
      </c>
      <c r="K505" s="14">
        <f>J505/J510</f>
        <v>0.11178165184066459</v>
      </c>
      <c r="L505">
        <v>99.87</v>
      </c>
      <c r="M505" s="15">
        <f t="shared" si="209"/>
        <v>11.163633569327173</v>
      </c>
      <c r="O505" s="38" t="s">
        <v>29</v>
      </c>
      <c r="P505" s="13">
        <v>10027</v>
      </c>
      <c r="Q505" s="14">
        <f>P505/P509</f>
        <v>5.0434074059170886E-2</v>
      </c>
      <c r="R505">
        <v>99.87</v>
      </c>
      <c r="S505" s="40">
        <f t="shared" si="210"/>
        <v>5.0368509762893963</v>
      </c>
      <c r="U505" s="46" t="s">
        <v>29</v>
      </c>
      <c r="V505" s="52">
        <v>47272000</v>
      </c>
      <c r="W505" s="14">
        <f>V505/V508</f>
        <v>8.5211162244057375E-3</v>
      </c>
      <c r="X505">
        <v>99.87</v>
      </c>
      <c r="Y505" s="48">
        <f t="shared" si="211"/>
        <v>0.85100387733140104</v>
      </c>
    </row>
    <row r="506" spans="1:25" x14ac:dyDescent="0.35">
      <c r="A506" s="23">
        <v>12</v>
      </c>
      <c r="B506" s="2"/>
      <c r="C506" s="21" t="s">
        <v>30</v>
      </c>
      <c r="D506" s="13">
        <v>5983</v>
      </c>
      <c r="E506" s="14">
        <f>D506/D510</f>
        <v>3.4502365514012009E-3</v>
      </c>
      <c r="F506">
        <v>99.95</v>
      </c>
      <c r="G506" s="15">
        <f t="shared" si="208"/>
        <v>0.34485114331255007</v>
      </c>
      <c r="I506" s="21" t="s">
        <v>30</v>
      </c>
      <c r="J506" s="52">
        <v>18795.015955924988</v>
      </c>
      <c r="K506" s="14">
        <f>J506/J510</f>
        <v>3.9269683159566552E-3</v>
      </c>
      <c r="L506">
        <v>99.95</v>
      </c>
      <c r="M506" s="15">
        <f t="shared" si="209"/>
        <v>0.39250048317986769</v>
      </c>
      <c r="O506" s="38" t="s">
        <v>30</v>
      </c>
      <c r="P506" s="13">
        <v>102592</v>
      </c>
      <c r="Q506" s="14">
        <f>P506/P509</f>
        <v>0.51601999859164849</v>
      </c>
      <c r="R506">
        <v>99.95</v>
      </c>
      <c r="S506" s="40">
        <f t="shared" si="210"/>
        <v>51.576198859235269</v>
      </c>
      <c r="U506" s="46" t="s">
        <v>31</v>
      </c>
      <c r="V506" s="52">
        <v>1509575000</v>
      </c>
      <c r="W506" s="14">
        <f>V506/V508</f>
        <v>0.27211169454343564</v>
      </c>
      <c r="X506">
        <v>99.95</v>
      </c>
      <c r="Y506" s="48">
        <f>W506*X506</f>
        <v>27.197563869616392</v>
      </c>
    </row>
    <row r="507" spans="1:25" x14ac:dyDescent="0.35">
      <c r="A507" s="23">
        <v>3477</v>
      </c>
      <c r="B507" s="2"/>
      <c r="C507" s="21" t="s">
        <v>31</v>
      </c>
      <c r="D507" s="13">
        <v>200124</v>
      </c>
      <c r="E507" s="14">
        <f>D507/D510</f>
        <v>0.11540617409537254</v>
      </c>
      <c r="F507">
        <v>99.95</v>
      </c>
      <c r="G507" s="15">
        <f t="shared" si="208"/>
        <v>11.534847100832486</v>
      </c>
      <c r="I507" s="21" t="s">
        <v>31</v>
      </c>
      <c r="J507" s="52">
        <v>113216.105509758</v>
      </c>
      <c r="K507" s="14">
        <f>J507/J510</f>
        <v>2.3654997699146394E-2</v>
      </c>
      <c r="L507">
        <v>99.95</v>
      </c>
      <c r="M507" s="15">
        <f t="shared" si="209"/>
        <v>2.3643170200296821</v>
      </c>
      <c r="O507" s="38" t="s">
        <v>31</v>
      </c>
      <c r="P507" s="13">
        <v>3065</v>
      </c>
      <c r="Q507" s="14">
        <f>P507/P509</f>
        <v>1.5416419366845393E-2</v>
      </c>
      <c r="R507">
        <v>99.95</v>
      </c>
      <c r="S507" s="40">
        <f t="shared" si="210"/>
        <v>1.5408711157161972</v>
      </c>
      <c r="U507" s="46" t="s">
        <v>33</v>
      </c>
      <c r="V507" s="52">
        <v>4464000</v>
      </c>
      <c r="W507" s="14">
        <f>V507/V508</f>
        <v>8.0466793928217993E-4</v>
      </c>
      <c r="X507">
        <v>99.93</v>
      </c>
      <c r="Y507" s="48">
        <f>W507*X507</f>
        <v>8.0410467172468247E-2</v>
      </c>
    </row>
    <row r="508" spans="1:25" ht="15" thickBot="1" x14ac:dyDescent="0.4">
      <c r="A508" s="24">
        <f>SUM(A505:A507)</f>
        <v>1308079</v>
      </c>
      <c r="B508" s="2"/>
      <c r="C508" s="21" t="s">
        <v>32</v>
      </c>
      <c r="D508" s="13">
        <v>170</v>
      </c>
      <c r="E508" s="14">
        <f>D508/D510</f>
        <v>9.8034466611767362E-5</v>
      </c>
      <c r="F508">
        <v>99.95</v>
      </c>
      <c r="G508" s="15">
        <f t="shared" si="208"/>
        <v>9.798544937846149E-3</v>
      </c>
      <c r="I508" s="21" t="s">
        <v>32</v>
      </c>
      <c r="J508" s="52">
        <v>284.20216751098633</v>
      </c>
      <c r="K508" s="14">
        <f>J508/J510</f>
        <v>5.9380258562112148E-5</v>
      </c>
      <c r="L508">
        <v>99.95</v>
      </c>
      <c r="M508" s="15">
        <f t="shared" si="209"/>
        <v>5.9350568432831093E-3</v>
      </c>
      <c r="O508" s="38" t="s">
        <v>33</v>
      </c>
      <c r="P508" s="13">
        <v>411</v>
      </c>
      <c r="Q508" s="14">
        <f>P508/P509</f>
        <v>2.0672588449505568E-3</v>
      </c>
      <c r="R508">
        <v>99.93</v>
      </c>
      <c r="S508" s="40">
        <f>Q508*R508</f>
        <v>0.20658117637590914</v>
      </c>
      <c r="U508" s="46"/>
      <c r="V508" s="52">
        <f>SUM(V504:V507)</f>
        <v>5547630000</v>
      </c>
      <c r="W508" s="14">
        <f>SUM(W504:W507)</f>
        <v>1</v>
      </c>
      <c r="X508">
        <f>AVERAGE(X504:X507)</f>
        <v>99.924999999999997</v>
      </c>
      <c r="Y508" s="48">
        <f>SUM(Y504:Y507)</f>
        <v>99.949302217343273</v>
      </c>
    </row>
    <row r="509" spans="1:25" ht="15.5" thickTop="1" thickBot="1" x14ac:dyDescent="0.4">
      <c r="B509" s="2"/>
      <c r="C509" s="21" t="s">
        <v>33</v>
      </c>
      <c r="D509" s="13">
        <v>85548</v>
      </c>
      <c r="E509" s="16">
        <f>D509/D510</f>
        <v>4.9333250292373378E-2</v>
      </c>
      <c r="F509">
        <v>99.91</v>
      </c>
      <c r="G509" s="15">
        <f t="shared" si="208"/>
        <v>4.9288850367110237</v>
      </c>
      <c r="I509" s="21" t="s">
        <v>33</v>
      </c>
      <c r="J509" s="52">
        <v>291027.22096061707</v>
      </c>
      <c r="K509" s="16">
        <f>J509/J510</f>
        <v>6.0806262600324283E-2</v>
      </c>
      <c r="L509">
        <v>99.91</v>
      </c>
      <c r="M509" s="15">
        <f t="shared" si="209"/>
        <v>6.0751536963983988</v>
      </c>
      <c r="O509" s="38"/>
      <c r="P509" s="31">
        <f>SUM(P504:P508)</f>
        <v>198814</v>
      </c>
      <c r="Q509" s="32">
        <f>SUM(Q504:Q508)</f>
        <v>0.99999999999999989</v>
      </c>
      <c r="R509" s="33">
        <f>AVERAGE(R504:R508)</f>
        <v>99.929999999999993</v>
      </c>
      <c r="S509" s="41">
        <f>SUM(S504:S508)</f>
        <v>99.945923928898367</v>
      </c>
      <c r="U509" s="46"/>
      <c r="V509" s="52"/>
      <c r="W509" s="32"/>
      <c r="X509" s="33"/>
      <c r="Y509" s="58"/>
    </row>
    <row r="510" spans="1:25" ht="15" thickBot="1" x14ac:dyDescent="0.4">
      <c r="A510" s="10"/>
      <c r="B510" s="10"/>
      <c r="C510" s="10"/>
      <c r="D510" s="49">
        <f>SUM(D504:D509)</f>
        <v>1734084</v>
      </c>
      <c r="E510" s="50">
        <f>SUM(E504:E509)</f>
        <v>1</v>
      </c>
      <c r="F510" s="51">
        <f>AVERAGE(F504:F509)</f>
        <v>99.929999999999993</v>
      </c>
      <c r="G510" s="26">
        <f>SUM(G504:G509)</f>
        <v>99.941836427762453</v>
      </c>
      <c r="I510" s="10"/>
      <c r="J510" s="49">
        <f>SUM(J504:J509)</f>
        <v>4786138.9356145859</v>
      </c>
      <c r="K510" s="50">
        <f>SUM(K504:K509)</f>
        <v>0.99999999999999989</v>
      </c>
      <c r="L510" s="51">
        <f>AVERAGE(L504:L509)</f>
        <v>99.929999999999993</v>
      </c>
      <c r="M510" s="26">
        <f>SUM(M504:M509)</f>
        <v>99.938625217348743</v>
      </c>
      <c r="O510" s="34"/>
      <c r="P510" s="34"/>
      <c r="Q510" s="34"/>
      <c r="R510" s="36"/>
      <c r="S510" s="40"/>
      <c r="U510" s="42"/>
      <c r="V510" s="42"/>
      <c r="W510" s="42"/>
      <c r="X510" s="44"/>
      <c r="Y510" s="45"/>
    </row>
    <row r="511" spans="1:25" ht="15" thickTop="1" x14ac:dyDescent="0.35">
      <c r="A511" s="29" t="s">
        <v>230</v>
      </c>
      <c r="B511" s="28"/>
      <c r="C511" s="28"/>
      <c r="D511" s="28"/>
      <c r="E511" s="28"/>
      <c r="F511" s="28"/>
      <c r="G511" s="28"/>
      <c r="I511" s="28"/>
      <c r="J511" s="28"/>
      <c r="K511" s="28"/>
      <c r="L511" s="28"/>
      <c r="M511" s="28"/>
      <c r="O511" s="28"/>
      <c r="P511" s="28"/>
      <c r="Q511" s="28"/>
      <c r="R511" s="28"/>
      <c r="S511" s="28"/>
      <c r="U511" s="28"/>
      <c r="V511" s="28"/>
      <c r="W511" s="28"/>
      <c r="X511" s="28"/>
      <c r="Y511" s="28"/>
    </row>
    <row r="512" spans="1:25" x14ac:dyDescent="0.35">
      <c r="A512" s="20" t="s">
        <v>229</v>
      </c>
      <c r="B512" s="20"/>
      <c r="C512" s="56" t="s">
        <v>115</v>
      </c>
      <c r="D512" s="11"/>
      <c r="E512" s="11"/>
      <c r="F512" s="11"/>
      <c r="G512" s="30" t="s">
        <v>115</v>
      </c>
      <c r="I512" s="56" t="s">
        <v>115</v>
      </c>
      <c r="J512" s="11"/>
      <c r="K512" s="11"/>
      <c r="L512" s="11"/>
      <c r="M512" s="30" t="s">
        <v>115</v>
      </c>
      <c r="O512" s="55" t="s">
        <v>116</v>
      </c>
      <c r="P512" s="34"/>
      <c r="Q512" s="34"/>
      <c r="R512" s="34"/>
      <c r="S512" s="35" t="s">
        <v>116</v>
      </c>
      <c r="U512" s="57" t="s">
        <v>117</v>
      </c>
      <c r="V512" s="42"/>
      <c r="W512" s="42"/>
      <c r="X512" s="42"/>
      <c r="Y512" s="43" t="s">
        <v>117</v>
      </c>
    </row>
    <row r="513" spans="1:25" ht="15" thickBot="1" x14ac:dyDescent="0.4">
      <c r="A513" s="2"/>
      <c r="B513" s="2"/>
      <c r="C513" s="2"/>
      <c r="D513" s="18" t="s">
        <v>118</v>
      </c>
      <c r="E513" s="19" t="s">
        <v>119</v>
      </c>
      <c r="F513" s="18" t="s">
        <v>120</v>
      </c>
      <c r="G513" s="12" t="s">
        <v>121</v>
      </c>
      <c r="I513" s="2"/>
      <c r="J513" s="18" t="s">
        <v>118</v>
      </c>
      <c r="K513" s="19" t="s">
        <v>119</v>
      </c>
      <c r="L513" s="18" t="s">
        <v>120</v>
      </c>
      <c r="M513" s="12" t="s">
        <v>121</v>
      </c>
      <c r="O513" s="34"/>
      <c r="P513" s="18" t="s">
        <v>118</v>
      </c>
      <c r="Q513" s="19" t="s">
        <v>119</v>
      </c>
      <c r="R513" s="18" t="s">
        <v>120</v>
      </c>
      <c r="S513" s="39" t="s">
        <v>121</v>
      </c>
      <c r="U513" s="42"/>
      <c r="V513" s="18" t="s">
        <v>118</v>
      </c>
      <c r="W513" s="19" t="s">
        <v>119</v>
      </c>
      <c r="X513" s="18" t="s">
        <v>120</v>
      </c>
      <c r="Y513" s="47" t="s">
        <v>121</v>
      </c>
    </row>
    <row r="514" spans="1:25" ht="15" thickTop="1" x14ac:dyDescent="0.35">
      <c r="A514" s="22" t="s">
        <v>122</v>
      </c>
      <c r="B514" s="2"/>
      <c r="C514" s="21" t="s">
        <v>25</v>
      </c>
      <c r="D514" s="25">
        <v>1308079</v>
      </c>
      <c r="E514" s="14">
        <f>D514/D520</f>
        <v>0.75433427677090614</v>
      </c>
      <c r="F514">
        <v>99.96</v>
      </c>
      <c r="G514" s="15">
        <f t="shared" ref="G514:G519" si="212">E514*F514</f>
        <v>75.403254306019775</v>
      </c>
      <c r="I514" s="21" t="s">
        <v>25</v>
      </c>
      <c r="J514" s="52">
        <v>3827813.8748588562</v>
      </c>
      <c r="K514" s="14">
        <f>J514/J520</f>
        <v>0.79977073928534592</v>
      </c>
      <c r="L514">
        <v>99.96</v>
      </c>
      <c r="M514" s="15">
        <f t="shared" ref="M514:M519" si="213">K514*L514</f>
        <v>79.945083098963167</v>
      </c>
      <c r="O514" s="38" t="s">
        <v>25</v>
      </c>
      <c r="P514" s="13">
        <v>82719</v>
      </c>
      <c r="Q514" s="14">
        <f>P514/P519</f>
        <v>0.41606224913738471</v>
      </c>
      <c r="R514">
        <v>99.92</v>
      </c>
      <c r="S514" s="40">
        <f t="shared" ref="S514:S517" si="214">Q514*R514</f>
        <v>41.572939933807483</v>
      </c>
      <c r="U514" s="46" t="s">
        <v>25</v>
      </c>
      <c r="V514" s="52">
        <v>3986319000</v>
      </c>
      <c r="W514" s="14">
        <f>V514/V518</f>
        <v>0.71856252129287645</v>
      </c>
      <c r="X514">
        <v>99.96</v>
      </c>
      <c r="Y514" s="48">
        <f t="shared" ref="Y514:Y515" si="215">W514*X514</f>
        <v>71.827509628435919</v>
      </c>
    </row>
    <row r="515" spans="1:25" x14ac:dyDescent="0.35">
      <c r="A515" s="23">
        <v>1304590</v>
      </c>
      <c r="B515" s="2"/>
      <c r="C515" s="21" t="s">
        <v>29</v>
      </c>
      <c r="D515" s="13">
        <v>134180</v>
      </c>
      <c r="E515" s="14">
        <f>D515/D520</f>
        <v>7.7378027823334972E-2</v>
      </c>
      <c r="F515">
        <v>99.86</v>
      </c>
      <c r="G515" s="15">
        <f t="shared" si="212"/>
        <v>7.7269698584382303</v>
      </c>
      <c r="I515" s="21" t="s">
        <v>29</v>
      </c>
      <c r="J515" s="52">
        <v>535002.51616191864</v>
      </c>
      <c r="K515" s="14">
        <f>J515/J520</f>
        <v>0.11178165184066459</v>
      </c>
      <c r="L515">
        <v>99.86</v>
      </c>
      <c r="M515" s="15">
        <f t="shared" si="213"/>
        <v>11.162515752808766</v>
      </c>
      <c r="O515" s="38" t="s">
        <v>29</v>
      </c>
      <c r="P515" s="13">
        <v>10027</v>
      </c>
      <c r="Q515" s="14">
        <f>P515/P519</f>
        <v>5.0434074059170886E-2</v>
      </c>
      <c r="R515">
        <v>99.86</v>
      </c>
      <c r="S515" s="40">
        <f t="shared" si="214"/>
        <v>5.0363466355488047</v>
      </c>
      <c r="U515" s="46" t="s">
        <v>29</v>
      </c>
      <c r="V515" s="52">
        <v>47272000</v>
      </c>
      <c r="W515" s="14">
        <f>V515/V518</f>
        <v>8.5211162244057375E-3</v>
      </c>
      <c r="X515">
        <v>99.87</v>
      </c>
      <c r="Y515" s="48">
        <f t="shared" si="215"/>
        <v>0.85100387733140104</v>
      </c>
    </row>
    <row r="516" spans="1:25" x14ac:dyDescent="0.35">
      <c r="A516" s="23">
        <v>12</v>
      </c>
      <c r="B516" s="2"/>
      <c r="C516" s="21" t="s">
        <v>30</v>
      </c>
      <c r="D516" s="13">
        <v>5983</v>
      </c>
      <c r="E516" s="14">
        <f>D516/D520</f>
        <v>3.4502365514012009E-3</v>
      </c>
      <c r="F516">
        <v>99.96</v>
      </c>
      <c r="G516" s="15">
        <f t="shared" si="212"/>
        <v>0.34488564567806401</v>
      </c>
      <c r="I516" s="21" t="s">
        <v>30</v>
      </c>
      <c r="J516" s="52">
        <v>18795.015955924988</v>
      </c>
      <c r="K516" s="14">
        <f>J516/J520</f>
        <v>3.9269683159566552E-3</v>
      </c>
      <c r="L516">
        <v>99.96</v>
      </c>
      <c r="M516" s="15">
        <f t="shared" si="213"/>
        <v>0.39253975286302722</v>
      </c>
      <c r="O516" s="38" t="s">
        <v>30</v>
      </c>
      <c r="P516" s="13">
        <v>102592</v>
      </c>
      <c r="Q516" s="14">
        <f>P516/P519</f>
        <v>0.51601999859164849</v>
      </c>
      <c r="R516">
        <v>99.92</v>
      </c>
      <c r="S516" s="40">
        <f t="shared" si="214"/>
        <v>51.560718259277515</v>
      </c>
      <c r="U516" s="46" t="s">
        <v>31</v>
      </c>
      <c r="V516" s="52">
        <v>1509575000</v>
      </c>
      <c r="W516" s="14">
        <f>V516/V518</f>
        <v>0.27211169454343564</v>
      </c>
      <c r="X516">
        <v>99.96</v>
      </c>
      <c r="Y516" s="48">
        <f>W516*X516</f>
        <v>27.200284986561826</v>
      </c>
    </row>
    <row r="517" spans="1:25" x14ac:dyDescent="0.35">
      <c r="A517" s="23">
        <v>3477</v>
      </c>
      <c r="B517" s="2"/>
      <c r="C517" s="21" t="s">
        <v>31</v>
      </c>
      <c r="D517" s="13">
        <v>200124</v>
      </c>
      <c r="E517" s="14">
        <f>D517/D520</f>
        <v>0.11540617409537254</v>
      </c>
      <c r="F517">
        <v>99.96</v>
      </c>
      <c r="G517" s="15">
        <f t="shared" si="212"/>
        <v>11.536001162573438</v>
      </c>
      <c r="I517" s="21" t="s">
        <v>31</v>
      </c>
      <c r="J517" s="52">
        <v>113216.105509758</v>
      </c>
      <c r="K517" s="14">
        <f>J517/J520</f>
        <v>2.3654997699146394E-2</v>
      </c>
      <c r="L517">
        <v>99.96</v>
      </c>
      <c r="M517" s="15">
        <f t="shared" si="213"/>
        <v>2.3645535700066733</v>
      </c>
      <c r="O517" s="38" t="s">
        <v>31</v>
      </c>
      <c r="P517" s="13">
        <v>3065</v>
      </c>
      <c r="Q517" s="14">
        <f>P517/P519</f>
        <v>1.5416419366845393E-2</v>
      </c>
      <c r="R517">
        <v>99.92</v>
      </c>
      <c r="S517" s="40">
        <f t="shared" si="214"/>
        <v>1.5404086231351917</v>
      </c>
      <c r="U517" s="46" t="s">
        <v>33</v>
      </c>
      <c r="V517" s="52">
        <v>4464000</v>
      </c>
      <c r="W517" s="14">
        <f>V517/V518</f>
        <v>8.0466793928217993E-4</v>
      </c>
      <c r="X517">
        <v>99.95</v>
      </c>
      <c r="Y517" s="48">
        <f>W517*X517</f>
        <v>8.0426560531253882E-2</v>
      </c>
    </row>
    <row r="518" spans="1:25" ht="15" thickBot="1" x14ac:dyDescent="0.4">
      <c r="A518" s="24">
        <f>SUM(A515:A517)</f>
        <v>1308079</v>
      </c>
      <c r="B518" s="2"/>
      <c r="C518" s="21" t="s">
        <v>32</v>
      </c>
      <c r="D518" s="13">
        <v>170</v>
      </c>
      <c r="E518" s="14">
        <f>D518/D520</f>
        <v>9.8034466611767362E-5</v>
      </c>
      <c r="F518">
        <v>99.96</v>
      </c>
      <c r="G518" s="15">
        <f t="shared" si="212"/>
        <v>9.7995252825122652E-3</v>
      </c>
      <c r="I518" s="21" t="s">
        <v>32</v>
      </c>
      <c r="J518" s="52">
        <v>284.20216751098633</v>
      </c>
      <c r="K518" s="14">
        <f>J518/J520</f>
        <v>5.9380258562112148E-5</v>
      </c>
      <c r="L518">
        <v>99.96</v>
      </c>
      <c r="M518" s="15">
        <f t="shared" si="213"/>
        <v>5.9356506458687298E-3</v>
      </c>
      <c r="O518" s="38" t="s">
        <v>33</v>
      </c>
      <c r="P518" s="13">
        <v>411</v>
      </c>
      <c r="Q518" s="14">
        <f>P518/P519</f>
        <v>2.0672588449505568E-3</v>
      </c>
      <c r="R518">
        <v>99.9</v>
      </c>
      <c r="S518" s="40">
        <f>Q518*R518</f>
        <v>0.20651915861056064</v>
      </c>
      <c r="U518" s="46"/>
      <c r="V518" s="52">
        <f>SUM(V514:V517)</f>
        <v>5547630000</v>
      </c>
      <c r="W518" s="14">
        <f>SUM(W514:W517)</f>
        <v>1</v>
      </c>
      <c r="X518">
        <f>AVERAGE(X514:X517)</f>
        <v>99.934999999999988</v>
      </c>
      <c r="Y518" s="48">
        <f>SUM(Y514:Y517)</f>
        <v>99.959225052860404</v>
      </c>
    </row>
    <row r="519" spans="1:25" ht="15.5" thickTop="1" thickBot="1" x14ac:dyDescent="0.4">
      <c r="B519" s="2"/>
      <c r="C519" s="21" t="s">
        <v>33</v>
      </c>
      <c r="D519" s="13">
        <v>85548</v>
      </c>
      <c r="E519" s="16">
        <f>D519/D520</f>
        <v>4.9333250292373378E-2</v>
      </c>
      <c r="F519">
        <v>99.93</v>
      </c>
      <c r="G519" s="15">
        <f t="shared" si="212"/>
        <v>4.9298717017168716</v>
      </c>
      <c r="I519" s="21" t="s">
        <v>33</v>
      </c>
      <c r="J519" s="52">
        <v>291027.22096061707</v>
      </c>
      <c r="K519" s="16">
        <f>J519/J520</f>
        <v>6.0806262600324283E-2</v>
      </c>
      <c r="L519">
        <v>99.93</v>
      </c>
      <c r="M519" s="15">
        <f t="shared" si="213"/>
        <v>6.0763698216504061</v>
      </c>
      <c r="O519" s="38"/>
      <c r="P519" s="31">
        <f>SUM(P514:P518)</f>
        <v>198814</v>
      </c>
      <c r="Q519" s="32">
        <f>SUM(Q514:Q518)</f>
        <v>0.99999999999999989</v>
      </c>
      <c r="R519" s="33">
        <f>AVERAGE(R514:R518)</f>
        <v>99.903999999999996</v>
      </c>
      <c r="S519" s="41">
        <f>SUM(S514:S518)</f>
        <v>99.916932610379561</v>
      </c>
      <c r="U519" s="46"/>
      <c r="V519" s="52"/>
      <c r="W519" s="32"/>
      <c r="X519" s="33"/>
      <c r="Y519" s="58"/>
    </row>
    <row r="520" spans="1:25" ht="15" thickBot="1" x14ac:dyDescent="0.4">
      <c r="A520" s="10"/>
      <c r="B520" s="10"/>
      <c r="C520" s="10"/>
      <c r="D520" s="49">
        <f>SUM(D514:D519)</f>
        <v>1734084</v>
      </c>
      <c r="E520" s="50">
        <f>SUM(E514:E519)</f>
        <v>1</v>
      </c>
      <c r="F520" s="51">
        <f>AVERAGE(F514:F519)</f>
        <v>99.938333333333318</v>
      </c>
      <c r="G520" s="26">
        <f>SUM(G514:G519)</f>
        <v>99.950782199708897</v>
      </c>
      <c r="I520" s="10"/>
      <c r="J520" s="49">
        <f>SUM(J514:J519)</f>
        <v>4786138.9356145859</v>
      </c>
      <c r="K520" s="50">
        <f>SUM(K514:K519)</f>
        <v>0.99999999999999989</v>
      </c>
      <c r="L520" s="51">
        <f>AVERAGE(L514:L519)</f>
        <v>99.938333333333318</v>
      </c>
      <c r="M520" s="26">
        <f>SUM(M514:M519)</f>
        <v>99.946997646937916</v>
      </c>
      <c r="O520" s="34"/>
      <c r="P520" s="34"/>
      <c r="Q520" s="34"/>
      <c r="R520" s="36"/>
      <c r="S520" s="40"/>
      <c r="U520" s="42"/>
      <c r="V520" s="42"/>
      <c r="W520" s="42"/>
      <c r="X520" s="44"/>
      <c r="Y520" s="45"/>
    </row>
    <row r="521" spans="1:25" ht="15" thickTop="1" x14ac:dyDescent="0.35">
      <c r="A521" s="29" t="s">
        <v>231</v>
      </c>
      <c r="B521" s="28"/>
      <c r="C521" s="28"/>
      <c r="D521" s="28"/>
      <c r="E521" s="28"/>
      <c r="F521" s="28"/>
      <c r="G521" s="28"/>
      <c r="I521" s="28"/>
      <c r="J521" s="28"/>
      <c r="K521" s="28"/>
      <c r="L521" s="28"/>
      <c r="M521" s="28"/>
      <c r="O521" s="28"/>
      <c r="P521" s="28"/>
      <c r="Q521" s="28"/>
      <c r="R521" s="28"/>
      <c r="S521" s="28"/>
      <c r="U521" s="28"/>
      <c r="V521" s="28"/>
      <c r="W521" s="28"/>
      <c r="X521" s="28"/>
      <c r="Y521" s="28"/>
    </row>
    <row r="522" spans="1:25" x14ac:dyDescent="0.35">
      <c r="A522" s="20" t="s">
        <v>232</v>
      </c>
      <c r="B522" s="20"/>
      <c r="C522" s="56" t="s">
        <v>115</v>
      </c>
      <c r="D522" s="11"/>
      <c r="E522" s="11"/>
      <c r="F522" s="11"/>
      <c r="G522" s="30" t="s">
        <v>115</v>
      </c>
      <c r="I522" s="56" t="s">
        <v>115</v>
      </c>
      <c r="J522" s="11"/>
      <c r="K522" s="11"/>
      <c r="L522" s="11"/>
      <c r="M522" s="30" t="s">
        <v>115</v>
      </c>
      <c r="O522" s="55" t="s">
        <v>116</v>
      </c>
      <c r="P522" s="34"/>
      <c r="Q522" s="34"/>
      <c r="R522" s="34"/>
      <c r="S522" s="35" t="s">
        <v>116</v>
      </c>
      <c r="U522" s="57" t="s">
        <v>117</v>
      </c>
      <c r="V522" s="42"/>
      <c r="W522" s="42"/>
      <c r="X522" s="42"/>
      <c r="Y522" s="43" t="s">
        <v>117</v>
      </c>
    </row>
    <row r="523" spans="1:25" ht="15" thickBot="1" x14ac:dyDescent="0.4">
      <c r="A523" s="2"/>
      <c r="B523" s="2"/>
      <c r="C523" s="2"/>
      <c r="D523" s="18" t="s">
        <v>118</v>
      </c>
      <c r="E523" s="19" t="s">
        <v>119</v>
      </c>
      <c r="F523" s="18" t="s">
        <v>120</v>
      </c>
      <c r="G523" s="12" t="s">
        <v>121</v>
      </c>
      <c r="I523" s="2"/>
      <c r="J523" s="18" t="s">
        <v>118</v>
      </c>
      <c r="K523" s="19" t="s">
        <v>119</v>
      </c>
      <c r="L523" s="18" t="s">
        <v>120</v>
      </c>
      <c r="M523" s="12" t="s">
        <v>121</v>
      </c>
      <c r="O523" s="34"/>
      <c r="P523" s="18" t="s">
        <v>118</v>
      </c>
      <c r="Q523" s="19" t="s">
        <v>119</v>
      </c>
      <c r="R523" s="18" t="s">
        <v>120</v>
      </c>
      <c r="S523" s="39" t="s">
        <v>121</v>
      </c>
      <c r="U523" s="42"/>
      <c r="V523" s="18" t="s">
        <v>118</v>
      </c>
      <c r="W523" s="19" t="s">
        <v>119</v>
      </c>
      <c r="X523" s="18" t="s">
        <v>120</v>
      </c>
      <c r="Y523" s="47" t="s">
        <v>121</v>
      </c>
    </row>
    <row r="524" spans="1:25" ht="15" thickTop="1" x14ac:dyDescent="0.35">
      <c r="A524" s="22" t="s">
        <v>122</v>
      </c>
      <c r="B524" s="2"/>
      <c r="C524" s="21" t="s">
        <v>25</v>
      </c>
      <c r="D524" s="25">
        <v>1300698</v>
      </c>
      <c r="E524" s="14">
        <f>D524/D530</f>
        <v>0.75340239291208688</v>
      </c>
      <c r="F524">
        <v>99.95</v>
      </c>
      <c r="G524" s="15">
        <f t="shared" ref="G524:G529" si="216">E524*F524</f>
        <v>75.302569171563093</v>
      </c>
      <c r="I524" s="21" t="s">
        <v>25</v>
      </c>
      <c r="J524" s="52">
        <v>4598163.7116527557</v>
      </c>
      <c r="K524" s="14">
        <f>J524/J530</f>
        <v>0.82330546310466246</v>
      </c>
      <c r="L524">
        <v>99.95</v>
      </c>
      <c r="M524" s="15">
        <f t="shared" ref="M524:M529" si="217">K524*L524</f>
        <v>82.289381037311017</v>
      </c>
      <c r="O524" s="38" t="s">
        <v>25</v>
      </c>
      <c r="P524" s="13">
        <v>62258</v>
      </c>
      <c r="Q524" s="14">
        <f>P524/P529</f>
        <v>0.37120642984056573</v>
      </c>
      <c r="R524">
        <v>99.95</v>
      </c>
      <c r="S524" s="40">
        <f t="shared" ref="S524:S527" si="218">Q524*R524</f>
        <v>37.102082662564548</v>
      </c>
      <c r="U524" s="46" t="s">
        <v>25</v>
      </c>
      <c r="V524" s="52">
        <v>3425835000</v>
      </c>
      <c r="W524" s="14">
        <f>V524/V529</f>
        <v>0.69832711413122572</v>
      </c>
      <c r="X524">
        <v>99.95</v>
      </c>
      <c r="Y524" s="48">
        <f t="shared" ref="Y524:Y525" si="219">W524*X524</f>
        <v>69.79779505741601</v>
      </c>
    </row>
    <row r="525" spans="1:25" x14ac:dyDescent="0.35">
      <c r="A525" s="23">
        <v>1297209</v>
      </c>
      <c r="B525" s="2"/>
      <c r="C525" s="21" t="s">
        <v>29</v>
      </c>
      <c r="D525" s="13">
        <v>134365</v>
      </c>
      <c r="E525" s="14">
        <f>D525/D530</f>
        <v>7.7828144983410869E-2</v>
      </c>
      <c r="F525">
        <v>99.87</v>
      </c>
      <c r="G525" s="15">
        <f t="shared" si="216"/>
        <v>7.7726968394932436</v>
      </c>
      <c r="I525" s="21" t="s">
        <v>29</v>
      </c>
      <c r="J525" s="52">
        <v>575681.31193351746</v>
      </c>
      <c r="K525" s="14">
        <f>J525/J530</f>
        <v>0.1030762710603369</v>
      </c>
      <c r="L525">
        <v>99.87</v>
      </c>
      <c r="M525" s="15">
        <f t="shared" si="217"/>
        <v>10.294227190795846</v>
      </c>
      <c r="O525" s="38" t="s">
        <v>29</v>
      </c>
      <c r="P525" s="13">
        <v>3634</v>
      </c>
      <c r="Q525" s="14">
        <f>P525/P529</f>
        <v>2.1667322529484015E-2</v>
      </c>
      <c r="R525">
        <v>99.87</v>
      </c>
      <c r="S525" s="40">
        <f t="shared" si="218"/>
        <v>2.1639155010195688</v>
      </c>
      <c r="U525" s="46" t="s">
        <v>29</v>
      </c>
      <c r="V525" s="52">
        <v>25053000</v>
      </c>
      <c r="W525" s="14">
        <f>V525/V529</f>
        <v>5.1068394100502795E-3</v>
      </c>
      <c r="X525">
        <v>99.87</v>
      </c>
      <c r="Y525" s="48">
        <f t="shared" si="219"/>
        <v>0.51002005188172139</v>
      </c>
    </row>
    <row r="526" spans="1:25" x14ac:dyDescent="0.35">
      <c r="A526" s="23">
        <v>12</v>
      </c>
      <c r="B526" s="2"/>
      <c r="C526" s="21" t="s">
        <v>30</v>
      </c>
      <c r="D526" s="13">
        <v>6003</v>
      </c>
      <c r="E526" s="14">
        <f>D526/D530</f>
        <v>3.4771134918722543E-3</v>
      </c>
      <c r="F526">
        <v>99.95</v>
      </c>
      <c r="G526" s="15">
        <f t="shared" si="216"/>
        <v>0.3475374935126318</v>
      </c>
      <c r="I526" s="21" t="s">
        <v>30</v>
      </c>
      <c r="J526" s="52">
        <v>12386.400741577148</v>
      </c>
      <c r="K526" s="14">
        <f>J526/J530</f>
        <v>2.2177965027431858E-3</v>
      </c>
      <c r="L526">
        <v>99.95</v>
      </c>
      <c r="M526" s="15">
        <f t="shared" si="217"/>
        <v>0.22166876044918143</v>
      </c>
      <c r="O526" s="38" t="s">
        <v>30</v>
      </c>
      <c r="P526" s="13">
        <v>98296</v>
      </c>
      <c r="Q526" s="14">
        <f>P526/P529</f>
        <v>0.58607901358232273</v>
      </c>
      <c r="R526">
        <v>99.95</v>
      </c>
      <c r="S526" s="40">
        <f t="shared" si="218"/>
        <v>58.578597407553161</v>
      </c>
      <c r="U526" s="46" t="s">
        <v>30</v>
      </c>
      <c r="V526" s="52">
        <v>70000</v>
      </c>
      <c r="W526" s="14">
        <f>V526/V529</f>
        <v>1.426890027954814E-5</v>
      </c>
      <c r="X526">
        <v>99.95</v>
      </c>
      <c r="Y526" s="48">
        <f>W526*X526</f>
        <v>1.4261765829408366E-3</v>
      </c>
    </row>
    <row r="527" spans="1:25" x14ac:dyDescent="0.35">
      <c r="A527" s="23">
        <v>3477</v>
      </c>
      <c r="B527" s="2"/>
      <c r="C527" s="21" t="s">
        <v>31</v>
      </c>
      <c r="D527" s="13">
        <v>199886</v>
      </c>
      <c r="E527" s="14">
        <f>D527/D530</f>
        <v>0.11577982799206687</v>
      </c>
      <c r="F527">
        <v>99.95</v>
      </c>
      <c r="G527" s="15">
        <f t="shared" si="216"/>
        <v>11.572193807807084</v>
      </c>
      <c r="I527" s="21" t="s">
        <v>31</v>
      </c>
      <c r="J527" s="52">
        <v>101010.13465213776</v>
      </c>
      <c r="K527" s="14">
        <f>J527/J530</f>
        <v>1.8085957983029474E-2</v>
      </c>
      <c r="L527">
        <v>99.95</v>
      </c>
      <c r="M527" s="15">
        <f t="shared" si="217"/>
        <v>1.8076915004037959</v>
      </c>
      <c r="O527" s="38" t="s">
        <v>31</v>
      </c>
      <c r="P527" s="13">
        <v>3153</v>
      </c>
      <c r="Q527" s="14">
        <f>P527/P529</f>
        <v>1.8799413300897936E-2</v>
      </c>
      <c r="R527">
        <v>99.95</v>
      </c>
      <c r="S527" s="40">
        <f t="shared" si="218"/>
        <v>1.8790013594247488</v>
      </c>
      <c r="U527" s="46" t="s">
        <v>31</v>
      </c>
      <c r="V527" s="52">
        <v>1450330000</v>
      </c>
      <c r="W527" s="14">
        <f>V527/V529</f>
        <v>0.29563734489195792</v>
      </c>
      <c r="X527">
        <v>99.95</v>
      </c>
      <c r="Y527" s="48">
        <f t="shared" ref="Y527" si="220">W527*X527</f>
        <v>29.548952621951194</v>
      </c>
    </row>
    <row r="528" spans="1:25" ht="15" thickBot="1" x14ac:dyDescent="0.4">
      <c r="A528" s="24">
        <f>SUM(A525:A527)</f>
        <v>1300698</v>
      </c>
      <c r="B528" s="2"/>
      <c r="C528" s="21" t="s">
        <v>32</v>
      </c>
      <c r="D528" s="13">
        <v>170</v>
      </c>
      <c r="E528" s="14">
        <f>D528/D530</f>
        <v>9.8468981112490966E-5</v>
      </c>
      <c r="F528">
        <v>99.95</v>
      </c>
      <c r="G528" s="15">
        <f t="shared" si="216"/>
        <v>9.8419746621934718E-3</v>
      </c>
      <c r="I528" s="21" t="s">
        <v>32</v>
      </c>
      <c r="J528" s="52">
        <v>291.55680370330811</v>
      </c>
      <c r="K528" s="14">
        <f>J528/J530</f>
        <v>5.2203515217597062E-5</v>
      </c>
      <c r="L528">
        <v>99.95</v>
      </c>
      <c r="M528" s="15">
        <f t="shared" si="217"/>
        <v>5.2177413459988265E-3</v>
      </c>
      <c r="O528" s="38" t="s">
        <v>33</v>
      </c>
      <c r="P528" s="13">
        <v>377</v>
      </c>
      <c r="Q528" s="14">
        <f>P528/P529</f>
        <v>2.2478207467296293E-3</v>
      </c>
      <c r="R528">
        <v>99.93</v>
      </c>
      <c r="S528" s="40">
        <f>Q528*R528</f>
        <v>0.22462472722069188</v>
      </c>
      <c r="U528" s="46" t="s">
        <v>33</v>
      </c>
      <c r="V528" s="52">
        <v>4486000</v>
      </c>
      <c r="W528" s="14">
        <f>V528/V529</f>
        <v>9.1443266648647079E-4</v>
      </c>
      <c r="X528">
        <v>99.93</v>
      </c>
      <c r="Y528" s="48">
        <f>W528*X528</f>
        <v>9.1379256361993039E-2</v>
      </c>
    </row>
    <row r="529" spans="1:25" ht="15.5" thickTop="1" thickBot="1" x14ac:dyDescent="0.4">
      <c r="B529" s="2"/>
      <c r="C529" s="21" t="s">
        <v>33</v>
      </c>
      <c r="D529" s="13">
        <v>85310</v>
      </c>
      <c r="E529" s="16">
        <f>D529/D530</f>
        <v>4.9414051639450611E-2</v>
      </c>
      <c r="F529">
        <v>99.91</v>
      </c>
      <c r="G529" s="15">
        <f t="shared" si="216"/>
        <v>4.9369578992975107</v>
      </c>
      <c r="I529" s="21" t="s">
        <v>33</v>
      </c>
      <c r="J529" s="52">
        <v>297470.16393852234</v>
      </c>
      <c r="K529" s="16">
        <f>J529/J530</f>
        <v>5.3262307834010418E-2</v>
      </c>
      <c r="L529">
        <v>99.91</v>
      </c>
      <c r="M529" s="15">
        <f t="shared" si="217"/>
        <v>5.3214371756959808</v>
      </c>
      <c r="O529" s="38"/>
      <c r="P529" s="31">
        <f>SUM(P524:P528)</f>
        <v>167718</v>
      </c>
      <c r="Q529" s="32">
        <f>SUM(Q524:Q528)</f>
        <v>1</v>
      </c>
      <c r="R529" s="33">
        <f>AVERAGE(R524:R528)</f>
        <v>99.929999999999993</v>
      </c>
      <c r="S529" s="41">
        <f>SUM(S524:S528)</f>
        <v>99.94822165778271</v>
      </c>
      <c r="U529" s="46"/>
      <c r="V529" s="52">
        <f>SUM(V524:V528)</f>
        <v>4905774000</v>
      </c>
      <c r="W529" s="32">
        <f>SUM(W524:W528)</f>
        <v>1</v>
      </c>
      <c r="X529" s="33">
        <f>AVERAGE(X524:X528)</f>
        <v>99.929999999999993</v>
      </c>
      <c r="Y529" s="58">
        <f>SUM(Y524:Y528)</f>
        <v>99.949573164193851</v>
      </c>
    </row>
    <row r="530" spans="1:25" ht="15" thickBot="1" x14ac:dyDescent="0.4">
      <c r="A530" s="10"/>
      <c r="B530" s="10"/>
      <c r="C530" s="10"/>
      <c r="D530" s="49">
        <f>SUM(D524:D529)</f>
        <v>1726432</v>
      </c>
      <c r="E530" s="50">
        <f>SUM(E524:E529)</f>
        <v>1</v>
      </c>
      <c r="F530" s="51">
        <f>AVERAGE(F524:F529)</f>
        <v>99.929999999999993</v>
      </c>
      <c r="G530" s="26">
        <f>SUM(G524:G529)</f>
        <v>99.941797186335762</v>
      </c>
      <c r="I530" s="10"/>
      <c r="J530" s="49">
        <f>SUM(J524:J529)</f>
        <v>5585003.2797222137</v>
      </c>
      <c r="K530" s="50">
        <f>SUM(K524:K529)</f>
        <v>1</v>
      </c>
      <c r="L530" s="51">
        <f>AVERAGE(L524:L529)</f>
        <v>99.929999999999993</v>
      </c>
      <c r="M530" s="26">
        <f>SUM(M524:M529)</f>
        <v>99.939623406001814</v>
      </c>
      <c r="O530" s="34"/>
      <c r="P530" s="34"/>
      <c r="Q530" s="34"/>
      <c r="R530" s="36"/>
      <c r="S530" s="40"/>
      <c r="U530" s="42"/>
      <c r="V530" s="42"/>
      <c r="W530" s="42"/>
      <c r="X530" s="44"/>
      <c r="Y530" s="45"/>
    </row>
    <row r="531" spans="1:25" ht="15" thickTop="1" x14ac:dyDescent="0.35">
      <c r="A531" s="29" t="s">
        <v>233</v>
      </c>
      <c r="B531" s="28"/>
      <c r="C531" s="28"/>
      <c r="D531" s="28"/>
      <c r="E531" s="28"/>
      <c r="F531" s="28"/>
      <c r="G531" s="28"/>
      <c r="I531" s="28"/>
      <c r="J531" s="28"/>
      <c r="K531" s="28"/>
      <c r="L531" s="28"/>
      <c r="M531" s="28"/>
      <c r="O531" s="28"/>
      <c r="P531" s="28"/>
      <c r="Q531" s="28"/>
      <c r="R531" s="28"/>
      <c r="S531" s="28"/>
      <c r="U531" s="28"/>
      <c r="V531" s="28"/>
      <c r="W531" s="28"/>
      <c r="X531" s="28"/>
      <c r="Y531" s="28"/>
    </row>
    <row r="532" spans="1:25" x14ac:dyDescent="0.35">
      <c r="A532" s="20" t="s">
        <v>232</v>
      </c>
      <c r="B532" s="20"/>
      <c r="C532" s="56" t="s">
        <v>115</v>
      </c>
      <c r="D532" s="11"/>
      <c r="E532" s="11"/>
      <c r="F532" s="11"/>
      <c r="G532" s="30" t="s">
        <v>115</v>
      </c>
      <c r="I532" s="56" t="s">
        <v>115</v>
      </c>
      <c r="J532" s="11"/>
      <c r="K532" s="11"/>
      <c r="L532" s="11"/>
      <c r="M532" s="30" t="s">
        <v>115</v>
      </c>
      <c r="O532" s="55" t="s">
        <v>116</v>
      </c>
      <c r="P532" s="34"/>
      <c r="Q532" s="34"/>
      <c r="R532" s="34"/>
      <c r="S532" s="35" t="s">
        <v>116</v>
      </c>
      <c r="U532" s="57" t="s">
        <v>117</v>
      </c>
      <c r="V532" s="42"/>
      <c r="W532" s="42"/>
      <c r="X532" s="42"/>
      <c r="Y532" s="43" t="s">
        <v>117</v>
      </c>
    </row>
    <row r="533" spans="1:25" ht="15" thickBot="1" x14ac:dyDescent="0.4">
      <c r="A533" s="2"/>
      <c r="B533" s="2"/>
      <c r="C533" s="2"/>
      <c r="D533" s="18" t="s">
        <v>118</v>
      </c>
      <c r="E533" s="19" t="s">
        <v>119</v>
      </c>
      <c r="F533" s="18" t="s">
        <v>120</v>
      </c>
      <c r="G533" s="12" t="s">
        <v>121</v>
      </c>
      <c r="I533" s="2"/>
      <c r="J533" s="18" t="s">
        <v>118</v>
      </c>
      <c r="K533" s="19" t="s">
        <v>119</v>
      </c>
      <c r="L533" s="18" t="s">
        <v>120</v>
      </c>
      <c r="M533" s="12" t="s">
        <v>121</v>
      </c>
      <c r="O533" s="34"/>
      <c r="P533" s="18" t="s">
        <v>118</v>
      </c>
      <c r="Q533" s="19" t="s">
        <v>119</v>
      </c>
      <c r="R533" s="18" t="s">
        <v>120</v>
      </c>
      <c r="S533" s="39" t="s">
        <v>121</v>
      </c>
      <c r="U533" s="42"/>
      <c r="V533" s="18" t="s">
        <v>118</v>
      </c>
      <c r="W533" s="19" t="s">
        <v>119</v>
      </c>
      <c r="X533" s="18" t="s">
        <v>120</v>
      </c>
      <c r="Y533" s="47" t="s">
        <v>121</v>
      </c>
    </row>
    <row r="534" spans="1:25" ht="15" thickTop="1" x14ac:dyDescent="0.35">
      <c r="A534" s="22" t="s">
        <v>122</v>
      </c>
      <c r="B534" s="2"/>
      <c r="C534" s="21" t="s">
        <v>25</v>
      </c>
      <c r="D534" s="25">
        <v>1300698</v>
      </c>
      <c r="E534" s="14">
        <f>D534/D540</f>
        <v>0.75340239291208688</v>
      </c>
      <c r="F534">
        <v>99.96</v>
      </c>
      <c r="G534" s="15">
        <f t="shared" ref="G534:G539" si="221">E534*F534</f>
        <v>75.310103195492204</v>
      </c>
      <c r="I534" s="21" t="s">
        <v>25</v>
      </c>
      <c r="J534" s="52">
        <v>4598163.7116527557</v>
      </c>
      <c r="K534" s="14">
        <f>J534/J540</f>
        <v>0.82330546310466246</v>
      </c>
      <c r="L534">
        <v>99.96</v>
      </c>
      <c r="M534" s="15">
        <f t="shared" ref="M534:M539" si="222">K534*L534</f>
        <v>82.297614091942052</v>
      </c>
      <c r="O534" s="38" t="s">
        <v>25</v>
      </c>
      <c r="P534" s="13">
        <v>62258</v>
      </c>
      <c r="Q534" s="14">
        <f>P534/P539</f>
        <v>0.37120642984056573</v>
      </c>
      <c r="R534">
        <v>99.92</v>
      </c>
      <c r="S534" s="40">
        <f t="shared" ref="S534:S537" si="223">Q534*R534</f>
        <v>37.090946469669326</v>
      </c>
      <c r="U534" s="46" t="s">
        <v>25</v>
      </c>
      <c r="V534" s="52">
        <v>3425835000</v>
      </c>
      <c r="W534" s="14">
        <f>V534/V539</f>
        <v>0.69832711413122572</v>
      </c>
      <c r="X534">
        <v>99.96</v>
      </c>
      <c r="Y534" s="48">
        <f t="shared" ref="Y534:Y535" si="224">W534*X534</f>
        <v>69.804778328557319</v>
      </c>
    </row>
    <row r="535" spans="1:25" x14ac:dyDescent="0.35">
      <c r="A535" s="23">
        <v>1297209</v>
      </c>
      <c r="B535" s="2"/>
      <c r="C535" s="21" t="s">
        <v>29</v>
      </c>
      <c r="D535" s="13">
        <v>134365</v>
      </c>
      <c r="E535" s="14">
        <f>D535/D540</f>
        <v>7.7828144983410869E-2</v>
      </c>
      <c r="F535">
        <v>99.86</v>
      </c>
      <c r="G535" s="15">
        <f t="shared" si="221"/>
        <v>7.7719185580434091</v>
      </c>
      <c r="I535" s="21" t="s">
        <v>29</v>
      </c>
      <c r="J535" s="52">
        <v>575681.31193351746</v>
      </c>
      <c r="K535" s="14">
        <f>J535/J540</f>
        <v>0.1030762710603369</v>
      </c>
      <c r="L535">
        <v>99.86</v>
      </c>
      <c r="M535" s="15">
        <f t="shared" si="222"/>
        <v>10.293196428085242</v>
      </c>
      <c r="O535" s="38" t="s">
        <v>29</v>
      </c>
      <c r="P535" s="13">
        <v>3634</v>
      </c>
      <c r="Q535" s="14">
        <f>P535/P539</f>
        <v>2.1667322529484015E-2</v>
      </c>
      <c r="R535">
        <v>99.86</v>
      </c>
      <c r="S535" s="40">
        <f t="shared" si="223"/>
        <v>2.1636988277942737</v>
      </c>
      <c r="U535" s="46" t="s">
        <v>29</v>
      </c>
      <c r="V535" s="52">
        <v>25053000</v>
      </c>
      <c r="W535" s="14">
        <f>V535/V539</f>
        <v>5.1068394100502795E-3</v>
      </c>
      <c r="X535">
        <v>99.87</v>
      </c>
      <c r="Y535" s="48">
        <f t="shared" si="224"/>
        <v>0.51002005188172139</v>
      </c>
    </row>
    <row r="536" spans="1:25" x14ac:dyDescent="0.35">
      <c r="A536" s="23">
        <v>12</v>
      </c>
      <c r="B536" s="2"/>
      <c r="C536" s="21" t="s">
        <v>30</v>
      </c>
      <c r="D536" s="13">
        <v>6003</v>
      </c>
      <c r="E536" s="14">
        <f>D536/D540</f>
        <v>3.4771134918722543E-3</v>
      </c>
      <c r="F536">
        <v>99.96</v>
      </c>
      <c r="G536" s="15">
        <f t="shared" si="221"/>
        <v>0.34757226464755053</v>
      </c>
      <c r="I536" s="21" t="s">
        <v>30</v>
      </c>
      <c r="J536" s="52">
        <v>12386.400741577148</v>
      </c>
      <c r="K536" s="14">
        <f>J536/J540</f>
        <v>2.2177965027431858E-3</v>
      </c>
      <c r="L536">
        <v>99.96</v>
      </c>
      <c r="M536" s="15">
        <f t="shared" si="222"/>
        <v>0.22169093841420884</v>
      </c>
      <c r="O536" s="38" t="s">
        <v>30</v>
      </c>
      <c r="P536" s="13">
        <v>98296</v>
      </c>
      <c r="Q536" s="14">
        <f>P536/P539</f>
        <v>0.58607901358232273</v>
      </c>
      <c r="R536">
        <v>99.92</v>
      </c>
      <c r="S536" s="40">
        <f t="shared" si="223"/>
        <v>58.561015037145687</v>
      </c>
      <c r="U536" s="46" t="s">
        <v>30</v>
      </c>
      <c r="V536" s="52">
        <v>70000</v>
      </c>
      <c r="W536" s="14">
        <f>V536/V539</f>
        <v>1.426890027954814E-5</v>
      </c>
      <c r="X536">
        <v>99.96</v>
      </c>
      <c r="Y536" s="48">
        <f>W536*X536</f>
        <v>1.426319271943632E-3</v>
      </c>
    </row>
    <row r="537" spans="1:25" x14ac:dyDescent="0.35">
      <c r="A537" s="23">
        <v>3477</v>
      </c>
      <c r="B537" s="2"/>
      <c r="C537" s="21" t="s">
        <v>31</v>
      </c>
      <c r="D537" s="13">
        <v>199886</v>
      </c>
      <c r="E537" s="14">
        <f>D537/D540</f>
        <v>0.11577982799206687</v>
      </c>
      <c r="F537">
        <v>99.96</v>
      </c>
      <c r="G537" s="15">
        <f t="shared" si="221"/>
        <v>11.573351606087003</v>
      </c>
      <c r="I537" s="21" t="s">
        <v>31</v>
      </c>
      <c r="J537" s="52">
        <v>101010.13465213776</v>
      </c>
      <c r="K537" s="14">
        <f>J537/J540</f>
        <v>1.8085957983029474E-2</v>
      </c>
      <c r="L537">
        <v>99.96</v>
      </c>
      <c r="M537" s="15">
        <f t="shared" si="222"/>
        <v>1.8078723599836262</v>
      </c>
      <c r="O537" s="38" t="s">
        <v>31</v>
      </c>
      <c r="P537" s="13">
        <v>3153</v>
      </c>
      <c r="Q537" s="14">
        <f>P537/P539</f>
        <v>1.8799413300897936E-2</v>
      </c>
      <c r="R537">
        <v>99.92</v>
      </c>
      <c r="S537" s="40">
        <f t="shared" si="223"/>
        <v>1.8784373770257219</v>
      </c>
      <c r="U537" s="46" t="s">
        <v>31</v>
      </c>
      <c r="V537" s="52">
        <v>1450330000</v>
      </c>
      <c r="W537" s="14">
        <f>V537/V539</f>
        <v>0.29563734489195792</v>
      </c>
      <c r="X537">
        <v>99.96</v>
      </c>
      <c r="Y537" s="48">
        <f t="shared" ref="Y537" si="225">W537*X537</f>
        <v>29.551908995400112</v>
      </c>
    </row>
    <row r="538" spans="1:25" ht="15" thickBot="1" x14ac:dyDescent="0.4">
      <c r="A538" s="24">
        <f>SUM(A535:A537)</f>
        <v>1300698</v>
      </c>
      <c r="B538" s="2"/>
      <c r="C538" s="21" t="s">
        <v>32</v>
      </c>
      <c r="D538" s="13">
        <v>170</v>
      </c>
      <c r="E538" s="14">
        <f>D538/D540</f>
        <v>9.8468981112490966E-5</v>
      </c>
      <c r="F538">
        <v>99.96</v>
      </c>
      <c r="G538" s="15">
        <f t="shared" si="221"/>
        <v>9.8429593520045957E-3</v>
      </c>
      <c r="I538" s="21" t="s">
        <v>32</v>
      </c>
      <c r="J538" s="52">
        <v>291.55680370330811</v>
      </c>
      <c r="K538" s="14">
        <f>J538/J540</f>
        <v>5.2203515217597062E-5</v>
      </c>
      <c r="L538">
        <v>99.96</v>
      </c>
      <c r="M538" s="15">
        <f t="shared" si="222"/>
        <v>5.2182633811510021E-3</v>
      </c>
      <c r="O538" s="38" t="s">
        <v>33</v>
      </c>
      <c r="P538" s="13">
        <v>377</v>
      </c>
      <c r="Q538" s="14">
        <f>P538/P539</f>
        <v>2.2478207467296293E-3</v>
      </c>
      <c r="R538">
        <v>99.9</v>
      </c>
      <c r="S538" s="40">
        <f>Q538*R538</f>
        <v>0.22455729259828996</v>
      </c>
      <c r="U538" s="46" t="s">
        <v>33</v>
      </c>
      <c r="V538" s="52">
        <v>4486000</v>
      </c>
      <c r="W538" s="14">
        <f>V538/V539</f>
        <v>9.1443266648647079E-4</v>
      </c>
      <c r="X538">
        <v>99.95</v>
      </c>
      <c r="Y538" s="48">
        <f>W538*X538</f>
        <v>9.1397545015322754E-2</v>
      </c>
    </row>
    <row r="539" spans="1:25" ht="15.5" thickTop="1" thickBot="1" x14ac:dyDescent="0.4">
      <c r="B539" s="2"/>
      <c r="C539" s="21" t="s">
        <v>33</v>
      </c>
      <c r="D539" s="13">
        <v>85310</v>
      </c>
      <c r="E539" s="16">
        <f>D539/D540</f>
        <v>4.9414051639450611E-2</v>
      </c>
      <c r="F539">
        <v>99.93</v>
      </c>
      <c r="G539" s="15">
        <f t="shared" si="221"/>
        <v>4.9379461803303002</v>
      </c>
      <c r="I539" s="21" t="s">
        <v>33</v>
      </c>
      <c r="J539" s="52">
        <v>297470.16393852234</v>
      </c>
      <c r="K539" s="16">
        <f>J539/J540</f>
        <v>5.3262307834010418E-2</v>
      </c>
      <c r="L539">
        <v>99.93</v>
      </c>
      <c r="M539" s="15">
        <f t="shared" si="222"/>
        <v>5.3225024218526613</v>
      </c>
      <c r="O539" s="38"/>
      <c r="P539" s="31">
        <f>SUM(P534:P538)</f>
        <v>167718</v>
      </c>
      <c r="Q539" s="32">
        <f>SUM(Q534:Q538)</f>
        <v>1</v>
      </c>
      <c r="R539" s="33">
        <f>AVERAGE(R534:R538)</f>
        <v>99.903999999999996</v>
      </c>
      <c r="S539" s="41">
        <f>SUM(S534:S538)</f>
        <v>99.918655004233287</v>
      </c>
      <c r="U539" s="46"/>
      <c r="V539" s="52">
        <f>SUM(V534:V538)</f>
        <v>4905774000</v>
      </c>
      <c r="W539" s="32">
        <f>SUM(W534:W538)</f>
        <v>1</v>
      </c>
      <c r="X539" s="33">
        <f>AVERAGE(X534:X538)</f>
        <v>99.939999999999984</v>
      </c>
      <c r="Y539" s="58">
        <f>SUM(Y534:Y538)</f>
        <v>99.959531240126424</v>
      </c>
    </row>
    <row r="540" spans="1:25" ht="15" thickBot="1" x14ac:dyDescent="0.4">
      <c r="A540" s="10"/>
      <c r="B540" s="10"/>
      <c r="C540" s="10"/>
      <c r="D540" s="49">
        <f>SUM(D534:D539)</f>
        <v>1726432</v>
      </c>
      <c r="E540" s="50">
        <f>SUM(E534:E539)</f>
        <v>1</v>
      </c>
      <c r="F540" s="51">
        <f>AVERAGE(F534:F539)</f>
        <v>99.938333333333318</v>
      </c>
      <c r="G540" s="26">
        <f>SUM(G534:G539)</f>
        <v>99.950734763952468</v>
      </c>
      <c r="I540" s="10"/>
      <c r="J540" s="49">
        <f>SUM(J534:J539)</f>
        <v>5585003.2797222137</v>
      </c>
      <c r="K540" s="50">
        <f>SUM(K534:K539)</f>
        <v>1</v>
      </c>
      <c r="L540" s="51">
        <f>AVERAGE(L534:L539)</f>
        <v>99.938333333333318</v>
      </c>
      <c r="M540" s="26">
        <f>SUM(M534:M539)</f>
        <v>99.948094503658936</v>
      </c>
      <c r="O540" s="34"/>
      <c r="P540" s="34"/>
      <c r="Q540" s="34"/>
      <c r="R540" s="36"/>
      <c r="S540" s="40"/>
      <c r="U540" s="42"/>
      <c r="V540" s="42"/>
      <c r="W540" s="42"/>
      <c r="X540" s="44"/>
      <c r="Y540" s="45"/>
    </row>
    <row r="541" spans="1:25" ht="15" thickTop="1" x14ac:dyDescent="0.35">
      <c r="A541" s="29" t="s">
        <v>235</v>
      </c>
      <c r="B541" s="28"/>
      <c r="C541" s="28"/>
      <c r="D541" s="28"/>
      <c r="E541" s="28"/>
      <c r="F541" s="28"/>
      <c r="G541" s="28"/>
      <c r="I541" s="28"/>
      <c r="J541" s="28"/>
      <c r="K541" s="28"/>
      <c r="L541" s="28"/>
      <c r="M541" s="28"/>
      <c r="O541" s="28"/>
      <c r="P541" s="28"/>
      <c r="Q541" s="28"/>
      <c r="R541" s="28"/>
      <c r="S541" s="28"/>
      <c r="U541" s="28"/>
      <c r="V541" s="28"/>
      <c r="W541" s="28"/>
      <c r="X541" s="28"/>
      <c r="Y541" s="28"/>
    </row>
    <row r="542" spans="1:25" x14ac:dyDescent="0.35">
      <c r="A542" s="20" t="s">
        <v>234</v>
      </c>
      <c r="B542" s="20"/>
      <c r="C542" s="56" t="s">
        <v>115</v>
      </c>
      <c r="D542" s="11"/>
      <c r="E542" s="11"/>
      <c r="F542" s="11"/>
      <c r="G542" s="30" t="s">
        <v>115</v>
      </c>
      <c r="I542" s="56" t="s">
        <v>115</v>
      </c>
      <c r="J542" s="11"/>
      <c r="K542" s="11"/>
      <c r="L542" s="11"/>
      <c r="M542" s="30" t="s">
        <v>115</v>
      </c>
      <c r="O542" s="55" t="s">
        <v>116</v>
      </c>
      <c r="P542" s="34"/>
      <c r="Q542" s="34"/>
      <c r="R542" s="34"/>
      <c r="S542" s="35" t="s">
        <v>116</v>
      </c>
      <c r="U542" s="57" t="s">
        <v>117</v>
      </c>
      <c r="V542" s="42"/>
      <c r="W542" s="42"/>
      <c r="X542" s="42"/>
      <c r="Y542" s="43" t="s">
        <v>117</v>
      </c>
    </row>
    <row r="543" spans="1:25" ht="15" thickBot="1" x14ac:dyDescent="0.4">
      <c r="A543" s="2"/>
      <c r="B543" s="2"/>
      <c r="C543" s="2"/>
      <c r="D543" s="18" t="s">
        <v>118</v>
      </c>
      <c r="E543" s="19" t="s">
        <v>119</v>
      </c>
      <c r="F543" s="18" t="s">
        <v>120</v>
      </c>
      <c r="G543" s="12" t="s">
        <v>121</v>
      </c>
      <c r="I543" s="2"/>
      <c r="J543" s="18" t="s">
        <v>118</v>
      </c>
      <c r="K543" s="19" t="s">
        <v>119</v>
      </c>
      <c r="L543" s="18" t="s">
        <v>120</v>
      </c>
      <c r="M543" s="12" t="s">
        <v>121</v>
      </c>
      <c r="O543" s="34"/>
      <c r="P543" s="18" t="s">
        <v>118</v>
      </c>
      <c r="Q543" s="19" t="s">
        <v>119</v>
      </c>
      <c r="R543" s="18" t="s">
        <v>120</v>
      </c>
      <c r="S543" s="39" t="s">
        <v>121</v>
      </c>
      <c r="U543" s="42"/>
      <c r="V543" s="18" t="s">
        <v>118</v>
      </c>
      <c r="W543" s="19" t="s">
        <v>119</v>
      </c>
      <c r="X543" s="18" t="s">
        <v>120</v>
      </c>
      <c r="Y543" s="47" t="s">
        <v>121</v>
      </c>
    </row>
    <row r="544" spans="1:25" ht="15" thickTop="1" x14ac:dyDescent="0.35">
      <c r="A544" s="22" t="s">
        <v>122</v>
      </c>
      <c r="B544" s="2"/>
      <c r="C544" s="21" t="s">
        <v>25</v>
      </c>
      <c r="D544" s="25">
        <v>1302387</v>
      </c>
      <c r="E544" s="14">
        <f>D544/D550</f>
        <v>0.75357930598726586</v>
      </c>
      <c r="F544">
        <v>99.95</v>
      </c>
      <c r="G544" s="15">
        <f t="shared" ref="G544:G549" si="226">E544*F544</f>
        <v>75.320251633427219</v>
      </c>
      <c r="I544" s="21" t="s">
        <v>25</v>
      </c>
      <c r="J544" s="52">
        <v>3565207.2928829193</v>
      </c>
      <c r="K544" s="14">
        <f>J544/J550</f>
        <v>0.78881771481785745</v>
      </c>
      <c r="L544">
        <v>99.95</v>
      </c>
      <c r="M544" s="15">
        <f t="shared" ref="M544:M549" si="227">K544*L544</f>
        <v>78.84233059604486</v>
      </c>
      <c r="O544" s="38" t="s">
        <v>25</v>
      </c>
      <c r="P544" s="13">
        <v>61456</v>
      </c>
      <c r="Q544" s="14">
        <f>P544/P549</f>
        <v>0.36892119844161769</v>
      </c>
      <c r="R544">
        <v>99.95</v>
      </c>
      <c r="S544" s="40">
        <f t="shared" ref="S544:S547" si="228">Q544*R544</f>
        <v>36.873673784239692</v>
      </c>
      <c r="U544" s="46" t="s">
        <v>25</v>
      </c>
      <c r="V544" s="52">
        <v>3550766000</v>
      </c>
      <c r="W544" s="14">
        <f>V544/V549</f>
        <v>0.75551250890727306</v>
      </c>
      <c r="X544">
        <v>99.95</v>
      </c>
      <c r="Y544" s="48">
        <f t="shared" ref="Y544:Y545" si="229">W544*X544</f>
        <v>75.51347526528194</v>
      </c>
    </row>
    <row r="545" spans="1:25" x14ac:dyDescent="0.35">
      <c r="A545" s="23">
        <v>1298898</v>
      </c>
      <c r="B545" s="2"/>
      <c r="C545" s="21" t="s">
        <v>29</v>
      </c>
      <c r="D545" s="13">
        <v>134523</v>
      </c>
      <c r="E545" s="14">
        <f>D545/D550</f>
        <v>7.783688640882086E-2</v>
      </c>
      <c r="F545">
        <v>99.88</v>
      </c>
      <c r="G545" s="15">
        <f t="shared" si="226"/>
        <v>7.7743482145130267</v>
      </c>
      <c r="I545" s="21" t="s">
        <v>29</v>
      </c>
      <c r="J545" s="52">
        <v>574903.22018909454</v>
      </c>
      <c r="K545" s="14">
        <f>J545/J550</f>
        <v>0.12719985323049257</v>
      </c>
      <c r="L545">
        <v>99.88</v>
      </c>
      <c r="M545" s="15">
        <f t="shared" si="227"/>
        <v>12.704721340661598</v>
      </c>
      <c r="O545" s="38" t="s">
        <v>29</v>
      </c>
      <c r="P545" s="13">
        <v>3965</v>
      </c>
      <c r="Q545" s="14">
        <f>P545/P549</f>
        <v>2.3801948578186249E-2</v>
      </c>
      <c r="R545">
        <v>99.88</v>
      </c>
      <c r="S545" s="40">
        <f t="shared" si="228"/>
        <v>2.3773386239892424</v>
      </c>
      <c r="U545" s="46" t="s">
        <v>29</v>
      </c>
      <c r="V545" s="52">
        <v>25792000</v>
      </c>
      <c r="W545" s="14">
        <f>V545/V549</f>
        <v>5.4878802573124748E-3</v>
      </c>
      <c r="X545">
        <v>99.88</v>
      </c>
      <c r="Y545" s="48">
        <f t="shared" si="229"/>
        <v>0.54812948010036999</v>
      </c>
    </row>
    <row r="546" spans="1:25" x14ac:dyDescent="0.35">
      <c r="A546" s="23">
        <v>12</v>
      </c>
      <c r="B546" s="2"/>
      <c r="C546" s="21" t="s">
        <v>30</v>
      </c>
      <c r="D546" s="13">
        <v>6007</v>
      </c>
      <c r="E546" s="14">
        <f>D546/D550</f>
        <v>3.4757340875373496E-3</v>
      </c>
      <c r="F546">
        <v>99.95</v>
      </c>
      <c r="G546" s="15">
        <f t="shared" si="226"/>
        <v>0.34739962204935809</v>
      </c>
      <c r="I546" s="21" t="s">
        <v>30</v>
      </c>
      <c r="J546" s="52">
        <v>12411.392302513123</v>
      </c>
      <c r="K546" s="14">
        <f>J546/J550</f>
        <v>2.7460748589066292E-3</v>
      </c>
      <c r="L546">
        <v>99.95</v>
      </c>
      <c r="M546" s="15">
        <f t="shared" si="227"/>
        <v>0.27447018214771762</v>
      </c>
      <c r="O546" s="38" t="s">
        <v>30</v>
      </c>
      <c r="P546" s="13">
        <v>98247</v>
      </c>
      <c r="Q546" s="14">
        <f>P546/P549</f>
        <v>0.58977806859043236</v>
      </c>
      <c r="R546">
        <v>99.95</v>
      </c>
      <c r="S546" s="40">
        <f t="shared" si="228"/>
        <v>58.948317955613717</v>
      </c>
      <c r="U546" s="46" t="s">
        <v>30</v>
      </c>
      <c r="V546" s="52">
        <v>96000</v>
      </c>
      <c r="W546" s="14">
        <f>V546/V549</f>
        <v>2.0426353315058841E-5</v>
      </c>
      <c r="X546">
        <v>99.95</v>
      </c>
      <c r="Y546" s="48">
        <f>W546*X546</f>
        <v>2.0416140138401311E-3</v>
      </c>
    </row>
    <row r="547" spans="1:25" x14ac:dyDescent="0.35">
      <c r="A547" s="23">
        <v>3477</v>
      </c>
      <c r="B547" s="2"/>
      <c r="C547" s="21" t="s">
        <v>31</v>
      </c>
      <c r="D547" s="13">
        <v>199856</v>
      </c>
      <c r="E547" s="14">
        <f>D547/D550</f>
        <v>0.11563947258179866</v>
      </c>
      <c r="F547">
        <v>99.95</v>
      </c>
      <c r="G547" s="15">
        <f t="shared" si="226"/>
        <v>11.558165284550777</v>
      </c>
      <c r="I547" s="21" t="s">
        <v>31</v>
      </c>
      <c r="J547" s="52">
        <v>76107.567637443542</v>
      </c>
      <c r="K547" s="14">
        <f>J547/J550</f>
        <v>1.6839132384801076E-2</v>
      </c>
      <c r="L547">
        <v>99.95</v>
      </c>
      <c r="M547" s="15">
        <f t="shared" si="227"/>
        <v>1.6830712818608675</v>
      </c>
      <c r="O547" s="38" t="s">
        <v>31</v>
      </c>
      <c r="P547" s="13">
        <v>2586</v>
      </c>
      <c r="Q547" s="14">
        <f>P547/P549</f>
        <v>1.5523792944057917E-2</v>
      </c>
      <c r="R547">
        <v>99.95</v>
      </c>
      <c r="S547" s="40">
        <f t="shared" si="228"/>
        <v>1.5516031047585888</v>
      </c>
      <c r="U547" s="46" t="s">
        <v>31</v>
      </c>
      <c r="V547" s="52">
        <v>1120974000</v>
      </c>
      <c r="W547" s="14">
        <f>V547/V549</f>
        <v>0.23851469771869549</v>
      </c>
      <c r="X547">
        <v>99.95</v>
      </c>
      <c r="Y547" s="48">
        <f t="shared" ref="Y547" si="230">W547*X547</f>
        <v>23.839544036983614</v>
      </c>
    </row>
    <row r="548" spans="1:25" ht="15" thickBot="1" x14ac:dyDescent="0.4">
      <c r="A548" s="24">
        <f>SUM(A545:A547)</f>
        <v>1302387</v>
      </c>
      <c r="B548" s="2"/>
      <c r="C548" s="21" t="s">
        <v>32</v>
      </c>
      <c r="D548" s="13">
        <v>170</v>
      </c>
      <c r="E548" s="14">
        <f>D548/D550</f>
        <v>9.8364374043840425E-5</v>
      </c>
      <c r="F548">
        <v>99.95</v>
      </c>
      <c r="G548" s="15">
        <f t="shared" si="226"/>
        <v>9.8315191856818505E-3</v>
      </c>
      <c r="I548" s="21" t="s">
        <v>32</v>
      </c>
      <c r="J548" s="52">
        <v>245.68435668945313</v>
      </c>
      <c r="K548" s="14">
        <f>J548/J550</f>
        <v>5.4358739026800866E-5</v>
      </c>
      <c r="L548">
        <v>99.95</v>
      </c>
      <c r="M548" s="15">
        <f t="shared" si="227"/>
        <v>5.4331559657287464E-3</v>
      </c>
      <c r="O548" s="38" t="s">
        <v>33</v>
      </c>
      <c r="P548" s="13">
        <v>329</v>
      </c>
      <c r="Q548" s="14">
        <f>P548/P549</f>
        <v>1.9749914457057442E-3</v>
      </c>
      <c r="R548">
        <v>99.93</v>
      </c>
      <c r="S548" s="40">
        <f>Q548*R548</f>
        <v>0.19736089516937502</v>
      </c>
      <c r="U548" s="46" t="s">
        <v>33</v>
      </c>
      <c r="V548" s="52">
        <v>2183000</v>
      </c>
      <c r="W548" s="14">
        <f>V548/V549</f>
        <v>4.6448676340389008E-4</v>
      </c>
      <c r="X548">
        <v>99.93</v>
      </c>
      <c r="Y548" s="48">
        <f>W548*X548</f>
        <v>4.6416162266950736E-2</v>
      </c>
    </row>
    <row r="549" spans="1:25" ht="15.5" thickTop="1" thickBot="1" x14ac:dyDescent="0.4">
      <c r="B549" s="2"/>
      <c r="C549" s="21" t="s">
        <v>33</v>
      </c>
      <c r="D549" s="13">
        <v>85325</v>
      </c>
      <c r="E549" s="16">
        <f>D549/D550</f>
        <v>4.9370236560533437E-2</v>
      </c>
      <c r="F549">
        <v>99.91</v>
      </c>
      <c r="G549" s="15">
        <f t="shared" si="226"/>
        <v>4.9325803347628954</v>
      </c>
      <c r="I549" s="21" t="s">
        <v>33</v>
      </c>
      <c r="J549" s="52">
        <v>290809.46166419983</v>
      </c>
      <c r="K549" s="16">
        <f>J549/J550</f>
        <v>6.4342865968915419E-2</v>
      </c>
      <c r="L549">
        <v>99.91</v>
      </c>
      <c r="M549" s="15">
        <f t="shared" si="227"/>
        <v>6.4284957389543393</v>
      </c>
      <c r="O549" s="38"/>
      <c r="P549" s="31">
        <f>SUM(P544:P548)</f>
        <v>166583</v>
      </c>
      <c r="Q549" s="32">
        <f>SUM(Q544:Q548)</f>
        <v>1</v>
      </c>
      <c r="R549" s="33">
        <f>AVERAGE(R544:R548)</f>
        <v>99.931999999999988</v>
      </c>
      <c r="S549" s="41">
        <f>SUM(S544:S548)</f>
        <v>99.948294363770614</v>
      </c>
      <c r="U549" s="46"/>
      <c r="V549" s="52">
        <f>SUM(V544:V548)</f>
        <v>4699811000</v>
      </c>
      <c r="W549" s="32">
        <f>SUM(W544:W548)</f>
        <v>1</v>
      </c>
      <c r="X549" s="33">
        <f>AVERAGE(X544:X548)</f>
        <v>99.931999999999988</v>
      </c>
      <c r="Y549" s="58">
        <f>SUM(Y544:Y548)</f>
        <v>99.949606558646707</v>
      </c>
    </row>
    <row r="550" spans="1:25" ht="15" thickBot="1" x14ac:dyDescent="0.4">
      <c r="A550" s="10"/>
      <c r="B550" s="10"/>
      <c r="C550" s="10"/>
      <c r="D550" s="49">
        <f>SUM(D544:D549)</f>
        <v>1728268</v>
      </c>
      <c r="E550" s="50">
        <f>SUM(E544:E549)</f>
        <v>1</v>
      </c>
      <c r="F550" s="51">
        <f>AVERAGE(F544:F549)</f>
        <v>99.931666666666658</v>
      </c>
      <c r="G550" s="26">
        <f>SUM(G544:G549)</f>
        <v>99.942576608488949</v>
      </c>
      <c r="I550" s="10"/>
      <c r="J550" s="49">
        <f>SUM(J544:J549)</f>
        <v>4519684.6190328598</v>
      </c>
      <c r="K550" s="50">
        <f>SUM(K544:K549)</f>
        <v>1</v>
      </c>
      <c r="L550" s="51">
        <f>AVERAGE(L544:L549)</f>
        <v>99.931666666666658</v>
      </c>
      <c r="M550" s="26">
        <f>SUM(M544:M549)</f>
        <v>99.93852229563511</v>
      </c>
      <c r="O550" s="34"/>
      <c r="P550" s="34"/>
      <c r="Q550" s="34"/>
      <c r="R550" s="36"/>
      <c r="S550" s="40"/>
      <c r="U550" s="42"/>
      <c r="V550" s="42"/>
      <c r="W550" s="42"/>
      <c r="X550" s="44"/>
      <c r="Y550" s="45"/>
    </row>
    <row r="551" spans="1:25" ht="15" thickTop="1" x14ac:dyDescent="0.35">
      <c r="A551" s="29" t="s">
        <v>236</v>
      </c>
      <c r="B551" s="28"/>
      <c r="C551" s="28"/>
      <c r="D551" s="28"/>
      <c r="E551" s="28"/>
      <c r="F551" s="28"/>
      <c r="G551" s="28"/>
      <c r="I551" s="28"/>
      <c r="J551" s="28"/>
      <c r="K551" s="28"/>
      <c r="L551" s="28"/>
      <c r="M551" s="28"/>
      <c r="O551" s="28"/>
      <c r="P551" s="28"/>
      <c r="Q551" s="28"/>
      <c r="R551" s="28"/>
      <c r="S551" s="28"/>
      <c r="U551" s="28"/>
      <c r="V551" s="28"/>
      <c r="W551" s="28"/>
      <c r="X551" s="28"/>
      <c r="Y551" s="28"/>
    </row>
    <row r="552" spans="1:25" x14ac:dyDescent="0.35">
      <c r="A552" s="20" t="s">
        <v>234</v>
      </c>
      <c r="B552" s="20"/>
      <c r="C552" s="56" t="s">
        <v>115</v>
      </c>
      <c r="D552" s="11"/>
      <c r="E552" s="11"/>
      <c r="F552" s="11"/>
      <c r="G552" s="30" t="s">
        <v>115</v>
      </c>
      <c r="I552" s="56" t="s">
        <v>115</v>
      </c>
      <c r="J552" s="11"/>
      <c r="K552" s="11"/>
      <c r="L552" s="11"/>
      <c r="M552" s="30" t="s">
        <v>115</v>
      </c>
      <c r="O552" s="55" t="s">
        <v>116</v>
      </c>
      <c r="P552" s="34"/>
      <c r="Q552" s="34"/>
      <c r="R552" s="34"/>
      <c r="S552" s="35" t="s">
        <v>116</v>
      </c>
      <c r="U552" s="57" t="s">
        <v>117</v>
      </c>
      <c r="V552" s="42"/>
      <c r="W552" s="42"/>
      <c r="X552" s="42"/>
      <c r="Y552" s="43" t="s">
        <v>117</v>
      </c>
    </row>
    <row r="553" spans="1:25" ht="15" thickBot="1" x14ac:dyDescent="0.4">
      <c r="A553" s="2"/>
      <c r="B553" s="2"/>
      <c r="C553" s="2"/>
      <c r="D553" s="18" t="s">
        <v>118</v>
      </c>
      <c r="E553" s="19" t="s">
        <v>119</v>
      </c>
      <c r="F553" s="18" t="s">
        <v>120</v>
      </c>
      <c r="G553" s="12" t="s">
        <v>121</v>
      </c>
      <c r="I553" s="2"/>
      <c r="J553" s="18" t="s">
        <v>118</v>
      </c>
      <c r="K553" s="19" t="s">
        <v>119</v>
      </c>
      <c r="L553" s="18" t="s">
        <v>120</v>
      </c>
      <c r="M553" s="12" t="s">
        <v>121</v>
      </c>
      <c r="O553" s="34"/>
      <c r="P553" s="18" t="s">
        <v>118</v>
      </c>
      <c r="Q553" s="19" t="s">
        <v>119</v>
      </c>
      <c r="R553" s="18" t="s">
        <v>120</v>
      </c>
      <c r="S553" s="39" t="s">
        <v>121</v>
      </c>
      <c r="U553" s="42"/>
      <c r="V553" s="18" t="s">
        <v>118</v>
      </c>
      <c r="W553" s="19" t="s">
        <v>119</v>
      </c>
      <c r="X553" s="18" t="s">
        <v>120</v>
      </c>
      <c r="Y553" s="47" t="s">
        <v>121</v>
      </c>
    </row>
    <row r="554" spans="1:25" ht="15" thickTop="1" x14ac:dyDescent="0.35">
      <c r="A554" s="22" t="s">
        <v>122</v>
      </c>
      <c r="B554" s="2"/>
      <c r="C554" s="21" t="s">
        <v>25</v>
      </c>
      <c r="D554" s="25">
        <v>1302387</v>
      </c>
      <c r="E554" s="14">
        <f>D554/D560</f>
        <v>0.75357930598726586</v>
      </c>
      <c r="F554">
        <v>99.96</v>
      </c>
      <c r="G554" s="15">
        <f t="shared" ref="G554:G559" si="231">E554*F554</f>
        <v>75.327787426487092</v>
      </c>
      <c r="I554" s="21" t="s">
        <v>25</v>
      </c>
      <c r="J554" s="52">
        <v>3565207.2928829193</v>
      </c>
      <c r="K554" s="14">
        <f>J554/J560</f>
        <v>0.78881771481785745</v>
      </c>
      <c r="L554">
        <v>99.96</v>
      </c>
      <c r="M554" s="15">
        <f t="shared" ref="M554:M559" si="232">K554*L554</f>
        <v>78.850218773193021</v>
      </c>
      <c r="O554" s="38" t="s">
        <v>25</v>
      </c>
      <c r="P554" s="13">
        <v>61456</v>
      </c>
      <c r="Q554" s="14">
        <f>P554/P559</f>
        <v>0.36892119844161769</v>
      </c>
      <c r="R554">
        <v>99.92</v>
      </c>
      <c r="S554" s="40">
        <f t="shared" ref="S554:S557" si="233">Q554*R554</f>
        <v>36.862606148286439</v>
      </c>
      <c r="U554" s="46" t="s">
        <v>25</v>
      </c>
      <c r="V554" s="52">
        <v>3550766000</v>
      </c>
      <c r="W554" s="14">
        <f>V554/V559</f>
        <v>0.75551250890727306</v>
      </c>
      <c r="X554">
        <v>99.96</v>
      </c>
      <c r="Y554" s="48">
        <f t="shared" ref="Y554:Y555" si="234">W554*X554</f>
        <v>75.52103039037101</v>
      </c>
    </row>
    <row r="555" spans="1:25" x14ac:dyDescent="0.35">
      <c r="A555" s="23">
        <v>1298898</v>
      </c>
      <c r="B555" s="2"/>
      <c r="C555" s="21" t="s">
        <v>29</v>
      </c>
      <c r="D555" s="13">
        <v>134523</v>
      </c>
      <c r="E555" s="14">
        <f>D555/D560</f>
        <v>7.783688640882086E-2</v>
      </c>
      <c r="F555">
        <v>99.86</v>
      </c>
      <c r="G555" s="15">
        <f t="shared" si="231"/>
        <v>7.7727914767848514</v>
      </c>
      <c r="I555" s="21" t="s">
        <v>29</v>
      </c>
      <c r="J555" s="52">
        <v>574903.22018909454</v>
      </c>
      <c r="K555" s="14">
        <f>J555/J560</f>
        <v>0.12719985323049257</v>
      </c>
      <c r="L555">
        <v>99.86</v>
      </c>
      <c r="M555" s="15">
        <f t="shared" si="232"/>
        <v>12.702177343596988</v>
      </c>
      <c r="O555" s="38" t="s">
        <v>29</v>
      </c>
      <c r="P555" s="13">
        <v>3965</v>
      </c>
      <c r="Q555" s="14">
        <f>P555/P559</f>
        <v>2.3801948578186249E-2</v>
      </c>
      <c r="R555">
        <v>99.86</v>
      </c>
      <c r="S555" s="40">
        <f t="shared" si="233"/>
        <v>2.3768625850176788</v>
      </c>
      <c r="U555" s="46" t="s">
        <v>29</v>
      </c>
      <c r="V555" s="52">
        <v>25792000</v>
      </c>
      <c r="W555" s="14">
        <f>V555/V559</f>
        <v>5.4878802573124748E-3</v>
      </c>
      <c r="X555">
        <v>99.87</v>
      </c>
      <c r="Y555" s="48">
        <f t="shared" si="234"/>
        <v>0.54807460129779684</v>
      </c>
    </row>
    <row r="556" spans="1:25" x14ac:dyDescent="0.35">
      <c r="A556" s="23">
        <v>12</v>
      </c>
      <c r="B556" s="2"/>
      <c r="C556" s="21" t="s">
        <v>30</v>
      </c>
      <c r="D556" s="13">
        <v>6007</v>
      </c>
      <c r="E556" s="14">
        <f>D556/D560</f>
        <v>3.4757340875373496E-3</v>
      </c>
      <c r="F556">
        <v>99.96</v>
      </c>
      <c r="G556" s="15">
        <f t="shared" si="231"/>
        <v>0.34743437939023347</v>
      </c>
      <c r="I556" s="21" t="s">
        <v>30</v>
      </c>
      <c r="J556" s="52">
        <v>12411.392302513123</v>
      </c>
      <c r="K556" s="14">
        <f>J556/J560</f>
        <v>2.7460748589066292E-3</v>
      </c>
      <c r="L556">
        <v>99.96</v>
      </c>
      <c r="M556" s="15">
        <f t="shared" si="232"/>
        <v>0.27449764289630663</v>
      </c>
      <c r="O556" s="38" t="s">
        <v>30</v>
      </c>
      <c r="P556" s="13">
        <v>98247</v>
      </c>
      <c r="Q556" s="14">
        <f>P556/P559</f>
        <v>0.58977806859043236</v>
      </c>
      <c r="R556">
        <v>99.92</v>
      </c>
      <c r="S556" s="40">
        <f t="shared" si="233"/>
        <v>58.930624613555999</v>
      </c>
      <c r="U556" s="46" t="s">
        <v>30</v>
      </c>
      <c r="V556" s="52">
        <v>96000</v>
      </c>
      <c r="W556" s="14">
        <f>V556/V559</f>
        <v>2.0426353315058841E-5</v>
      </c>
      <c r="X556">
        <v>99.96</v>
      </c>
      <c r="Y556" s="48">
        <f>W556*X556</f>
        <v>2.0418182773732814E-3</v>
      </c>
    </row>
    <row r="557" spans="1:25" x14ac:dyDescent="0.35">
      <c r="A557" s="23">
        <v>3477</v>
      </c>
      <c r="B557" s="2"/>
      <c r="C557" s="21" t="s">
        <v>31</v>
      </c>
      <c r="D557" s="13">
        <v>199856</v>
      </c>
      <c r="E557" s="14">
        <f>D557/D560</f>
        <v>0.11563947258179866</v>
      </c>
      <c r="F557">
        <v>99.96</v>
      </c>
      <c r="G557" s="15">
        <f t="shared" si="231"/>
        <v>11.559321679276593</v>
      </c>
      <c r="I557" s="21" t="s">
        <v>31</v>
      </c>
      <c r="J557" s="52">
        <v>76107.567637443542</v>
      </c>
      <c r="K557" s="14">
        <f>J557/J560</f>
        <v>1.6839132384801076E-2</v>
      </c>
      <c r="L557">
        <v>99.96</v>
      </c>
      <c r="M557" s="15">
        <f t="shared" si="232"/>
        <v>1.6832396731847155</v>
      </c>
      <c r="O557" s="38" t="s">
        <v>31</v>
      </c>
      <c r="P557" s="13">
        <v>2586</v>
      </c>
      <c r="Q557" s="14">
        <f>P557/P559</f>
        <v>1.5523792944057917E-2</v>
      </c>
      <c r="R557">
        <v>99.92</v>
      </c>
      <c r="S557" s="40">
        <f t="shared" si="233"/>
        <v>1.551137390970267</v>
      </c>
      <c r="U557" s="46" t="s">
        <v>31</v>
      </c>
      <c r="V557" s="52">
        <v>1120974000</v>
      </c>
      <c r="W557" s="14">
        <f>V557/V559</f>
        <v>0.23851469771869549</v>
      </c>
      <c r="X557">
        <v>99.96</v>
      </c>
      <c r="Y557" s="48">
        <f t="shared" ref="Y557" si="235">W557*X557</f>
        <v>23.841929183960801</v>
      </c>
    </row>
    <row r="558" spans="1:25" ht="15" thickBot="1" x14ac:dyDescent="0.4">
      <c r="A558" s="24">
        <f>SUM(A555:A557)</f>
        <v>1302387</v>
      </c>
      <c r="B558" s="2"/>
      <c r="C558" s="21" t="s">
        <v>32</v>
      </c>
      <c r="D558" s="13">
        <v>170</v>
      </c>
      <c r="E558" s="14">
        <f>D558/D560</f>
        <v>9.8364374043840425E-5</v>
      </c>
      <c r="F558">
        <v>99.96</v>
      </c>
      <c r="G558" s="15">
        <f t="shared" si="231"/>
        <v>9.8325028294222877E-3</v>
      </c>
      <c r="I558" s="21" t="s">
        <v>32</v>
      </c>
      <c r="J558" s="52">
        <v>245.68435668945313</v>
      </c>
      <c r="K558" s="14">
        <f>J558/J560</f>
        <v>5.4358739026800866E-5</v>
      </c>
      <c r="L558">
        <v>99.96</v>
      </c>
      <c r="M558" s="15">
        <f t="shared" si="232"/>
        <v>5.4336995531190143E-3</v>
      </c>
      <c r="O558" s="38" t="s">
        <v>33</v>
      </c>
      <c r="P558" s="13">
        <v>329</v>
      </c>
      <c r="Q558" s="14">
        <f>P558/P559</f>
        <v>1.9749914457057442E-3</v>
      </c>
      <c r="R558">
        <v>99.9</v>
      </c>
      <c r="S558" s="40">
        <f>Q558*R558</f>
        <v>0.19730164542600384</v>
      </c>
      <c r="U558" s="46" t="s">
        <v>33</v>
      </c>
      <c r="V558" s="52">
        <v>2183000</v>
      </c>
      <c r="W558" s="14">
        <f>V558/V559</f>
        <v>4.6448676340389008E-4</v>
      </c>
      <c r="X558">
        <v>99.95</v>
      </c>
      <c r="Y558" s="48">
        <f>W558*X558</f>
        <v>4.6425452002218814E-2</v>
      </c>
    </row>
    <row r="559" spans="1:25" ht="15.5" thickTop="1" thickBot="1" x14ac:dyDescent="0.4">
      <c r="B559" s="2"/>
      <c r="C559" s="21" t="s">
        <v>33</v>
      </c>
      <c r="D559" s="13">
        <v>85325</v>
      </c>
      <c r="E559" s="16">
        <f>D559/D560</f>
        <v>4.9370236560533437E-2</v>
      </c>
      <c r="F559">
        <v>99.93</v>
      </c>
      <c r="G559" s="15">
        <f t="shared" si="231"/>
        <v>4.9335677394941069</v>
      </c>
      <c r="I559" s="21" t="s">
        <v>33</v>
      </c>
      <c r="J559" s="52">
        <v>290809.46166419983</v>
      </c>
      <c r="K559" s="16">
        <f>J559/J560</f>
        <v>6.4342865968915419E-2</v>
      </c>
      <c r="L559">
        <v>99.93</v>
      </c>
      <c r="M559" s="15">
        <f t="shared" si="232"/>
        <v>6.4297825962737178</v>
      </c>
      <c r="O559" s="38"/>
      <c r="P559" s="31">
        <f>SUM(P554:P558)</f>
        <v>166583</v>
      </c>
      <c r="Q559" s="32">
        <f>SUM(Q554:Q558)</f>
        <v>1</v>
      </c>
      <c r="R559" s="33">
        <f>AVERAGE(R554:R558)</f>
        <v>99.903999999999996</v>
      </c>
      <c r="S559" s="41">
        <f>SUM(S554:S558)</f>
        <v>99.918532383256391</v>
      </c>
      <c r="U559" s="46"/>
      <c r="V559" s="52">
        <f>SUM(V554:V558)</f>
        <v>4699811000</v>
      </c>
      <c r="W559" s="32">
        <f>SUM(W554:W558)</f>
        <v>1</v>
      </c>
      <c r="X559" s="33">
        <f>AVERAGE(X554:X558)</f>
        <v>99.939999999999984</v>
      </c>
      <c r="Y559" s="58">
        <f>SUM(Y554:Y558)</f>
        <v>99.959501445909211</v>
      </c>
    </row>
    <row r="560" spans="1:25" ht="15" thickBot="1" x14ac:dyDescent="0.4">
      <c r="A560" s="10"/>
      <c r="B560" s="10"/>
      <c r="C560" s="10"/>
      <c r="D560" s="49">
        <f>SUM(D554:D559)</f>
        <v>1728268</v>
      </c>
      <c r="E560" s="50">
        <f>SUM(E554:E559)</f>
        <v>1</v>
      </c>
      <c r="F560" s="51">
        <f>AVERAGE(F554:F559)</f>
        <v>99.938333333333318</v>
      </c>
      <c r="G560" s="26">
        <f>SUM(G554:G559)</f>
        <v>99.950735204262301</v>
      </c>
      <c r="I560" s="10"/>
      <c r="J560" s="49">
        <f>SUM(J554:J559)</f>
        <v>4519684.6190328598</v>
      </c>
      <c r="K560" s="50">
        <f>SUM(K554:K559)</f>
        <v>1</v>
      </c>
      <c r="L560" s="51">
        <f>AVERAGE(L554:L559)</f>
        <v>99.938333333333318</v>
      </c>
      <c r="M560" s="26">
        <f>SUM(M554:M559)</f>
        <v>99.945349728697863</v>
      </c>
      <c r="O560" s="34"/>
      <c r="P560" s="34"/>
      <c r="Q560" s="34"/>
      <c r="R560" s="36"/>
      <c r="S560" s="40"/>
      <c r="U560" s="42"/>
      <c r="V560" s="42"/>
      <c r="W560" s="42"/>
      <c r="X560" s="44"/>
      <c r="Y560" s="45"/>
    </row>
    <row r="561" spans="1:25" ht="15" thickTop="1" x14ac:dyDescent="0.35">
      <c r="A561" s="29" t="s">
        <v>237</v>
      </c>
      <c r="B561" s="28"/>
      <c r="C561" s="28"/>
      <c r="D561" s="28"/>
      <c r="E561" s="28"/>
      <c r="F561" s="28"/>
      <c r="G561" s="28"/>
      <c r="I561" s="28"/>
      <c r="J561" s="28"/>
      <c r="K561" s="28"/>
      <c r="L561" s="28"/>
      <c r="M561" s="28"/>
      <c r="O561" s="28"/>
      <c r="P561" s="28"/>
      <c r="Q561" s="28"/>
      <c r="R561" s="28"/>
      <c r="S561" s="28"/>
      <c r="U561" s="28"/>
      <c r="V561" s="28"/>
      <c r="W561" s="28"/>
      <c r="X561" s="28"/>
      <c r="Y561" s="28"/>
    </row>
    <row r="562" spans="1:25" x14ac:dyDescent="0.35">
      <c r="A562" s="20" t="s">
        <v>238</v>
      </c>
      <c r="B562" s="20"/>
      <c r="C562" s="56" t="s">
        <v>115</v>
      </c>
      <c r="D562" s="11"/>
      <c r="E562" s="11"/>
      <c r="F562" s="11"/>
      <c r="G562" s="30" t="s">
        <v>115</v>
      </c>
      <c r="I562" s="56" t="s">
        <v>115</v>
      </c>
      <c r="J562" s="11"/>
      <c r="K562" s="11"/>
      <c r="L562" s="11"/>
      <c r="M562" s="30" t="s">
        <v>115</v>
      </c>
      <c r="O562" s="55" t="s">
        <v>116</v>
      </c>
      <c r="P562" s="34"/>
      <c r="Q562" s="34"/>
      <c r="R562" s="34"/>
      <c r="S562" s="35" t="s">
        <v>116</v>
      </c>
      <c r="U562" s="57" t="s">
        <v>117</v>
      </c>
      <c r="V562" s="42"/>
      <c r="W562" s="42"/>
      <c r="X562" s="42"/>
      <c r="Y562" s="43" t="s">
        <v>117</v>
      </c>
    </row>
    <row r="563" spans="1:25" ht="15" thickBot="1" x14ac:dyDescent="0.4">
      <c r="A563" s="2"/>
      <c r="B563" s="2"/>
      <c r="C563" s="2"/>
      <c r="D563" s="18" t="s">
        <v>118</v>
      </c>
      <c r="E563" s="19" t="s">
        <v>119</v>
      </c>
      <c r="F563" s="18" t="s">
        <v>120</v>
      </c>
      <c r="G563" s="12" t="s">
        <v>121</v>
      </c>
      <c r="I563" s="2"/>
      <c r="J563" s="18" t="s">
        <v>118</v>
      </c>
      <c r="K563" s="19" t="s">
        <v>119</v>
      </c>
      <c r="L563" s="18" t="s">
        <v>120</v>
      </c>
      <c r="M563" s="12" t="s">
        <v>121</v>
      </c>
      <c r="O563" s="34"/>
      <c r="P563" s="18" t="s">
        <v>118</v>
      </c>
      <c r="Q563" s="19" t="s">
        <v>119</v>
      </c>
      <c r="R563" s="18" t="s">
        <v>120</v>
      </c>
      <c r="S563" s="39" t="s">
        <v>121</v>
      </c>
      <c r="U563" s="42"/>
      <c r="V563" s="18" t="s">
        <v>118</v>
      </c>
      <c r="W563" s="19" t="s">
        <v>119</v>
      </c>
      <c r="X563" s="18" t="s">
        <v>120</v>
      </c>
      <c r="Y563" s="47" t="s">
        <v>121</v>
      </c>
    </row>
    <row r="564" spans="1:25" ht="15" thickTop="1" x14ac:dyDescent="0.35">
      <c r="A564" s="22" t="s">
        <v>122</v>
      </c>
      <c r="B564" s="2"/>
      <c r="C564" s="21" t="s">
        <v>25</v>
      </c>
      <c r="D564" s="25">
        <v>1304325</v>
      </c>
      <c r="E564" s="14">
        <f>D564/D570</f>
        <v>0.75376557721513715</v>
      </c>
      <c r="F564">
        <v>99.95</v>
      </c>
      <c r="G564" s="15">
        <f t="shared" ref="G564:G569" si="236">E564*F564</f>
        <v>75.338869442652964</v>
      </c>
      <c r="I564" s="21" t="s">
        <v>25</v>
      </c>
      <c r="J564" s="52">
        <v>3359893.2765645981</v>
      </c>
      <c r="K564" s="14">
        <f>J564/J570</f>
        <v>0.77931242423098102</v>
      </c>
      <c r="L564">
        <v>99.95</v>
      </c>
      <c r="M564" s="15">
        <f t="shared" ref="M564:M569" si="237">K564*L564</f>
        <v>77.892276801886553</v>
      </c>
      <c r="O564" s="38" t="s">
        <v>25</v>
      </c>
      <c r="P564" s="13">
        <v>81667</v>
      </c>
      <c r="Q564" s="14">
        <f>P564/P569</f>
        <v>0.43949284526506693</v>
      </c>
      <c r="R564">
        <v>99.95</v>
      </c>
      <c r="S564" s="40">
        <f t="shared" ref="S564:S567" si="238">Q564*R564</f>
        <v>43.927309884243442</v>
      </c>
      <c r="U564" s="46" t="s">
        <v>25</v>
      </c>
      <c r="V564" s="52">
        <v>3328488000</v>
      </c>
      <c r="W564" s="14">
        <f>V564/V569</f>
        <v>0.69250401491494873</v>
      </c>
      <c r="X564">
        <v>99.95</v>
      </c>
      <c r="Y564" s="48">
        <f t="shared" ref="Y564:Y565" si="239">W564*X564</f>
        <v>69.215776290749133</v>
      </c>
    </row>
    <row r="565" spans="1:25" x14ac:dyDescent="0.35">
      <c r="A565" s="23">
        <v>1300836</v>
      </c>
      <c r="B565" s="2"/>
      <c r="C565" s="21" t="s">
        <v>29</v>
      </c>
      <c r="D565" s="13">
        <v>134764</v>
      </c>
      <c r="E565" s="14">
        <f>D565/D570</f>
        <v>7.7879718818408564E-2</v>
      </c>
      <c r="F565">
        <v>99.88</v>
      </c>
      <c r="G565" s="15">
        <f t="shared" si="236"/>
        <v>7.7786263155826472</v>
      </c>
      <c r="I565" s="21" t="s">
        <v>29</v>
      </c>
      <c r="J565" s="52">
        <v>574028.66829681396</v>
      </c>
      <c r="K565" s="14">
        <f>J565/J570</f>
        <v>0.13314341743791128</v>
      </c>
      <c r="L565">
        <v>99.88</v>
      </c>
      <c r="M565" s="15">
        <f t="shared" si="237"/>
        <v>13.298364533698578</v>
      </c>
      <c r="O565" s="38" t="s">
        <v>29</v>
      </c>
      <c r="P565" s="13">
        <v>3388</v>
      </c>
      <c r="Q565" s="14">
        <f>P565/P569</f>
        <v>1.8232600190505918E-2</v>
      </c>
      <c r="R565">
        <v>99.88</v>
      </c>
      <c r="S565" s="40">
        <f t="shared" si="238"/>
        <v>1.8210721070277309</v>
      </c>
      <c r="U565" s="46" t="s">
        <v>29</v>
      </c>
      <c r="V565" s="52">
        <v>22687000</v>
      </c>
      <c r="W565" s="14">
        <f>V565/V569</f>
        <v>4.7201127317795469E-3</v>
      </c>
      <c r="X565">
        <v>99.88</v>
      </c>
      <c r="Y565" s="48">
        <f t="shared" si="239"/>
        <v>0.4714448596501411</v>
      </c>
    </row>
    <row r="566" spans="1:25" x14ac:dyDescent="0.35">
      <c r="A566" s="23">
        <v>12</v>
      </c>
      <c r="B566" s="2"/>
      <c r="C566" s="21" t="s">
        <v>30</v>
      </c>
      <c r="D566" s="13">
        <v>6022</v>
      </c>
      <c r="E566" s="14">
        <f>D566/D570</f>
        <v>3.4800960696065447E-3</v>
      </c>
      <c r="F566">
        <v>99.95</v>
      </c>
      <c r="G566" s="15">
        <f t="shared" si="236"/>
        <v>0.34783560215717413</v>
      </c>
      <c r="I566" s="21" t="s">
        <v>30</v>
      </c>
      <c r="J566" s="52">
        <v>12266.439350128174</v>
      </c>
      <c r="K566" s="14">
        <f>J566/J570</f>
        <v>2.8451464971544897E-3</v>
      </c>
      <c r="L566">
        <v>99.95</v>
      </c>
      <c r="M566" s="15">
        <f t="shared" si="237"/>
        <v>0.28437239239059126</v>
      </c>
      <c r="O566" s="38" t="s">
        <v>30</v>
      </c>
      <c r="P566" s="96">
        <v>97710</v>
      </c>
      <c r="Q566" s="14">
        <f>P566/P569</f>
        <v>0.52582862001603692</v>
      </c>
      <c r="R566">
        <v>99.95</v>
      </c>
      <c r="S566" s="40">
        <f t="shared" si="238"/>
        <v>52.556570570602894</v>
      </c>
      <c r="U566" s="46" t="s">
        <v>30</v>
      </c>
      <c r="V566" s="52">
        <v>251000</v>
      </c>
      <c r="W566" s="14">
        <f>V566/V569</f>
        <v>5.2221461439444015E-5</v>
      </c>
      <c r="X566">
        <v>99.95</v>
      </c>
      <c r="Y566" s="48">
        <f>W566*X566</f>
        <v>5.2195350708724294E-3</v>
      </c>
    </row>
    <row r="567" spans="1:25" x14ac:dyDescent="0.35">
      <c r="A567" s="23">
        <v>3477</v>
      </c>
      <c r="B567" s="2"/>
      <c r="C567" s="21" t="s">
        <v>31</v>
      </c>
      <c r="D567" s="13">
        <v>199817</v>
      </c>
      <c r="E567" s="14">
        <f>D567/D570</f>
        <v>0.11547365598481749</v>
      </c>
      <c r="F567">
        <v>99.95</v>
      </c>
      <c r="G567" s="15">
        <f t="shared" si="236"/>
        <v>11.541591915682508</v>
      </c>
      <c r="I567" s="21" t="s">
        <v>31</v>
      </c>
      <c r="J567" s="52">
        <v>74795.350275039673</v>
      </c>
      <c r="K567" s="14">
        <f>J567/J570</f>
        <v>1.734845155666535E-2</v>
      </c>
      <c r="L567">
        <v>99.95</v>
      </c>
      <c r="M567" s="15">
        <f t="shared" si="237"/>
        <v>1.7339777330887018</v>
      </c>
      <c r="O567" s="38" t="s">
        <v>31</v>
      </c>
      <c r="P567" s="96">
        <v>2785</v>
      </c>
      <c r="Q567" s="14">
        <f>P567/P569</f>
        <v>1.4987541774072898E-2</v>
      </c>
      <c r="R567">
        <v>99.95</v>
      </c>
      <c r="S567" s="40">
        <f t="shared" si="238"/>
        <v>1.4980048003185862</v>
      </c>
      <c r="U567" s="46" t="s">
        <v>31</v>
      </c>
      <c r="V567" s="52">
        <v>1452951000</v>
      </c>
      <c r="W567" s="14">
        <f>V567/V569</f>
        <v>0.3022917315533929</v>
      </c>
      <c r="X567">
        <v>99.95</v>
      </c>
      <c r="Y567" s="48">
        <f t="shared" ref="Y567" si="240">W567*X567</f>
        <v>30.214058568761622</v>
      </c>
    </row>
    <row r="568" spans="1:25" ht="15" thickBot="1" x14ac:dyDescent="0.4">
      <c r="A568" s="24">
        <f>SUM(A565:A567)</f>
        <v>1304325</v>
      </c>
      <c r="B568" s="2"/>
      <c r="C568" s="21" t="s">
        <v>32</v>
      </c>
      <c r="D568" s="13">
        <v>170</v>
      </c>
      <c r="E568" s="14">
        <f>D568/D570</f>
        <v>9.8242499474113679E-5</v>
      </c>
      <c r="F568">
        <v>99.95</v>
      </c>
      <c r="G568" s="15">
        <f t="shared" si="236"/>
        <v>9.8193378224376623E-3</v>
      </c>
      <c r="I568" s="21" t="s">
        <v>32</v>
      </c>
      <c r="J568" s="52">
        <v>265.98794364929199</v>
      </c>
      <c r="K568" s="14">
        <f>J568/J570</f>
        <v>6.169473019496902E-5</v>
      </c>
      <c r="L568">
        <v>99.95</v>
      </c>
      <c r="M568" s="15">
        <f t="shared" si="237"/>
        <v>6.1663882829871538E-3</v>
      </c>
      <c r="O568" s="38" t="s">
        <v>33</v>
      </c>
      <c r="P568" s="96">
        <v>271</v>
      </c>
      <c r="Q568" s="14">
        <f>P568/P569</f>
        <v>1.4583927543173269E-3</v>
      </c>
      <c r="R568">
        <v>99.93</v>
      </c>
      <c r="S568" s="40">
        <f>Q568*R568</f>
        <v>0.14573718793893048</v>
      </c>
      <c r="U568" s="46" t="s">
        <v>33</v>
      </c>
      <c r="V568" s="52">
        <v>2076000</v>
      </c>
      <c r="W568" s="14">
        <f>V568/V569</f>
        <v>4.3191933843938558E-4</v>
      </c>
      <c r="X568">
        <v>99.93</v>
      </c>
      <c r="Y568" s="48">
        <f>W568*X568</f>
        <v>4.3161699490247805E-2</v>
      </c>
    </row>
    <row r="569" spans="1:25" ht="15.5" thickTop="1" thickBot="1" x14ac:dyDescent="0.4">
      <c r="B569" s="2"/>
      <c r="C569" s="21" t="s">
        <v>33</v>
      </c>
      <c r="D569" s="13">
        <v>85314</v>
      </c>
      <c r="E569" s="16">
        <f>D569/D570</f>
        <v>4.9302709412556087E-2</v>
      </c>
      <c r="F569">
        <v>99.92</v>
      </c>
      <c r="G569" s="15">
        <f t="shared" si="236"/>
        <v>4.9263267245026041</v>
      </c>
      <c r="I569" s="21" t="s">
        <v>33</v>
      </c>
      <c r="J569" s="52">
        <v>290106.25252437592</v>
      </c>
      <c r="K569" s="16">
        <f>J569/J570</f>
        <v>6.7288865547092874E-2</v>
      </c>
      <c r="L569">
        <v>99.91</v>
      </c>
      <c r="M569" s="15">
        <f t="shared" si="237"/>
        <v>6.7228305568100488</v>
      </c>
      <c r="O569" s="38"/>
      <c r="P569" s="31">
        <f>SUM(P564:P568)</f>
        <v>185821</v>
      </c>
      <c r="Q569" s="32">
        <f>SUM(Q564:Q568)</f>
        <v>1</v>
      </c>
      <c r="R569" s="33">
        <f>AVERAGE(R564:R568)</f>
        <v>99.931999999999988</v>
      </c>
      <c r="S569" s="41">
        <f>SUM(S564:S568)</f>
        <v>99.948694550131592</v>
      </c>
      <c r="U569" s="46"/>
      <c r="V569" s="52">
        <f>SUM(V564:V568)</f>
        <v>4806453000</v>
      </c>
      <c r="W569" s="32">
        <f>SUM(W564:W568)</f>
        <v>0.99999999999999989</v>
      </c>
      <c r="X569" s="33">
        <f>AVERAGE(X564:X568)</f>
        <v>99.931999999999988</v>
      </c>
      <c r="Y569" s="58">
        <f>SUM(Y564:Y568)</f>
        <v>99.949660953722002</v>
      </c>
    </row>
    <row r="570" spans="1:25" ht="15" thickBot="1" x14ac:dyDescent="0.4">
      <c r="A570" s="10"/>
      <c r="B570" s="10"/>
      <c r="C570" s="10"/>
      <c r="D570" s="49">
        <f>SUM(D564:D569)</f>
        <v>1730412</v>
      </c>
      <c r="E570" s="50">
        <f>SUM(E564:E569)</f>
        <v>1</v>
      </c>
      <c r="F570" s="51">
        <f>AVERAGE(F564:F569)</f>
        <v>99.933333333333323</v>
      </c>
      <c r="G570" s="26">
        <f>SUM(G564:G569)</f>
        <v>99.943069338400321</v>
      </c>
      <c r="I570" s="10"/>
      <c r="J570" s="49">
        <f>SUM(J564:J569)</f>
        <v>4311355.9749546051</v>
      </c>
      <c r="K570" s="50">
        <f>SUM(K564:K569)</f>
        <v>1</v>
      </c>
      <c r="L570" s="51">
        <f>AVERAGE(L564:L569)</f>
        <v>99.931666666666658</v>
      </c>
      <c r="M570" s="26">
        <f>SUM(M564:M569)</f>
        <v>99.937988406157473</v>
      </c>
      <c r="O570" s="34"/>
      <c r="P570" s="34"/>
      <c r="Q570" s="34"/>
      <c r="R570" s="36"/>
      <c r="S570" s="40"/>
      <c r="U570" s="42"/>
      <c r="V570" s="42"/>
      <c r="W570" s="42"/>
      <c r="X570" s="44"/>
      <c r="Y570" s="45"/>
    </row>
    <row r="571" spans="1:25" ht="15" thickTop="1" x14ac:dyDescent="0.35">
      <c r="A571" s="29" t="s">
        <v>239</v>
      </c>
      <c r="B571" s="28"/>
      <c r="C571" s="28"/>
      <c r="D571" s="28"/>
      <c r="E571" s="28"/>
      <c r="F571" s="28"/>
      <c r="G571" s="28"/>
      <c r="I571" s="28"/>
      <c r="J571" s="28"/>
      <c r="K571" s="28"/>
      <c r="L571" s="28"/>
      <c r="M571" s="28"/>
      <c r="O571" s="28"/>
      <c r="P571" s="28"/>
      <c r="Q571" s="28"/>
      <c r="R571" s="28"/>
      <c r="S571" s="28"/>
      <c r="U571" s="28"/>
      <c r="V571" s="28"/>
      <c r="W571" s="28"/>
      <c r="X571" s="28"/>
      <c r="Y571" s="28"/>
    </row>
    <row r="572" spans="1:25" x14ac:dyDescent="0.35">
      <c r="A572" s="20" t="s">
        <v>238</v>
      </c>
      <c r="B572" s="20"/>
      <c r="C572" s="56" t="s">
        <v>115</v>
      </c>
      <c r="D572" s="11"/>
      <c r="E572" s="11"/>
      <c r="F572" s="11"/>
      <c r="G572" s="30" t="s">
        <v>115</v>
      </c>
      <c r="I572" s="56" t="s">
        <v>115</v>
      </c>
      <c r="J572" s="11"/>
      <c r="K572" s="11"/>
      <c r="L572" s="11"/>
      <c r="M572" s="30" t="s">
        <v>115</v>
      </c>
      <c r="O572" s="55" t="s">
        <v>116</v>
      </c>
      <c r="P572" s="34"/>
      <c r="Q572" s="34"/>
      <c r="R572" s="34"/>
      <c r="S572" s="35" t="s">
        <v>116</v>
      </c>
      <c r="U572" s="57" t="s">
        <v>117</v>
      </c>
      <c r="V572" s="42"/>
      <c r="W572" s="42"/>
      <c r="X572" s="42"/>
      <c r="Y572" s="43" t="s">
        <v>117</v>
      </c>
    </row>
    <row r="573" spans="1:25" ht="15" thickBot="1" x14ac:dyDescent="0.4">
      <c r="A573" s="2"/>
      <c r="B573" s="2"/>
      <c r="C573" s="2"/>
      <c r="D573" s="18" t="s">
        <v>118</v>
      </c>
      <c r="E573" s="19" t="s">
        <v>119</v>
      </c>
      <c r="F573" s="18" t="s">
        <v>120</v>
      </c>
      <c r="G573" s="12" t="s">
        <v>121</v>
      </c>
      <c r="I573" s="2"/>
      <c r="J573" s="18" t="s">
        <v>118</v>
      </c>
      <c r="K573" s="19" t="s">
        <v>119</v>
      </c>
      <c r="L573" s="18" t="s">
        <v>120</v>
      </c>
      <c r="M573" s="12" t="s">
        <v>121</v>
      </c>
      <c r="O573" s="34"/>
      <c r="P573" s="18" t="s">
        <v>118</v>
      </c>
      <c r="Q573" s="19" t="s">
        <v>119</v>
      </c>
      <c r="R573" s="18" t="s">
        <v>120</v>
      </c>
      <c r="S573" s="39" t="s">
        <v>121</v>
      </c>
      <c r="U573" s="42"/>
      <c r="V573" s="18" t="s">
        <v>118</v>
      </c>
      <c r="W573" s="19" t="s">
        <v>119</v>
      </c>
      <c r="X573" s="18" t="s">
        <v>120</v>
      </c>
      <c r="Y573" s="47" t="s">
        <v>121</v>
      </c>
    </row>
    <row r="574" spans="1:25" ht="15" thickTop="1" x14ac:dyDescent="0.35">
      <c r="A574" s="22" t="s">
        <v>122</v>
      </c>
      <c r="B574" s="2"/>
      <c r="C574" s="21" t="s">
        <v>25</v>
      </c>
      <c r="D574" s="25">
        <v>1304325</v>
      </c>
      <c r="E574" s="14">
        <f>D574/D580</f>
        <v>0.75376557721513715</v>
      </c>
      <c r="F574">
        <v>99.96</v>
      </c>
      <c r="G574" s="15">
        <f t="shared" ref="G574:G579" si="241">E574*F574</f>
        <v>75.346407098425104</v>
      </c>
      <c r="I574" s="21" t="s">
        <v>25</v>
      </c>
      <c r="J574" s="52">
        <v>3359893.2765645981</v>
      </c>
      <c r="K574" s="14">
        <f>J574/J580</f>
        <v>0.77931242423098102</v>
      </c>
      <c r="L574">
        <v>99.96</v>
      </c>
      <c r="M574" s="15">
        <f t="shared" ref="M574:M579" si="242">K574*L574</f>
        <v>77.900069926128864</v>
      </c>
      <c r="O574" s="38" t="s">
        <v>25</v>
      </c>
      <c r="P574" s="13">
        <v>81667</v>
      </c>
      <c r="Q574" s="14">
        <f>P574/P579</f>
        <v>0.43949284526506693</v>
      </c>
      <c r="R574">
        <v>99.92</v>
      </c>
      <c r="S574" s="40">
        <f t="shared" ref="S574:S577" si="243">Q574*R574</f>
        <v>43.914125098885492</v>
      </c>
      <c r="U574" s="46" t="s">
        <v>25</v>
      </c>
      <c r="V574" s="52">
        <v>3328488000</v>
      </c>
      <c r="W574" s="14">
        <f>V574/V579</f>
        <v>0.69250401491494873</v>
      </c>
      <c r="X574">
        <v>99.96</v>
      </c>
      <c r="Y574" s="48">
        <f t="shared" ref="Y574:Y575" si="244">W574*X574</f>
        <v>69.222701330898275</v>
      </c>
    </row>
    <row r="575" spans="1:25" x14ac:dyDescent="0.35">
      <c r="A575" s="23">
        <v>1300836</v>
      </c>
      <c r="B575" s="2"/>
      <c r="C575" s="21" t="s">
        <v>29</v>
      </c>
      <c r="D575" s="13">
        <v>134764</v>
      </c>
      <c r="E575" s="14">
        <f>D575/D580</f>
        <v>7.7879718818408564E-2</v>
      </c>
      <c r="F575">
        <v>99.86</v>
      </c>
      <c r="G575" s="15">
        <f t="shared" si="241"/>
        <v>7.7770687212062795</v>
      </c>
      <c r="I575" s="21" t="s">
        <v>29</v>
      </c>
      <c r="J575" s="52">
        <v>574028.66829681396</v>
      </c>
      <c r="K575" s="14">
        <f>J575/J580</f>
        <v>0.13314341743791128</v>
      </c>
      <c r="L575">
        <v>99.86</v>
      </c>
      <c r="M575" s="15">
        <f t="shared" si="242"/>
        <v>13.295701665349821</v>
      </c>
      <c r="O575" s="38" t="s">
        <v>29</v>
      </c>
      <c r="P575" s="13">
        <v>3388</v>
      </c>
      <c r="Q575" s="14">
        <f>P575/P579</f>
        <v>1.8232600190505918E-2</v>
      </c>
      <c r="R575">
        <v>99.86</v>
      </c>
      <c r="S575" s="40">
        <f t="shared" si="243"/>
        <v>1.8207074550239211</v>
      </c>
      <c r="U575" s="46" t="s">
        <v>29</v>
      </c>
      <c r="V575" s="52">
        <v>22687000</v>
      </c>
      <c r="W575" s="14">
        <f>V575/V579</f>
        <v>4.7201127317795469E-3</v>
      </c>
      <c r="X575">
        <v>99.87</v>
      </c>
      <c r="Y575" s="48">
        <f t="shared" si="244"/>
        <v>0.47139765852282339</v>
      </c>
    </row>
    <row r="576" spans="1:25" x14ac:dyDescent="0.35">
      <c r="A576" s="23">
        <v>12</v>
      </c>
      <c r="B576" s="2"/>
      <c r="C576" s="21" t="s">
        <v>30</v>
      </c>
      <c r="D576" s="13">
        <v>6022</v>
      </c>
      <c r="E576" s="14">
        <f>D576/D580</f>
        <v>3.4800960696065447E-3</v>
      </c>
      <c r="F576">
        <v>99.96</v>
      </c>
      <c r="G576" s="15">
        <f t="shared" si="241"/>
        <v>0.34787040311787021</v>
      </c>
      <c r="I576" s="21" t="s">
        <v>30</v>
      </c>
      <c r="J576" s="52">
        <v>12266.439350128174</v>
      </c>
      <c r="K576" s="14">
        <f>J576/J580</f>
        <v>2.8451464971544897E-3</v>
      </c>
      <c r="L576">
        <v>99.96</v>
      </c>
      <c r="M576" s="15">
        <f t="shared" si="242"/>
        <v>0.28440084385556275</v>
      </c>
      <c r="O576" s="38" t="s">
        <v>30</v>
      </c>
      <c r="P576" s="96">
        <v>97710</v>
      </c>
      <c r="Q576" s="14">
        <f>P576/P579</f>
        <v>0.52582862001603692</v>
      </c>
      <c r="R576">
        <v>99.92</v>
      </c>
      <c r="S576" s="40">
        <f t="shared" si="243"/>
        <v>52.540795712002407</v>
      </c>
      <c r="U576" s="46" t="s">
        <v>30</v>
      </c>
      <c r="V576" s="52">
        <v>251000</v>
      </c>
      <c r="W576" s="14">
        <f>V576/V579</f>
        <v>5.2221461439444015E-5</v>
      </c>
      <c r="X576">
        <v>99.96</v>
      </c>
      <c r="Y576" s="48">
        <f>W576*X576</f>
        <v>5.2200572854868236E-3</v>
      </c>
    </row>
    <row r="577" spans="1:25" x14ac:dyDescent="0.35">
      <c r="A577" s="23">
        <v>3477</v>
      </c>
      <c r="B577" s="2"/>
      <c r="C577" s="21" t="s">
        <v>31</v>
      </c>
      <c r="D577" s="13">
        <v>199817</v>
      </c>
      <c r="E577" s="14">
        <f>D577/D580</f>
        <v>0.11547365598481749</v>
      </c>
      <c r="F577">
        <v>99.96</v>
      </c>
      <c r="G577" s="15">
        <f t="shared" si="241"/>
        <v>11.542746652242355</v>
      </c>
      <c r="I577" s="21" t="s">
        <v>31</v>
      </c>
      <c r="J577" s="52">
        <v>74795.350275039673</v>
      </c>
      <c r="K577" s="14">
        <f>J577/J580</f>
        <v>1.734845155666535E-2</v>
      </c>
      <c r="L577">
        <v>99.96</v>
      </c>
      <c r="M577" s="15">
        <f t="shared" si="242"/>
        <v>1.7341512176042684</v>
      </c>
      <c r="O577" s="38" t="s">
        <v>31</v>
      </c>
      <c r="P577" s="96">
        <v>2785</v>
      </c>
      <c r="Q577" s="14">
        <f>P577/P579</f>
        <v>1.4987541774072898E-2</v>
      </c>
      <c r="R577">
        <v>99.92</v>
      </c>
      <c r="S577" s="40">
        <f t="shared" si="243"/>
        <v>1.4975551740653639</v>
      </c>
      <c r="U577" s="46" t="s">
        <v>31</v>
      </c>
      <c r="V577" s="52">
        <v>1452951000</v>
      </c>
      <c r="W577" s="14">
        <f>V577/V579</f>
        <v>0.3022917315533929</v>
      </c>
      <c r="X577">
        <v>99.96</v>
      </c>
      <c r="Y577" s="48">
        <f t="shared" ref="Y577" si="245">W577*X577</f>
        <v>30.217081486077152</v>
      </c>
    </row>
    <row r="578" spans="1:25" ht="15" thickBot="1" x14ac:dyDescent="0.4">
      <c r="A578" s="24">
        <f>SUM(A575:A577)</f>
        <v>1304325</v>
      </c>
      <c r="B578" s="2"/>
      <c r="C578" s="21" t="s">
        <v>32</v>
      </c>
      <c r="D578" s="13">
        <v>170</v>
      </c>
      <c r="E578" s="14">
        <f>D578/D580</f>
        <v>9.8242499474113679E-5</v>
      </c>
      <c r="F578">
        <v>99.96</v>
      </c>
      <c r="G578" s="15">
        <f t="shared" si="241"/>
        <v>9.8203202474324031E-3</v>
      </c>
      <c r="I578" s="21" t="s">
        <v>32</v>
      </c>
      <c r="J578" s="52">
        <v>265.98794364929199</v>
      </c>
      <c r="K578" s="14">
        <f>J578/J580</f>
        <v>6.169473019496902E-5</v>
      </c>
      <c r="L578">
        <v>99.96</v>
      </c>
      <c r="M578" s="15">
        <f t="shared" si="242"/>
        <v>6.1670052302891026E-3</v>
      </c>
      <c r="O578" s="38" t="s">
        <v>33</v>
      </c>
      <c r="P578" s="96">
        <v>271</v>
      </c>
      <c r="Q578" s="14">
        <f>P578/P579</f>
        <v>1.4583927543173269E-3</v>
      </c>
      <c r="R578">
        <v>99.9</v>
      </c>
      <c r="S578" s="40">
        <f>Q578*R578</f>
        <v>0.14569343615630095</v>
      </c>
      <c r="U578" s="46" t="s">
        <v>33</v>
      </c>
      <c r="V578" s="52">
        <v>2076000</v>
      </c>
      <c r="W578" s="14">
        <f>V578/V579</f>
        <v>4.3191933843938558E-4</v>
      </c>
      <c r="X578">
        <v>99.95</v>
      </c>
      <c r="Y578" s="48">
        <f>W578*X578</f>
        <v>4.3170337877016587E-2</v>
      </c>
    </row>
    <row r="579" spans="1:25" ht="15.5" thickTop="1" thickBot="1" x14ac:dyDescent="0.4">
      <c r="B579" s="2"/>
      <c r="C579" s="21" t="s">
        <v>33</v>
      </c>
      <c r="D579" s="13">
        <v>85314</v>
      </c>
      <c r="E579" s="16">
        <f>D579/D580</f>
        <v>4.9302709412556087E-2</v>
      </c>
      <c r="F579">
        <v>99.93</v>
      </c>
      <c r="G579" s="15">
        <f t="shared" si="241"/>
        <v>4.9268197515967298</v>
      </c>
      <c r="I579" s="21" t="s">
        <v>33</v>
      </c>
      <c r="J579" s="52">
        <v>290106.25252437592</v>
      </c>
      <c r="K579" s="16">
        <f>J579/J580</f>
        <v>6.7288865547092874E-2</v>
      </c>
      <c r="L579">
        <v>99.93</v>
      </c>
      <c r="M579" s="15">
        <f t="shared" si="242"/>
        <v>6.7241763341209912</v>
      </c>
      <c r="O579" s="38"/>
      <c r="P579" s="31">
        <f>SUM(P574:P578)</f>
        <v>185821</v>
      </c>
      <c r="Q579" s="32">
        <f>SUM(Q574:Q578)</f>
        <v>1</v>
      </c>
      <c r="R579" s="33">
        <f>AVERAGE(R574:R578)</f>
        <v>99.903999999999996</v>
      </c>
      <c r="S579" s="41">
        <f>SUM(S574:S578)</f>
        <v>99.918876876133496</v>
      </c>
      <c r="U579" s="46"/>
      <c r="V579" s="52">
        <f>SUM(V574:V578)</f>
        <v>4806453000</v>
      </c>
      <c r="W579" s="32">
        <f>SUM(W574:W578)</f>
        <v>0.99999999999999989</v>
      </c>
      <c r="X579" s="33">
        <f>AVERAGE(X574:X578)</f>
        <v>99.939999999999984</v>
      </c>
      <c r="Y579" s="58">
        <f>SUM(Y574:Y578)</f>
        <v>99.959570870660741</v>
      </c>
    </row>
    <row r="580" spans="1:25" ht="15" thickBot="1" x14ac:dyDescent="0.4">
      <c r="A580" s="10"/>
      <c r="B580" s="10"/>
      <c r="C580" s="10"/>
      <c r="D580" s="49">
        <f>SUM(D574:D579)</f>
        <v>1730412</v>
      </c>
      <c r="E580" s="50">
        <f>SUM(E574:E579)</f>
        <v>1</v>
      </c>
      <c r="F580" s="51">
        <f>AVERAGE(F574:F579)</f>
        <v>99.938333333333318</v>
      </c>
      <c r="G580" s="26">
        <f>SUM(G574:G579)</f>
        <v>99.950732946835757</v>
      </c>
      <c r="I580" s="10"/>
      <c r="J580" s="49">
        <f>SUM(J574:J579)</f>
        <v>4311355.9749546051</v>
      </c>
      <c r="K580" s="50">
        <f>SUM(K574:K579)</f>
        <v>1</v>
      </c>
      <c r="L580" s="51">
        <f>AVERAGE(L574:L579)</f>
        <v>99.938333333333318</v>
      </c>
      <c r="M580" s="26">
        <f>SUM(M574:M579)</f>
        <v>99.944666992289811</v>
      </c>
      <c r="O580" s="34"/>
      <c r="P580" s="34"/>
      <c r="Q580" s="34"/>
      <c r="R580" s="36"/>
      <c r="S580" s="40"/>
      <c r="U580" s="42"/>
      <c r="V580" s="42"/>
      <c r="W580" s="42"/>
      <c r="X580" s="44"/>
      <c r="Y580" s="45"/>
    </row>
    <row r="581" spans="1:25" ht="15" thickTop="1" x14ac:dyDescent="0.35">
      <c r="A581" s="29" t="s">
        <v>240</v>
      </c>
      <c r="B581" s="28"/>
      <c r="C581" s="28"/>
      <c r="D581" s="28"/>
      <c r="E581" s="28"/>
      <c r="F581" s="28"/>
      <c r="G581" s="28"/>
      <c r="I581" s="28"/>
      <c r="J581" s="28"/>
      <c r="K581" s="28"/>
      <c r="L581" s="28"/>
      <c r="M581" s="28"/>
      <c r="O581" s="28"/>
      <c r="P581" s="28"/>
      <c r="Q581" s="28"/>
      <c r="R581" s="28"/>
      <c r="S581" s="28"/>
      <c r="U581" s="28"/>
      <c r="V581" s="28"/>
      <c r="W581" s="28"/>
      <c r="X581" s="28"/>
      <c r="Y581" s="28"/>
    </row>
    <row r="582" spans="1:25" x14ac:dyDescent="0.35">
      <c r="A582" s="20" t="s">
        <v>241</v>
      </c>
      <c r="B582" s="20"/>
      <c r="C582" s="56" t="s">
        <v>115</v>
      </c>
      <c r="D582" s="11"/>
      <c r="E582" s="11"/>
      <c r="F582" s="11"/>
      <c r="G582" s="30" t="s">
        <v>115</v>
      </c>
      <c r="I582" s="56" t="s">
        <v>115</v>
      </c>
      <c r="J582" s="11"/>
      <c r="K582" s="11"/>
      <c r="L582" s="11"/>
      <c r="M582" s="30" t="s">
        <v>115</v>
      </c>
      <c r="O582" s="55" t="s">
        <v>116</v>
      </c>
      <c r="P582" s="34"/>
      <c r="Q582" s="34"/>
      <c r="R582" s="34"/>
      <c r="S582" s="35" t="s">
        <v>116</v>
      </c>
      <c r="U582" s="57" t="s">
        <v>117</v>
      </c>
      <c r="V582" s="42"/>
      <c r="W582" s="42"/>
      <c r="X582" s="42"/>
      <c r="Y582" s="43" t="s">
        <v>117</v>
      </c>
    </row>
    <row r="583" spans="1:25" ht="15" thickBot="1" x14ac:dyDescent="0.4">
      <c r="A583" s="2"/>
      <c r="B583" s="2"/>
      <c r="C583" s="2"/>
      <c r="D583" s="18" t="s">
        <v>118</v>
      </c>
      <c r="E583" s="19" t="s">
        <v>119</v>
      </c>
      <c r="F583" s="18" t="s">
        <v>120</v>
      </c>
      <c r="G583" s="12" t="s">
        <v>121</v>
      </c>
      <c r="I583" s="2"/>
      <c r="J583" s="18" t="s">
        <v>118</v>
      </c>
      <c r="K583" s="19" t="s">
        <v>119</v>
      </c>
      <c r="L583" s="18" t="s">
        <v>120</v>
      </c>
      <c r="M583" s="12" t="s">
        <v>121</v>
      </c>
      <c r="O583" s="34"/>
      <c r="P583" s="18" t="s">
        <v>118</v>
      </c>
      <c r="Q583" s="19" t="s">
        <v>119</v>
      </c>
      <c r="R583" s="18" t="s">
        <v>120</v>
      </c>
      <c r="S583" s="39" t="s">
        <v>121</v>
      </c>
      <c r="U583" s="42"/>
      <c r="V583" s="18" t="s">
        <v>118</v>
      </c>
      <c r="W583" s="19" t="s">
        <v>119</v>
      </c>
      <c r="X583" s="18" t="s">
        <v>120</v>
      </c>
      <c r="Y583" s="47" t="s">
        <v>121</v>
      </c>
    </row>
    <row r="584" spans="1:25" ht="15" thickTop="1" x14ac:dyDescent="0.35">
      <c r="A584" s="22" t="s">
        <v>122</v>
      </c>
      <c r="B584" s="2"/>
      <c r="C584" s="21" t="s">
        <v>25</v>
      </c>
      <c r="D584" s="25"/>
      <c r="E584" s="14" t="e">
        <f>D584/D590</f>
        <v>#DIV/0!</v>
      </c>
      <c r="F584">
        <v>99.95</v>
      </c>
      <c r="G584" s="15" t="e">
        <f t="shared" ref="G584:G589" si="246">E584*F584</f>
        <v>#DIV/0!</v>
      </c>
      <c r="I584" s="21" t="s">
        <v>25</v>
      </c>
      <c r="J584" s="52"/>
      <c r="K584" s="14" t="e">
        <f>J584/J590</f>
        <v>#DIV/0!</v>
      </c>
      <c r="L584">
        <v>99.95</v>
      </c>
      <c r="M584" s="15" t="e">
        <f t="shared" ref="M584:M589" si="247">K584*L584</f>
        <v>#DIV/0!</v>
      </c>
      <c r="O584" s="38" t="s">
        <v>25</v>
      </c>
      <c r="P584" s="13"/>
      <c r="Q584" s="14" t="e">
        <f>P584/P589</f>
        <v>#DIV/0!</v>
      </c>
      <c r="R584">
        <v>99.95</v>
      </c>
      <c r="S584" s="40" t="e">
        <f t="shared" ref="S584:S587" si="248">Q584*R584</f>
        <v>#DIV/0!</v>
      </c>
      <c r="U584" s="46" t="s">
        <v>25</v>
      </c>
      <c r="V584" s="52"/>
      <c r="W584" s="14" t="e">
        <f>V584/V589</f>
        <v>#DIV/0!</v>
      </c>
      <c r="X584">
        <v>99.95</v>
      </c>
      <c r="Y584" s="48" t="e">
        <f t="shared" ref="Y584:Y585" si="249">W584*X584</f>
        <v>#DIV/0!</v>
      </c>
    </row>
    <row r="585" spans="1:25" x14ac:dyDescent="0.35">
      <c r="A585" s="23"/>
      <c r="B585" s="2"/>
      <c r="C585" s="21" t="s">
        <v>29</v>
      </c>
      <c r="D585" s="13"/>
      <c r="E585" s="14" t="e">
        <f>D585/D590</f>
        <v>#DIV/0!</v>
      </c>
      <c r="F585">
        <v>99.88</v>
      </c>
      <c r="G585" s="15" t="e">
        <f t="shared" si="246"/>
        <v>#DIV/0!</v>
      </c>
      <c r="I585" s="21" t="s">
        <v>29</v>
      </c>
      <c r="J585" s="52"/>
      <c r="K585" s="14" t="e">
        <f>J585/J590</f>
        <v>#DIV/0!</v>
      </c>
      <c r="L585">
        <v>99.88</v>
      </c>
      <c r="M585" s="15" t="e">
        <f t="shared" si="247"/>
        <v>#DIV/0!</v>
      </c>
      <c r="O585" s="38" t="s">
        <v>29</v>
      </c>
      <c r="P585" s="13"/>
      <c r="Q585" s="14" t="e">
        <f>P585/P589</f>
        <v>#DIV/0!</v>
      </c>
      <c r="R585">
        <v>99.88</v>
      </c>
      <c r="S585" s="40" t="e">
        <f t="shared" si="248"/>
        <v>#DIV/0!</v>
      </c>
      <c r="U585" s="46" t="s">
        <v>29</v>
      </c>
      <c r="V585" s="52"/>
      <c r="W585" s="14" t="e">
        <f>V585/V589</f>
        <v>#DIV/0!</v>
      </c>
      <c r="X585">
        <v>99.88</v>
      </c>
      <c r="Y585" s="48" t="e">
        <f t="shared" si="249"/>
        <v>#DIV/0!</v>
      </c>
    </row>
    <row r="586" spans="1:25" x14ac:dyDescent="0.35">
      <c r="A586" s="23">
        <v>12</v>
      </c>
      <c r="B586" s="2"/>
      <c r="C586" s="21" t="s">
        <v>30</v>
      </c>
      <c r="D586" s="13"/>
      <c r="E586" s="14" t="e">
        <f>D586/D590</f>
        <v>#DIV/0!</v>
      </c>
      <c r="F586">
        <v>99.95</v>
      </c>
      <c r="G586" s="15" t="e">
        <f t="shared" si="246"/>
        <v>#DIV/0!</v>
      </c>
      <c r="I586" s="21" t="s">
        <v>30</v>
      </c>
      <c r="J586" s="52"/>
      <c r="K586" s="14" t="e">
        <f>J586/J590</f>
        <v>#DIV/0!</v>
      </c>
      <c r="L586">
        <v>99.95</v>
      </c>
      <c r="M586" s="15" t="e">
        <f t="shared" si="247"/>
        <v>#DIV/0!</v>
      </c>
      <c r="O586" s="38" t="s">
        <v>30</v>
      </c>
      <c r="P586" s="96"/>
      <c r="Q586" s="14" t="e">
        <f>P586/P589</f>
        <v>#DIV/0!</v>
      </c>
      <c r="R586">
        <v>99.95</v>
      </c>
      <c r="S586" s="40" t="e">
        <f t="shared" si="248"/>
        <v>#DIV/0!</v>
      </c>
      <c r="U586" s="46" t="s">
        <v>30</v>
      </c>
      <c r="V586" s="52"/>
      <c r="W586" s="14" t="e">
        <f>V586/V589</f>
        <v>#DIV/0!</v>
      </c>
      <c r="X586">
        <v>99.95</v>
      </c>
      <c r="Y586" s="48" t="e">
        <f>W586*X586</f>
        <v>#DIV/0!</v>
      </c>
    </row>
    <row r="587" spans="1:25" x14ac:dyDescent="0.35">
      <c r="A587" s="23">
        <v>3477</v>
      </c>
      <c r="B587" s="2"/>
      <c r="C587" s="21" t="s">
        <v>31</v>
      </c>
      <c r="D587" s="13"/>
      <c r="E587" s="14" t="e">
        <f>D587/D590</f>
        <v>#DIV/0!</v>
      </c>
      <c r="F587">
        <v>99.95</v>
      </c>
      <c r="G587" s="15" t="e">
        <f t="shared" si="246"/>
        <v>#DIV/0!</v>
      </c>
      <c r="I587" s="21" t="s">
        <v>31</v>
      </c>
      <c r="J587" s="52"/>
      <c r="K587" s="14" t="e">
        <f>J587/J590</f>
        <v>#DIV/0!</v>
      </c>
      <c r="L587">
        <v>99.95</v>
      </c>
      <c r="M587" s="15" t="e">
        <f t="shared" si="247"/>
        <v>#DIV/0!</v>
      </c>
      <c r="O587" s="38" t="s">
        <v>31</v>
      </c>
      <c r="P587" s="96"/>
      <c r="Q587" s="14" t="e">
        <f>P587/P589</f>
        <v>#DIV/0!</v>
      </c>
      <c r="R587">
        <v>99.95</v>
      </c>
      <c r="S587" s="40" t="e">
        <f t="shared" si="248"/>
        <v>#DIV/0!</v>
      </c>
      <c r="U587" s="46" t="s">
        <v>31</v>
      </c>
      <c r="V587" s="52"/>
      <c r="W587" s="14" t="e">
        <f>V587/V589</f>
        <v>#DIV/0!</v>
      </c>
      <c r="X587">
        <v>99.95</v>
      </c>
      <c r="Y587" s="48" t="e">
        <f t="shared" ref="Y587" si="250">W587*X587</f>
        <v>#DIV/0!</v>
      </c>
    </row>
    <row r="588" spans="1:25" ht="15" thickBot="1" x14ac:dyDescent="0.4">
      <c r="A588" s="24">
        <f>SUM(A585:A587)</f>
        <v>3489</v>
      </c>
      <c r="B588" s="2"/>
      <c r="C588" s="21" t="s">
        <v>32</v>
      </c>
      <c r="D588" s="13"/>
      <c r="E588" s="14" t="e">
        <f>D588/D590</f>
        <v>#DIV/0!</v>
      </c>
      <c r="F588">
        <v>99.95</v>
      </c>
      <c r="G588" s="15" t="e">
        <f t="shared" si="246"/>
        <v>#DIV/0!</v>
      </c>
      <c r="I588" s="21" t="s">
        <v>32</v>
      </c>
      <c r="J588" s="52"/>
      <c r="K588" s="14" t="e">
        <f>J588/J590</f>
        <v>#DIV/0!</v>
      </c>
      <c r="L588">
        <v>99.95</v>
      </c>
      <c r="M588" s="15" t="e">
        <f t="shared" si="247"/>
        <v>#DIV/0!</v>
      </c>
      <c r="O588" s="38" t="s">
        <v>33</v>
      </c>
      <c r="P588" s="96"/>
      <c r="Q588" s="14" t="e">
        <f>P588/P589</f>
        <v>#DIV/0!</v>
      </c>
      <c r="R588">
        <v>99.93</v>
      </c>
      <c r="S588" s="40" t="e">
        <f>Q588*R588</f>
        <v>#DIV/0!</v>
      </c>
      <c r="U588" s="46" t="s">
        <v>33</v>
      </c>
      <c r="V588" s="52"/>
      <c r="W588" s="14" t="e">
        <f>V588/V589</f>
        <v>#DIV/0!</v>
      </c>
      <c r="X588">
        <v>99.93</v>
      </c>
      <c r="Y588" s="48" t="e">
        <f>W588*X588</f>
        <v>#DIV/0!</v>
      </c>
    </row>
    <row r="589" spans="1:25" ht="15.5" thickTop="1" thickBot="1" x14ac:dyDescent="0.4">
      <c r="B589" s="2"/>
      <c r="C589" s="21" t="s">
        <v>33</v>
      </c>
      <c r="D589" s="13"/>
      <c r="E589" s="16" t="e">
        <f>D589/D590</f>
        <v>#DIV/0!</v>
      </c>
      <c r="F589">
        <v>99.92</v>
      </c>
      <c r="G589" s="15" t="e">
        <f t="shared" si="246"/>
        <v>#DIV/0!</v>
      </c>
      <c r="I589" s="21" t="s">
        <v>33</v>
      </c>
      <c r="J589" s="52"/>
      <c r="K589" s="16" t="e">
        <f>J589/J590</f>
        <v>#DIV/0!</v>
      </c>
      <c r="L589">
        <v>99.91</v>
      </c>
      <c r="M589" s="15" t="e">
        <f t="shared" si="247"/>
        <v>#DIV/0!</v>
      </c>
      <c r="O589" s="38"/>
      <c r="P589" s="31">
        <f>SUM(P584:P588)</f>
        <v>0</v>
      </c>
      <c r="Q589" s="32" t="e">
        <f>SUM(Q584:Q588)</f>
        <v>#DIV/0!</v>
      </c>
      <c r="R589" s="33">
        <f>AVERAGE(R584:R588)</f>
        <v>99.931999999999988</v>
      </c>
      <c r="S589" s="41" t="e">
        <f>SUM(S584:S588)</f>
        <v>#DIV/0!</v>
      </c>
      <c r="U589" s="46"/>
      <c r="V589" s="52">
        <f>SUM(V584:V588)</f>
        <v>0</v>
      </c>
      <c r="W589" s="32" t="e">
        <f>SUM(W584:W588)</f>
        <v>#DIV/0!</v>
      </c>
      <c r="X589" s="33">
        <f>AVERAGE(X584:X588)</f>
        <v>99.931999999999988</v>
      </c>
      <c r="Y589" s="58" t="e">
        <f>SUM(Y584:Y588)</f>
        <v>#DIV/0!</v>
      </c>
    </row>
    <row r="590" spans="1:25" ht="15" thickBot="1" x14ac:dyDescent="0.4">
      <c r="A590" s="10"/>
      <c r="B590" s="10"/>
      <c r="C590" s="10"/>
      <c r="D590" s="49">
        <f>SUM(D584:D589)</f>
        <v>0</v>
      </c>
      <c r="E590" s="50" t="e">
        <f>SUM(E584:E589)</f>
        <v>#DIV/0!</v>
      </c>
      <c r="F590" s="51">
        <f>AVERAGE(F584:F589)</f>
        <v>99.933333333333323</v>
      </c>
      <c r="G590" s="26" t="e">
        <f>SUM(G584:G589)</f>
        <v>#DIV/0!</v>
      </c>
      <c r="I590" s="10"/>
      <c r="J590" s="49">
        <f>SUM(J584:J589)</f>
        <v>0</v>
      </c>
      <c r="K590" s="50" t="e">
        <f>SUM(K584:K589)</f>
        <v>#DIV/0!</v>
      </c>
      <c r="L590" s="51">
        <f>AVERAGE(L584:L589)</f>
        <v>99.931666666666658</v>
      </c>
      <c r="M590" s="26" t="e">
        <f>SUM(M584:M589)</f>
        <v>#DIV/0!</v>
      </c>
      <c r="O590" s="34"/>
      <c r="P590" s="34"/>
      <c r="Q590" s="34"/>
      <c r="R590" s="36"/>
      <c r="S590" s="40"/>
      <c r="U590" s="42"/>
      <c r="V590" s="42"/>
      <c r="W590" s="42"/>
      <c r="X590" s="44"/>
      <c r="Y590" s="45"/>
    </row>
    <row r="591" spans="1:25" ht="15" thickTop="1" x14ac:dyDescent="0.35">
      <c r="A591" s="29" t="s">
        <v>242</v>
      </c>
      <c r="B591" s="28"/>
      <c r="C591" s="28"/>
      <c r="D591" s="28"/>
      <c r="E591" s="28"/>
      <c r="F591" s="28"/>
      <c r="G591" s="28"/>
      <c r="I591" s="28"/>
      <c r="J591" s="28"/>
      <c r="K591" s="28"/>
      <c r="L591" s="28"/>
      <c r="M591" s="28"/>
      <c r="O591" s="28"/>
      <c r="P591" s="28"/>
      <c r="Q591" s="28"/>
      <c r="R591" s="28"/>
      <c r="S591" s="28"/>
      <c r="U591" s="28"/>
      <c r="V591" s="28"/>
      <c r="W591" s="28"/>
      <c r="X591" s="28"/>
      <c r="Y591" s="28"/>
    </row>
    <row r="592" spans="1:25" x14ac:dyDescent="0.35">
      <c r="A592" s="20" t="s">
        <v>241</v>
      </c>
      <c r="B592" s="20"/>
      <c r="C592" s="56" t="s">
        <v>115</v>
      </c>
      <c r="D592" s="11"/>
      <c r="E592" s="11"/>
      <c r="F592" s="11"/>
      <c r="G592" s="30" t="s">
        <v>115</v>
      </c>
      <c r="I592" s="56" t="s">
        <v>115</v>
      </c>
      <c r="J592" s="11"/>
      <c r="K592" s="11"/>
      <c r="L592" s="11"/>
      <c r="M592" s="30" t="s">
        <v>115</v>
      </c>
      <c r="O592" s="55" t="s">
        <v>116</v>
      </c>
      <c r="P592" s="34"/>
      <c r="Q592" s="34"/>
      <c r="R592" s="34"/>
      <c r="S592" s="35" t="s">
        <v>116</v>
      </c>
      <c r="U592" s="57" t="s">
        <v>117</v>
      </c>
      <c r="V592" s="42"/>
      <c r="W592" s="42"/>
      <c r="X592" s="42"/>
      <c r="Y592" s="43" t="s">
        <v>117</v>
      </c>
    </row>
    <row r="593" spans="1:25" ht="15" thickBot="1" x14ac:dyDescent="0.4">
      <c r="A593" s="2"/>
      <c r="B593" s="2"/>
      <c r="C593" s="2"/>
      <c r="D593" s="18" t="s">
        <v>118</v>
      </c>
      <c r="E593" s="19" t="s">
        <v>119</v>
      </c>
      <c r="F593" s="18" t="s">
        <v>120</v>
      </c>
      <c r="G593" s="12" t="s">
        <v>121</v>
      </c>
      <c r="I593" s="2"/>
      <c r="J593" s="18" t="s">
        <v>118</v>
      </c>
      <c r="K593" s="19" t="s">
        <v>119</v>
      </c>
      <c r="L593" s="18" t="s">
        <v>120</v>
      </c>
      <c r="M593" s="12" t="s">
        <v>121</v>
      </c>
      <c r="O593" s="34"/>
      <c r="P593" s="18" t="s">
        <v>118</v>
      </c>
      <c r="Q593" s="19" t="s">
        <v>119</v>
      </c>
      <c r="R593" s="18" t="s">
        <v>120</v>
      </c>
      <c r="S593" s="39" t="s">
        <v>121</v>
      </c>
      <c r="U593" s="42"/>
      <c r="V593" s="18" t="s">
        <v>118</v>
      </c>
      <c r="W593" s="19" t="s">
        <v>119</v>
      </c>
      <c r="X593" s="18" t="s">
        <v>120</v>
      </c>
      <c r="Y593" s="47" t="s">
        <v>121</v>
      </c>
    </row>
    <row r="594" spans="1:25" ht="15" thickTop="1" x14ac:dyDescent="0.35">
      <c r="A594" s="22" t="s">
        <v>122</v>
      </c>
      <c r="B594" s="2"/>
      <c r="C594" s="21" t="s">
        <v>25</v>
      </c>
      <c r="D594" s="25"/>
      <c r="E594" s="14" t="e">
        <f>D594/D600</f>
        <v>#DIV/0!</v>
      </c>
      <c r="F594">
        <v>99.96</v>
      </c>
      <c r="G594" s="15" t="e">
        <f t="shared" ref="G594:G599" si="251">E594*F594</f>
        <v>#DIV/0!</v>
      </c>
      <c r="I594" s="21" t="s">
        <v>25</v>
      </c>
      <c r="J594" s="52"/>
      <c r="K594" s="14" t="e">
        <f>J594/J600</f>
        <v>#DIV/0!</v>
      </c>
      <c r="L594">
        <v>99.96</v>
      </c>
      <c r="M594" s="15" t="e">
        <f t="shared" ref="M594:M599" si="252">K594*L594</f>
        <v>#DIV/0!</v>
      </c>
      <c r="O594" s="38" t="s">
        <v>25</v>
      </c>
      <c r="P594" s="13"/>
      <c r="Q594" s="14" t="e">
        <f>P594/P599</f>
        <v>#DIV/0!</v>
      </c>
      <c r="R594">
        <v>99.92</v>
      </c>
      <c r="S594" s="40" t="e">
        <f t="shared" ref="S594:S597" si="253">Q594*R594</f>
        <v>#DIV/0!</v>
      </c>
      <c r="U594" s="46" t="s">
        <v>25</v>
      </c>
      <c r="V594" s="52"/>
      <c r="W594" s="14" t="e">
        <f>V594/V599</f>
        <v>#DIV/0!</v>
      </c>
      <c r="X594">
        <v>99.96</v>
      </c>
      <c r="Y594" s="48" t="e">
        <f t="shared" ref="Y594:Y595" si="254">W594*X594</f>
        <v>#DIV/0!</v>
      </c>
    </row>
    <row r="595" spans="1:25" x14ac:dyDescent="0.35">
      <c r="A595" s="23"/>
      <c r="B595" s="2"/>
      <c r="C595" s="21" t="s">
        <v>29</v>
      </c>
      <c r="D595" s="13"/>
      <c r="E595" s="14" t="e">
        <f>D595/D600</f>
        <v>#DIV/0!</v>
      </c>
      <c r="F595">
        <v>99.86</v>
      </c>
      <c r="G595" s="15" t="e">
        <f t="shared" si="251"/>
        <v>#DIV/0!</v>
      </c>
      <c r="I595" s="21" t="s">
        <v>29</v>
      </c>
      <c r="J595" s="52"/>
      <c r="K595" s="14" t="e">
        <f>J595/J600</f>
        <v>#DIV/0!</v>
      </c>
      <c r="L595">
        <v>99.86</v>
      </c>
      <c r="M595" s="15" t="e">
        <f t="shared" si="252"/>
        <v>#DIV/0!</v>
      </c>
      <c r="O595" s="38" t="s">
        <v>29</v>
      </c>
      <c r="P595" s="13"/>
      <c r="Q595" s="14" t="e">
        <f>P595/P599</f>
        <v>#DIV/0!</v>
      </c>
      <c r="R595">
        <v>99.86</v>
      </c>
      <c r="S595" s="40" t="e">
        <f t="shared" si="253"/>
        <v>#DIV/0!</v>
      </c>
      <c r="U595" s="46" t="s">
        <v>29</v>
      </c>
      <c r="V595" s="52"/>
      <c r="W595" s="14" t="e">
        <f>V595/V599</f>
        <v>#DIV/0!</v>
      </c>
      <c r="X595">
        <v>99.87</v>
      </c>
      <c r="Y595" s="48" t="e">
        <f t="shared" si="254"/>
        <v>#DIV/0!</v>
      </c>
    </row>
    <row r="596" spans="1:25" x14ac:dyDescent="0.35">
      <c r="A596" s="23">
        <v>12</v>
      </c>
      <c r="B596" s="2"/>
      <c r="C596" s="21" t="s">
        <v>30</v>
      </c>
      <c r="D596" s="13"/>
      <c r="E596" s="14" t="e">
        <f>D596/D600</f>
        <v>#DIV/0!</v>
      </c>
      <c r="F596">
        <v>99.96</v>
      </c>
      <c r="G596" s="15" t="e">
        <f t="shared" si="251"/>
        <v>#DIV/0!</v>
      </c>
      <c r="I596" s="21" t="s">
        <v>30</v>
      </c>
      <c r="J596" s="52"/>
      <c r="K596" s="14" t="e">
        <f>J596/J600</f>
        <v>#DIV/0!</v>
      </c>
      <c r="L596">
        <v>99.96</v>
      </c>
      <c r="M596" s="15" t="e">
        <f t="shared" si="252"/>
        <v>#DIV/0!</v>
      </c>
      <c r="O596" s="38" t="s">
        <v>30</v>
      </c>
      <c r="P596" s="96"/>
      <c r="Q596" s="14" t="e">
        <f>P596/P599</f>
        <v>#DIV/0!</v>
      </c>
      <c r="R596">
        <v>99.92</v>
      </c>
      <c r="S596" s="40" t="e">
        <f t="shared" si="253"/>
        <v>#DIV/0!</v>
      </c>
      <c r="U596" s="46" t="s">
        <v>30</v>
      </c>
      <c r="V596" s="52"/>
      <c r="W596" s="14" t="e">
        <f>V596/V599</f>
        <v>#DIV/0!</v>
      </c>
      <c r="X596">
        <v>99.96</v>
      </c>
      <c r="Y596" s="48" t="e">
        <f>W596*X596</f>
        <v>#DIV/0!</v>
      </c>
    </row>
    <row r="597" spans="1:25" x14ac:dyDescent="0.35">
      <c r="A597" s="23">
        <v>3477</v>
      </c>
      <c r="B597" s="2"/>
      <c r="C597" s="21" t="s">
        <v>31</v>
      </c>
      <c r="D597" s="13"/>
      <c r="E597" s="14" t="e">
        <f>D597/D600</f>
        <v>#DIV/0!</v>
      </c>
      <c r="F597">
        <v>99.96</v>
      </c>
      <c r="G597" s="15" t="e">
        <f t="shared" si="251"/>
        <v>#DIV/0!</v>
      </c>
      <c r="I597" s="21" t="s">
        <v>31</v>
      </c>
      <c r="J597" s="52"/>
      <c r="K597" s="14" t="e">
        <f>J597/J600</f>
        <v>#DIV/0!</v>
      </c>
      <c r="L597">
        <v>99.96</v>
      </c>
      <c r="M597" s="15" t="e">
        <f t="shared" si="252"/>
        <v>#DIV/0!</v>
      </c>
      <c r="O597" s="38" t="s">
        <v>31</v>
      </c>
      <c r="P597" s="96"/>
      <c r="Q597" s="14" t="e">
        <f>P597/P599</f>
        <v>#DIV/0!</v>
      </c>
      <c r="R597">
        <v>99.92</v>
      </c>
      <c r="S597" s="40" t="e">
        <f t="shared" si="253"/>
        <v>#DIV/0!</v>
      </c>
      <c r="U597" s="46" t="s">
        <v>31</v>
      </c>
      <c r="V597" s="52"/>
      <c r="W597" s="14" t="e">
        <f>V597/V599</f>
        <v>#DIV/0!</v>
      </c>
      <c r="X597">
        <v>99.96</v>
      </c>
      <c r="Y597" s="48" t="e">
        <f t="shared" ref="Y597" si="255">W597*X597</f>
        <v>#DIV/0!</v>
      </c>
    </row>
    <row r="598" spans="1:25" ht="15" thickBot="1" x14ac:dyDescent="0.4">
      <c r="A598" s="24">
        <f>SUM(A595:A597)</f>
        <v>3489</v>
      </c>
      <c r="B598" s="2"/>
      <c r="C598" s="21" t="s">
        <v>32</v>
      </c>
      <c r="D598" s="13"/>
      <c r="E598" s="14" t="e">
        <f>D598/D600</f>
        <v>#DIV/0!</v>
      </c>
      <c r="F598">
        <v>99.96</v>
      </c>
      <c r="G598" s="15" t="e">
        <f t="shared" si="251"/>
        <v>#DIV/0!</v>
      </c>
      <c r="I598" s="21" t="s">
        <v>32</v>
      </c>
      <c r="J598" s="52"/>
      <c r="K598" s="14" t="e">
        <f>J598/J600</f>
        <v>#DIV/0!</v>
      </c>
      <c r="L598">
        <v>99.96</v>
      </c>
      <c r="M598" s="15" t="e">
        <f t="shared" si="252"/>
        <v>#DIV/0!</v>
      </c>
      <c r="O598" s="38" t="s">
        <v>33</v>
      </c>
      <c r="P598" s="96"/>
      <c r="Q598" s="14" t="e">
        <f>P598/P599</f>
        <v>#DIV/0!</v>
      </c>
      <c r="R598">
        <v>99.9</v>
      </c>
      <c r="S598" s="40" t="e">
        <f>Q598*R598</f>
        <v>#DIV/0!</v>
      </c>
      <c r="U598" s="46" t="s">
        <v>33</v>
      </c>
      <c r="V598" s="52"/>
      <c r="W598" s="14" t="e">
        <f>V598/V599</f>
        <v>#DIV/0!</v>
      </c>
      <c r="X598">
        <v>99.95</v>
      </c>
      <c r="Y598" s="48" t="e">
        <f>W598*X598</f>
        <v>#DIV/0!</v>
      </c>
    </row>
    <row r="599" spans="1:25" ht="15.5" thickTop="1" thickBot="1" x14ac:dyDescent="0.4">
      <c r="B599" s="2"/>
      <c r="C599" s="21" t="s">
        <v>33</v>
      </c>
      <c r="D599" s="13"/>
      <c r="E599" s="16" t="e">
        <f>D599/D600</f>
        <v>#DIV/0!</v>
      </c>
      <c r="F599">
        <v>99.93</v>
      </c>
      <c r="G599" s="15" t="e">
        <f t="shared" si="251"/>
        <v>#DIV/0!</v>
      </c>
      <c r="I599" s="21" t="s">
        <v>33</v>
      </c>
      <c r="J599" s="52"/>
      <c r="K599" s="16" t="e">
        <f>J599/J600</f>
        <v>#DIV/0!</v>
      </c>
      <c r="L599">
        <v>99.93</v>
      </c>
      <c r="M599" s="15" t="e">
        <f t="shared" si="252"/>
        <v>#DIV/0!</v>
      </c>
      <c r="O599" s="38"/>
      <c r="P599" s="31">
        <f>SUM(P594:P598)</f>
        <v>0</v>
      </c>
      <c r="Q599" s="32" t="e">
        <f>SUM(Q594:Q598)</f>
        <v>#DIV/0!</v>
      </c>
      <c r="R599" s="33">
        <f>AVERAGE(R594:R598)</f>
        <v>99.903999999999996</v>
      </c>
      <c r="S599" s="41" t="e">
        <f>SUM(S594:S598)</f>
        <v>#DIV/0!</v>
      </c>
      <c r="U599" s="46"/>
      <c r="V599" s="52">
        <f>SUM(V594:V598)</f>
        <v>0</v>
      </c>
      <c r="W599" s="32" t="e">
        <f>SUM(W594:W598)</f>
        <v>#DIV/0!</v>
      </c>
      <c r="X599" s="33">
        <f>AVERAGE(X594:X598)</f>
        <v>99.939999999999984</v>
      </c>
      <c r="Y599" s="58" t="e">
        <f>SUM(Y594:Y598)</f>
        <v>#DIV/0!</v>
      </c>
    </row>
    <row r="600" spans="1:25" ht="15" thickBot="1" x14ac:dyDescent="0.4">
      <c r="A600" s="10"/>
      <c r="B600" s="10"/>
      <c r="C600" s="10"/>
      <c r="D600" s="49">
        <f>SUM(D594:D599)</f>
        <v>0</v>
      </c>
      <c r="E600" s="50" t="e">
        <f>SUM(E594:E599)</f>
        <v>#DIV/0!</v>
      </c>
      <c r="F600" s="51">
        <f>AVERAGE(F594:F599)</f>
        <v>99.938333333333318</v>
      </c>
      <c r="G600" s="26" t="e">
        <f>SUM(G594:G599)</f>
        <v>#DIV/0!</v>
      </c>
      <c r="I600" s="10"/>
      <c r="J600" s="49">
        <f>SUM(J594:J599)</f>
        <v>0</v>
      </c>
      <c r="K600" s="50" t="e">
        <f>SUM(K594:K599)</f>
        <v>#DIV/0!</v>
      </c>
      <c r="L600" s="51">
        <f>AVERAGE(L594:L599)</f>
        <v>99.938333333333318</v>
      </c>
      <c r="M600" s="26" t="e">
        <f>SUM(M594:M599)</f>
        <v>#DIV/0!</v>
      </c>
      <c r="O600" s="34"/>
      <c r="P600" s="34"/>
      <c r="Q600" s="34"/>
      <c r="R600" s="36"/>
      <c r="S600" s="40"/>
      <c r="U600" s="42"/>
      <c r="V600" s="42"/>
      <c r="W600" s="42"/>
      <c r="X600" s="44"/>
      <c r="Y600" s="45"/>
    </row>
    <row r="601" spans="1:25" ht="15" thickTop="1" x14ac:dyDescent="0.35">
      <c r="A601" s="29" t="s">
        <v>243</v>
      </c>
      <c r="B601" s="28"/>
      <c r="C601" s="28"/>
      <c r="D601" s="28"/>
      <c r="E601" s="28"/>
      <c r="F601" s="28"/>
      <c r="G601" s="28"/>
      <c r="I601" s="28"/>
      <c r="J601" s="28"/>
      <c r="K601" s="28"/>
      <c r="L601" s="28"/>
      <c r="M601" s="28"/>
      <c r="O601" s="28"/>
      <c r="P601" s="28"/>
      <c r="Q601" s="28"/>
      <c r="R601" s="28"/>
      <c r="S601" s="28"/>
      <c r="U601" s="28"/>
      <c r="V601" s="28"/>
      <c r="W601" s="28"/>
      <c r="X601" s="28"/>
      <c r="Y601" s="28"/>
    </row>
    <row r="602" spans="1:25" x14ac:dyDescent="0.35">
      <c r="A602" s="20" t="s">
        <v>244</v>
      </c>
      <c r="B602" s="20"/>
      <c r="C602" s="56" t="s">
        <v>115</v>
      </c>
      <c r="D602" s="11"/>
      <c r="E602" s="11"/>
      <c r="F602" s="11"/>
      <c r="G602" s="30" t="s">
        <v>115</v>
      </c>
      <c r="I602" s="56" t="s">
        <v>115</v>
      </c>
      <c r="J602" s="11"/>
      <c r="K602" s="11"/>
      <c r="L602" s="11"/>
      <c r="M602" s="30" t="s">
        <v>115</v>
      </c>
      <c r="O602" s="55" t="s">
        <v>116</v>
      </c>
      <c r="P602" s="34"/>
      <c r="Q602" s="34"/>
      <c r="R602" s="34"/>
      <c r="S602" s="35" t="s">
        <v>116</v>
      </c>
      <c r="U602" s="57" t="s">
        <v>117</v>
      </c>
      <c r="V602" s="42"/>
      <c r="W602" s="42"/>
      <c r="X602" s="42"/>
      <c r="Y602" s="43" t="s">
        <v>117</v>
      </c>
    </row>
    <row r="603" spans="1:25" ht="15" thickBot="1" x14ac:dyDescent="0.4">
      <c r="A603" s="2"/>
      <c r="B603" s="2"/>
      <c r="C603" s="2"/>
      <c r="D603" s="18" t="s">
        <v>118</v>
      </c>
      <c r="E603" s="19" t="s">
        <v>119</v>
      </c>
      <c r="F603" s="18" t="s">
        <v>120</v>
      </c>
      <c r="G603" s="12" t="s">
        <v>121</v>
      </c>
      <c r="I603" s="2"/>
      <c r="J603" s="18" t="s">
        <v>118</v>
      </c>
      <c r="K603" s="19" t="s">
        <v>119</v>
      </c>
      <c r="L603" s="18" t="s">
        <v>120</v>
      </c>
      <c r="M603" s="12" t="s">
        <v>121</v>
      </c>
      <c r="O603" s="34"/>
      <c r="P603" s="18" t="s">
        <v>118</v>
      </c>
      <c r="Q603" s="19" t="s">
        <v>119</v>
      </c>
      <c r="R603" s="18" t="s">
        <v>120</v>
      </c>
      <c r="S603" s="39" t="s">
        <v>121</v>
      </c>
      <c r="U603" s="42"/>
      <c r="V603" s="18" t="s">
        <v>118</v>
      </c>
      <c r="W603" s="19" t="s">
        <v>119</v>
      </c>
      <c r="X603" s="18" t="s">
        <v>120</v>
      </c>
      <c r="Y603" s="47" t="s">
        <v>121</v>
      </c>
    </row>
    <row r="604" spans="1:25" ht="15" thickTop="1" x14ac:dyDescent="0.35">
      <c r="A604" s="22" t="s">
        <v>122</v>
      </c>
      <c r="B604" s="2"/>
      <c r="C604" s="21" t="s">
        <v>25</v>
      </c>
      <c r="D604" s="25">
        <v>1304434</v>
      </c>
      <c r="E604" s="14">
        <f>D604/D610</f>
        <v>0.75416372049029767</v>
      </c>
      <c r="F604">
        <v>99.95</v>
      </c>
      <c r="G604" s="15">
        <f t="shared" ref="G604:G609" si="256">E604*F604</f>
        <v>75.378663863005258</v>
      </c>
      <c r="I604" s="21" t="s">
        <v>25</v>
      </c>
      <c r="J604" s="52">
        <v>3528756.9073753357</v>
      </c>
      <c r="K604" s="14">
        <f>J604/J610</f>
        <v>0.77922415372549203</v>
      </c>
      <c r="L604">
        <v>99.95</v>
      </c>
      <c r="M604" s="15">
        <f t="shared" ref="M604:M609" si="257">K604*L604</f>
        <v>77.883454164862925</v>
      </c>
      <c r="O604" s="38" t="s">
        <v>25</v>
      </c>
      <c r="P604" s="13">
        <v>119017</v>
      </c>
      <c r="Q604" s="14">
        <f>P604/P609</f>
        <v>0.55351080354568372</v>
      </c>
      <c r="R604">
        <v>99.95</v>
      </c>
      <c r="S604" s="40">
        <f t="shared" ref="S604:S607" si="258">Q604*R604</f>
        <v>55.32340481439109</v>
      </c>
      <c r="U604" s="46" t="s">
        <v>25</v>
      </c>
      <c r="V604" s="52">
        <v>3602206000</v>
      </c>
      <c r="W604" s="14">
        <f>V604/V609</f>
        <v>0.70737513245342631</v>
      </c>
      <c r="X604">
        <v>99.95</v>
      </c>
      <c r="Y604" s="48">
        <f t="shared" ref="Y604:Y605" si="259">W604*X604</f>
        <v>70.702144488719966</v>
      </c>
    </row>
    <row r="605" spans="1:25" x14ac:dyDescent="0.35">
      <c r="A605" s="23">
        <v>1300945</v>
      </c>
      <c r="B605" s="2"/>
      <c r="C605" s="21" t="s">
        <v>29</v>
      </c>
      <c r="D605" s="13">
        <v>135099</v>
      </c>
      <c r="E605" s="14">
        <f>D605/D610</f>
        <v>7.8108025760229127E-2</v>
      </c>
      <c r="F605">
        <v>99.88</v>
      </c>
      <c r="G605" s="15">
        <f t="shared" si="256"/>
        <v>7.8014296129316847</v>
      </c>
      <c r="I605" s="21" t="s">
        <v>29</v>
      </c>
      <c r="J605" s="52">
        <v>619239.27933692932</v>
      </c>
      <c r="K605" s="14">
        <f>J605/J610</f>
        <v>0.13674112897558643</v>
      </c>
      <c r="L605">
        <v>99.88</v>
      </c>
      <c r="M605" s="15">
        <f t="shared" si="257"/>
        <v>13.657703962081573</v>
      </c>
      <c r="O605" s="38" t="s">
        <v>29</v>
      </c>
      <c r="P605" s="13">
        <v>3548</v>
      </c>
      <c r="Q605" s="14">
        <f>P605/P609</f>
        <v>1.6500637144106184E-2</v>
      </c>
      <c r="R605">
        <v>99.88</v>
      </c>
      <c r="S605" s="40">
        <f t="shared" si="258"/>
        <v>1.6480836379533255</v>
      </c>
      <c r="U605" s="46" t="s">
        <v>29</v>
      </c>
      <c r="V605" s="52">
        <v>27499000</v>
      </c>
      <c r="W605" s="14">
        <f>V605/V609</f>
        <v>5.4000545130780328E-3</v>
      </c>
      <c r="X605">
        <v>99.88</v>
      </c>
      <c r="Y605" s="48">
        <f t="shared" si="259"/>
        <v>0.53935744476623393</v>
      </c>
    </row>
    <row r="606" spans="1:25" x14ac:dyDescent="0.35">
      <c r="A606" s="23">
        <v>12</v>
      </c>
      <c r="B606" s="2"/>
      <c r="C606" s="21" t="s">
        <v>30</v>
      </c>
      <c r="D606" s="13">
        <v>5737</v>
      </c>
      <c r="E606" s="14">
        <f>D606/D610</f>
        <v>3.3168694349065097E-3</v>
      </c>
      <c r="F606">
        <v>99.95</v>
      </c>
      <c r="G606" s="15">
        <f t="shared" si="256"/>
        <v>0.33152110001890567</v>
      </c>
      <c r="I606" s="21" t="s">
        <v>30</v>
      </c>
      <c r="J606" s="52">
        <v>13500.181515693665</v>
      </c>
      <c r="K606" s="14">
        <f>J606/J610</f>
        <v>2.9811255897849252E-3</v>
      </c>
      <c r="L606">
        <v>99.95</v>
      </c>
      <c r="M606" s="15">
        <f t="shared" si="257"/>
        <v>0.29796350269900329</v>
      </c>
      <c r="O606" s="38" t="s">
        <v>30</v>
      </c>
      <c r="P606" s="13">
        <v>90054</v>
      </c>
      <c r="Q606" s="14">
        <f>P606/P609</f>
        <v>0.41881295867399615</v>
      </c>
      <c r="R606">
        <v>99.95</v>
      </c>
      <c r="S606" s="40">
        <f t="shared" si="258"/>
        <v>41.860355219465916</v>
      </c>
      <c r="U606" s="46" t="s">
        <v>30</v>
      </c>
      <c r="V606" s="52">
        <v>72000</v>
      </c>
      <c r="W606" s="14">
        <f>V606/V609</f>
        <v>1.4138838682920048E-5</v>
      </c>
      <c r="X606">
        <v>99.95</v>
      </c>
      <c r="Y606" s="48">
        <f>W606*X606</f>
        <v>1.4131769263578588E-3</v>
      </c>
    </row>
    <row r="607" spans="1:25" x14ac:dyDescent="0.35">
      <c r="A607" s="23">
        <v>3477</v>
      </c>
      <c r="B607" s="2"/>
      <c r="C607" s="21" t="s">
        <v>31</v>
      </c>
      <c r="D607" s="13">
        <v>198901</v>
      </c>
      <c r="E607" s="14">
        <f>D607/D610</f>
        <v>0.11499540656655738</v>
      </c>
      <c r="F607">
        <v>99.95</v>
      </c>
      <c r="G607" s="15">
        <f t="shared" si="256"/>
        <v>11.49379088632741</v>
      </c>
      <c r="I607" s="21" t="s">
        <v>31</v>
      </c>
      <c r="J607" s="52">
        <v>80105.386929512024</v>
      </c>
      <c r="K607" s="14">
        <f>J607/J610</f>
        <v>1.7688963557829687E-2</v>
      </c>
      <c r="L607">
        <v>99.95</v>
      </c>
      <c r="M607" s="15">
        <f t="shared" si="257"/>
        <v>1.7680119076050773</v>
      </c>
      <c r="O607" s="38" t="s">
        <v>31</v>
      </c>
      <c r="P607" s="13">
        <v>2115</v>
      </c>
      <c r="Q607" s="14">
        <f>P607/P609</f>
        <v>9.8362028071546162E-3</v>
      </c>
      <c r="R607">
        <v>99.95</v>
      </c>
      <c r="S607" s="40">
        <f t="shared" si="258"/>
        <v>0.98312847057510389</v>
      </c>
      <c r="U607" s="46" t="s">
        <v>31</v>
      </c>
      <c r="V607" s="52">
        <v>1459103000</v>
      </c>
      <c r="W607" s="14">
        <f>V607/V609</f>
        <v>0.28652808248284289</v>
      </c>
      <c r="X607">
        <v>99.95</v>
      </c>
      <c r="Y607" s="48">
        <f t="shared" ref="Y607" si="260">W607*X607</f>
        <v>28.638481844160147</v>
      </c>
    </row>
    <row r="608" spans="1:25" ht="15" thickBot="1" x14ac:dyDescent="0.4">
      <c r="A608" s="24">
        <f>SUM(A605:A607)</f>
        <v>1304434</v>
      </c>
      <c r="B608" s="2"/>
      <c r="C608" s="21" t="s">
        <v>32</v>
      </c>
      <c r="D608" s="13">
        <v>132</v>
      </c>
      <c r="E608" s="14">
        <f>D608/D610</f>
        <v>7.6316326548310831E-5</v>
      </c>
      <c r="F608">
        <v>99.95</v>
      </c>
      <c r="G608" s="15">
        <f t="shared" si="256"/>
        <v>7.6278168385036675E-3</v>
      </c>
      <c r="I608" s="21" t="s">
        <v>32</v>
      </c>
      <c r="J608" s="52">
        <v>245.68165969848633</v>
      </c>
      <c r="K608" s="14">
        <f>J608/J610</f>
        <v>5.4251706306065683E-5</v>
      </c>
      <c r="L608">
        <v>99.95</v>
      </c>
      <c r="M608" s="15">
        <f t="shared" si="257"/>
        <v>5.4224580452912653E-3</v>
      </c>
      <c r="O608" s="38" t="s">
        <v>33</v>
      </c>
      <c r="P608" s="13">
        <v>288</v>
      </c>
      <c r="Q608" s="14">
        <f>P608/P609</f>
        <v>1.339397829059352E-3</v>
      </c>
      <c r="R608">
        <v>99.93</v>
      </c>
      <c r="S608" s="40">
        <f>Q608*R608</f>
        <v>0.13384602505790105</v>
      </c>
      <c r="U608" s="46" t="s">
        <v>33</v>
      </c>
      <c r="V608" s="52">
        <v>3476000</v>
      </c>
      <c r="W608" s="14">
        <f>V608/V609</f>
        <v>6.8259171196986227E-4</v>
      </c>
      <c r="X608">
        <v>99.93</v>
      </c>
      <c r="Y608" s="48">
        <f>W608*X608</f>
        <v>6.8211389777148343E-2</v>
      </c>
    </row>
    <row r="609" spans="1:25" ht="15.5" thickTop="1" thickBot="1" x14ac:dyDescent="0.4">
      <c r="B609" s="2"/>
      <c r="C609" s="21" t="s">
        <v>33</v>
      </c>
      <c r="D609" s="13">
        <v>85340</v>
      </c>
      <c r="E609" s="16">
        <f>D609/D610</f>
        <v>4.9339661421460963E-2</v>
      </c>
      <c r="F609">
        <v>99.92</v>
      </c>
      <c r="G609" s="15">
        <f t="shared" si="256"/>
        <v>4.9300189692323793</v>
      </c>
      <c r="I609" s="21" t="s">
        <v>33</v>
      </c>
      <c r="J609" s="52">
        <v>286704.31623649597</v>
      </c>
      <c r="K609" s="16">
        <f>J609/J610</f>
        <v>6.3310376445000829E-2</v>
      </c>
      <c r="L609">
        <v>99.91</v>
      </c>
      <c r="M609" s="15">
        <f t="shared" si="257"/>
        <v>6.3253397106200326</v>
      </c>
      <c r="O609" s="38"/>
      <c r="P609" s="31">
        <f>SUM(P604:P608)</f>
        <v>215022</v>
      </c>
      <c r="Q609" s="32">
        <f>SUM(Q604:Q608)</f>
        <v>1</v>
      </c>
      <c r="R609" s="33">
        <f>AVERAGE(R604:R608)</f>
        <v>99.931999999999988</v>
      </c>
      <c r="S609" s="41">
        <f>SUM(S604:S608)</f>
        <v>99.948818167443349</v>
      </c>
      <c r="U609" s="46"/>
      <c r="V609" s="52">
        <f>SUM(V604:V608)</f>
        <v>5092356000</v>
      </c>
      <c r="W609" s="32">
        <f>SUM(W604:W608)</f>
        <v>1</v>
      </c>
      <c r="X609" s="33">
        <f>AVERAGE(X604:X608)</f>
        <v>99.931999999999988</v>
      </c>
      <c r="Y609" s="58">
        <f>SUM(Y604:Y608)</f>
        <v>99.949608344349869</v>
      </c>
    </row>
    <row r="610" spans="1:25" ht="15" thickBot="1" x14ac:dyDescent="0.4">
      <c r="A610" s="10"/>
      <c r="B610" s="10"/>
      <c r="C610" s="10"/>
      <c r="D610" s="49">
        <f>SUM(D604:D609)</f>
        <v>1729643</v>
      </c>
      <c r="E610" s="50">
        <f>SUM(E604:E609)</f>
        <v>1</v>
      </c>
      <c r="F610" s="51">
        <f>AVERAGE(F604:F609)</f>
        <v>99.933333333333323</v>
      </c>
      <c r="G610" s="26">
        <f>SUM(G604:G609)</f>
        <v>99.943052248354135</v>
      </c>
      <c r="I610" s="10"/>
      <c r="J610" s="49">
        <f>SUM(J604:J609)</f>
        <v>4528551.7530536652</v>
      </c>
      <c r="K610" s="50">
        <f>SUM(K604:K609)</f>
        <v>0.99999999999999989</v>
      </c>
      <c r="L610" s="51">
        <f>AVERAGE(L604:L609)</f>
        <v>99.931666666666658</v>
      </c>
      <c r="M610" s="26">
        <f>SUM(M604:M609)</f>
        <v>99.937895705913888</v>
      </c>
      <c r="O610" s="34"/>
      <c r="P610" s="34"/>
      <c r="Q610" s="34"/>
      <c r="R610" s="36"/>
      <c r="S610" s="40"/>
      <c r="U610" s="42"/>
      <c r="V610" s="42"/>
      <c r="W610" s="42"/>
      <c r="X610" s="44"/>
      <c r="Y610" s="45"/>
    </row>
    <row r="611" spans="1:25" ht="15" thickTop="1" x14ac:dyDescent="0.35">
      <c r="A611" s="29" t="s">
        <v>245</v>
      </c>
      <c r="B611" s="28"/>
      <c r="C611" s="28"/>
      <c r="D611" s="28"/>
      <c r="E611" s="28"/>
      <c r="F611" s="28"/>
      <c r="G611" s="28"/>
      <c r="I611" s="28"/>
      <c r="J611" s="28"/>
      <c r="K611" s="28"/>
      <c r="L611" s="28"/>
      <c r="M611" s="28"/>
      <c r="O611" s="28"/>
      <c r="P611" s="28"/>
      <c r="Q611" s="28"/>
      <c r="R611" s="28"/>
      <c r="S611" s="28"/>
      <c r="U611" s="28"/>
      <c r="V611" s="28"/>
      <c r="W611" s="28"/>
      <c r="X611" s="28"/>
      <c r="Y611" s="28"/>
    </row>
    <row r="612" spans="1:25" x14ac:dyDescent="0.35">
      <c r="A612" s="20" t="s">
        <v>244</v>
      </c>
      <c r="B612" s="20"/>
      <c r="C612" s="56" t="s">
        <v>115</v>
      </c>
      <c r="D612" s="11"/>
      <c r="E612" s="11"/>
      <c r="F612" s="11"/>
      <c r="G612" s="30" t="s">
        <v>115</v>
      </c>
      <c r="I612" s="56" t="s">
        <v>115</v>
      </c>
      <c r="J612" s="11"/>
      <c r="K612" s="11"/>
      <c r="L612" s="11"/>
      <c r="M612" s="30" t="s">
        <v>115</v>
      </c>
      <c r="O612" s="55" t="s">
        <v>116</v>
      </c>
      <c r="P612" s="34"/>
      <c r="Q612" s="34"/>
      <c r="R612" s="34"/>
      <c r="S612" s="35" t="s">
        <v>116</v>
      </c>
      <c r="U612" s="57" t="s">
        <v>117</v>
      </c>
      <c r="V612" s="42"/>
      <c r="W612" s="42"/>
      <c r="X612" s="42"/>
      <c r="Y612" s="43" t="s">
        <v>117</v>
      </c>
    </row>
    <row r="613" spans="1:25" ht="15" thickBot="1" x14ac:dyDescent="0.4">
      <c r="A613" s="2"/>
      <c r="B613" s="2"/>
      <c r="C613" s="2"/>
      <c r="D613" s="18" t="s">
        <v>118</v>
      </c>
      <c r="E613" s="19" t="s">
        <v>119</v>
      </c>
      <c r="F613" s="18" t="s">
        <v>120</v>
      </c>
      <c r="G613" s="12" t="s">
        <v>121</v>
      </c>
      <c r="I613" s="2"/>
      <c r="J613" s="18" t="s">
        <v>118</v>
      </c>
      <c r="K613" s="19" t="s">
        <v>119</v>
      </c>
      <c r="L613" s="18" t="s">
        <v>120</v>
      </c>
      <c r="M613" s="12" t="s">
        <v>121</v>
      </c>
      <c r="O613" s="34"/>
      <c r="P613" s="18" t="s">
        <v>118</v>
      </c>
      <c r="Q613" s="19" t="s">
        <v>119</v>
      </c>
      <c r="R613" s="18" t="s">
        <v>120</v>
      </c>
      <c r="S613" s="39" t="s">
        <v>121</v>
      </c>
      <c r="U613" s="42"/>
      <c r="V613" s="18" t="s">
        <v>118</v>
      </c>
      <c r="W613" s="19" t="s">
        <v>119</v>
      </c>
      <c r="X613" s="18" t="s">
        <v>120</v>
      </c>
      <c r="Y613" s="47" t="s">
        <v>121</v>
      </c>
    </row>
    <row r="614" spans="1:25" ht="15" thickTop="1" x14ac:dyDescent="0.35">
      <c r="A614" s="22" t="s">
        <v>122</v>
      </c>
      <c r="B614" s="2"/>
      <c r="C614" s="21" t="s">
        <v>25</v>
      </c>
      <c r="D614" s="25">
        <v>1304434</v>
      </c>
      <c r="E614" s="14">
        <f>D614/D620</f>
        <v>0.75416372049029767</v>
      </c>
      <c r="F614">
        <v>99.96</v>
      </c>
      <c r="G614" s="15">
        <f t="shared" ref="G614:G619" si="261">E614*F614</f>
        <v>75.386205500210153</v>
      </c>
      <c r="I614" s="21" t="s">
        <v>25</v>
      </c>
      <c r="J614" s="52">
        <v>3528756.9073753357</v>
      </c>
      <c r="K614" s="14">
        <f>J614/J620</f>
        <v>0.77922415372549203</v>
      </c>
      <c r="L614">
        <v>99.96</v>
      </c>
      <c r="M614" s="15">
        <f t="shared" ref="M614:M619" si="262">K614*L614</f>
        <v>77.891246406400185</v>
      </c>
      <c r="O614" s="38" t="s">
        <v>25</v>
      </c>
      <c r="P614" s="13">
        <v>119017</v>
      </c>
      <c r="Q614" s="14">
        <f>P614/P619</f>
        <v>0.55351080354568372</v>
      </c>
      <c r="R614">
        <v>99.92</v>
      </c>
      <c r="S614" s="40">
        <f t="shared" ref="S614:S617" si="263">Q614*R614</f>
        <v>55.306799490284718</v>
      </c>
      <c r="U614" s="46" t="s">
        <v>25</v>
      </c>
      <c r="V614" s="52">
        <v>3602206000</v>
      </c>
      <c r="W614" s="14">
        <f>V614/V619</f>
        <v>0.70737513245342631</v>
      </c>
      <c r="X614">
        <v>99.96</v>
      </c>
      <c r="Y614" s="48">
        <f t="shared" ref="Y614:Y615" si="264">W614*X614</f>
        <v>70.709218240044493</v>
      </c>
    </row>
    <row r="615" spans="1:25" x14ac:dyDescent="0.35">
      <c r="A615" s="23">
        <v>1300945</v>
      </c>
      <c r="B615" s="2"/>
      <c r="C615" s="21" t="s">
        <v>29</v>
      </c>
      <c r="D615" s="13">
        <v>135099</v>
      </c>
      <c r="E615" s="14">
        <f>D615/D620</f>
        <v>7.8108025760229127E-2</v>
      </c>
      <c r="F615">
        <v>99.86</v>
      </c>
      <c r="G615" s="15">
        <f t="shared" si="261"/>
        <v>7.7998674524164802</v>
      </c>
      <c r="I615" s="21" t="s">
        <v>29</v>
      </c>
      <c r="J615" s="52">
        <v>619239.27933692932</v>
      </c>
      <c r="K615" s="14">
        <f>J615/J620</f>
        <v>0.13674112897558643</v>
      </c>
      <c r="L615">
        <v>99.86</v>
      </c>
      <c r="M615" s="15">
        <f t="shared" si="262"/>
        <v>13.654969139502061</v>
      </c>
      <c r="O615" s="38" t="s">
        <v>29</v>
      </c>
      <c r="P615" s="13">
        <v>3548</v>
      </c>
      <c r="Q615" s="14">
        <f>P615/P619</f>
        <v>1.6500637144106184E-2</v>
      </c>
      <c r="R615">
        <v>99.86</v>
      </c>
      <c r="S615" s="40">
        <f t="shared" si="263"/>
        <v>1.6477536252104434</v>
      </c>
      <c r="U615" s="46" t="s">
        <v>29</v>
      </c>
      <c r="V615" s="52">
        <v>27499000</v>
      </c>
      <c r="W615" s="14">
        <f>V615/V619</f>
        <v>5.4000545130780328E-3</v>
      </c>
      <c r="X615">
        <v>99.87</v>
      </c>
      <c r="Y615" s="48">
        <f t="shared" si="264"/>
        <v>0.53930344422110321</v>
      </c>
    </row>
    <row r="616" spans="1:25" x14ac:dyDescent="0.35">
      <c r="A616" s="23">
        <v>12</v>
      </c>
      <c r="B616" s="2"/>
      <c r="C616" s="21" t="s">
        <v>30</v>
      </c>
      <c r="D616" s="13">
        <v>5737</v>
      </c>
      <c r="E616" s="14">
        <f>D616/D620</f>
        <v>3.3168694349065097E-3</v>
      </c>
      <c r="F616">
        <v>99.96</v>
      </c>
      <c r="G616" s="15">
        <f t="shared" si="261"/>
        <v>0.33155426871325472</v>
      </c>
      <c r="I616" s="21" t="s">
        <v>30</v>
      </c>
      <c r="J616" s="52">
        <v>13500.181515693665</v>
      </c>
      <c r="K616" s="14">
        <f>J616/J620</f>
        <v>2.9811255897849252E-3</v>
      </c>
      <c r="L616">
        <v>99.96</v>
      </c>
      <c r="M616" s="15">
        <f t="shared" si="262"/>
        <v>0.29799331395490108</v>
      </c>
      <c r="O616" s="38" t="s">
        <v>30</v>
      </c>
      <c r="P616" s="13">
        <v>90054</v>
      </c>
      <c r="Q616" s="14">
        <f>P616/P619</f>
        <v>0.41881295867399615</v>
      </c>
      <c r="R616">
        <v>99.92</v>
      </c>
      <c r="S616" s="40">
        <f t="shared" si="263"/>
        <v>41.847790830705698</v>
      </c>
      <c r="U616" s="46" t="s">
        <v>30</v>
      </c>
      <c r="V616" s="52">
        <v>72000</v>
      </c>
      <c r="W616" s="14">
        <f>V616/V619</f>
        <v>1.4138838682920048E-5</v>
      </c>
      <c r="X616">
        <v>99.96</v>
      </c>
      <c r="Y616" s="48">
        <f>W616*X616</f>
        <v>1.4133183147446878E-3</v>
      </c>
    </row>
    <row r="617" spans="1:25" x14ac:dyDescent="0.35">
      <c r="A617" s="23">
        <v>3477</v>
      </c>
      <c r="B617" s="2"/>
      <c r="C617" s="21" t="s">
        <v>31</v>
      </c>
      <c r="D617" s="13">
        <v>198901</v>
      </c>
      <c r="E617" s="14">
        <f>D617/D620</f>
        <v>0.11499540656655738</v>
      </c>
      <c r="F617">
        <v>99.96</v>
      </c>
      <c r="G617" s="15">
        <f t="shared" si="261"/>
        <v>11.494940840393076</v>
      </c>
      <c r="I617" s="21" t="s">
        <v>31</v>
      </c>
      <c r="J617" s="52">
        <v>80105.386929512024</v>
      </c>
      <c r="K617" s="14">
        <f>J617/J620</f>
        <v>1.7688963557829687E-2</v>
      </c>
      <c r="L617">
        <v>99.96</v>
      </c>
      <c r="M617" s="15">
        <f t="shared" si="262"/>
        <v>1.7681887972406554</v>
      </c>
      <c r="O617" s="38" t="s">
        <v>31</v>
      </c>
      <c r="P617" s="13">
        <v>2115</v>
      </c>
      <c r="Q617" s="14">
        <f>P617/P619</f>
        <v>9.8362028071546162E-3</v>
      </c>
      <c r="R617">
        <v>99.92</v>
      </c>
      <c r="S617" s="40">
        <f t="shared" si="263"/>
        <v>0.98283338449088931</v>
      </c>
      <c r="U617" s="46" t="s">
        <v>31</v>
      </c>
      <c r="V617" s="52">
        <v>1459103000</v>
      </c>
      <c r="W617" s="14">
        <f>V617/V619</f>
        <v>0.28652808248284289</v>
      </c>
      <c r="X617">
        <v>99.96</v>
      </c>
      <c r="Y617" s="48">
        <f t="shared" ref="Y617" si="265">W617*X617</f>
        <v>28.641347124984975</v>
      </c>
    </row>
    <row r="618" spans="1:25" ht="15" thickBot="1" x14ac:dyDescent="0.4">
      <c r="A618" s="24">
        <f>SUM(A615:A617)</f>
        <v>1304434</v>
      </c>
      <c r="B618" s="2"/>
      <c r="C618" s="21" t="s">
        <v>32</v>
      </c>
      <c r="D618" s="13">
        <v>132</v>
      </c>
      <c r="E618" s="14">
        <f>D618/D620</f>
        <v>7.6316326548310831E-5</v>
      </c>
      <c r="F618">
        <v>99.96</v>
      </c>
      <c r="G618" s="15">
        <f t="shared" si="261"/>
        <v>7.6285800017691502E-3</v>
      </c>
      <c r="I618" s="21" t="s">
        <v>32</v>
      </c>
      <c r="J618" s="52">
        <v>245.68165969848633</v>
      </c>
      <c r="K618" s="14">
        <f>J618/J620</f>
        <v>5.4251706306065683E-5</v>
      </c>
      <c r="L618">
        <v>99.96</v>
      </c>
      <c r="M618" s="15">
        <f t="shared" si="262"/>
        <v>5.4230005623543253E-3</v>
      </c>
      <c r="O618" s="38" t="s">
        <v>33</v>
      </c>
      <c r="P618" s="13">
        <v>288</v>
      </c>
      <c r="Q618" s="14">
        <f>P618/P619</f>
        <v>1.339397829059352E-3</v>
      </c>
      <c r="R618">
        <v>99.9</v>
      </c>
      <c r="S618" s="40">
        <f>Q618*R618</f>
        <v>0.13380584312302926</v>
      </c>
      <c r="U618" s="46" t="s">
        <v>33</v>
      </c>
      <c r="V618" s="52">
        <v>3476000</v>
      </c>
      <c r="W618" s="14">
        <f>V618/V619</f>
        <v>6.8259171196986227E-4</v>
      </c>
      <c r="X618">
        <v>99.95</v>
      </c>
      <c r="Y618" s="48">
        <f>W618*X618</f>
        <v>6.8225041611387732E-2</v>
      </c>
    </row>
    <row r="619" spans="1:25" ht="15.5" thickTop="1" thickBot="1" x14ac:dyDescent="0.4">
      <c r="B619" s="2"/>
      <c r="C619" s="21" t="s">
        <v>33</v>
      </c>
      <c r="D619" s="13">
        <v>85340</v>
      </c>
      <c r="E619" s="16">
        <f>D619/D620</f>
        <v>4.9339661421460963E-2</v>
      </c>
      <c r="F619">
        <v>99.93</v>
      </c>
      <c r="G619" s="15">
        <f t="shared" si="261"/>
        <v>4.9305123658465941</v>
      </c>
      <c r="I619" s="21" t="s">
        <v>33</v>
      </c>
      <c r="J619" s="52">
        <v>286704.31623649597</v>
      </c>
      <c r="K619" s="16">
        <f>J619/J620</f>
        <v>6.3310376445000829E-2</v>
      </c>
      <c r="L619">
        <v>99.93</v>
      </c>
      <c r="M619" s="15">
        <f t="shared" si="262"/>
        <v>6.3266059181489336</v>
      </c>
      <c r="O619" s="38"/>
      <c r="P619" s="31">
        <f>SUM(P614:P618)</f>
        <v>215022</v>
      </c>
      <c r="Q619" s="32">
        <f>SUM(Q614:Q618)</f>
        <v>1</v>
      </c>
      <c r="R619" s="33">
        <f>AVERAGE(R614:R618)</f>
        <v>99.903999999999996</v>
      </c>
      <c r="S619" s="41">
        <f>SUM(S614:S618)</f>
        <v>99.91898317381478</v>
      </c>
      <c r="U619" s="46"/>
      <c r="V619" s="52">
        <f>SUM(V614:V618)</f>
        <v>5092356000</v>
      </c>
      <c r="W619" s="32">
        <f>SUM(W614:W618)</f>
        <v>1</v>
      </c>
      <c r="X619" s="33">
        <f>AVERAGE(X614:X618)</f>
        <v>99.939999999999984</v>
      </c>
      <c r="Y619" s="58">
        <f>SUM(Y614:Y618)</f>
        <v>99.959507169176703</v>
      </c>
    </row>
    <row r="620" spans="1:25" ht="15" thickBot="1" x14ac:dyDescent="0.4">
      <c r="A620" s="10"/>
      <c r="B620" s="10"/>
      <c r="C620" s="10"/>
      <c r="D620" s="49">
        <f>SUM(D614:D619)</f>
        <v>1729643</v>
      </c>
      <c r="E620" s="50">
        <f>SUM(E614:E619)</f>
        <v>1</v>
      </c>
      <c r="F620" s="51">
        <f>AVERAGE(F614:F619)</f>
        <v>99.938333333333318</v>
      </c>
      <c r="G620" s="26">
        <f>SUM(G614:G619)</f>
        <v>99.95070900758131</v>
      </c>
      <c r="I620" s="10"/>
      <c r="J620" s="49">
        <f>SUM(J614:J619)</f>
        <v>4528551.7530536652</v>
      </c>
      <c r="K620" s="50">
        <f>SUM(K614:K619)</f>
        <v>0.99999999999999989</v>
      </c>
      <c r="L620" s="51">
        <f>AVERAGE(L614:L619)</f>
        <v>99.938333333333318</v>
      </c>
      <c r="M620" s="26">
        <f>SUM(M614:M619)</f>
        <v>99.944426575809089</v>
      </c>
      <c r="O620" s="34"/>
      <c r="P620" s="34"/>
      <c r="Q620" s="34"/>
      <c r="R620" s="36"/>
      <c r="S620" s="40"/>
      <c r="U620" s="42"/>
      <c r="V620" s="42"/>
      <c r="W620" s="42"/>
      <c r="X620" s="44"/>
      <c r="Y620" s="45"/>
    </row>
    <row r="621" spans="1:25" ht="15" thickTop="1" x14ac:dyDescent="0.35">
      <c r="A621" s="29" t="s">
        <v>247</v>
      </c>
      <c r="B621" s="28"/>
      <c r="C621" s="28"/>
      <c r="D621" s="28"/>
      <c r="E621" s="28"/>
      <c r="F621" s="28"/>
      <c r="G621" s="28"/>
      <c r="I621" s="28"/>
      <c r="J621" s="28"/>
      <c r="K621" s="28"/>
      <c r="L621" s="28"/>
      <c r="M621" s="28"/>
      <c r="O621" s="28"/>
      <c r="P621" s="28"/>
      <c r="Q621" s="28"/>
      <c r="R621" s="28"/>
      <c r="S621" s="28"/>
      <c r="U621" s="28"/>
      <c r="V621" s="28"/>
      <c r="W621" s="28"/>
      <c r="X621" s="28"/>
      <c r="Y621" s="28"/>
    </row>
    <row r="622" spans="1:25" x14ac:dyDescent="0.35">
      <c r="A622" s="20" t="s">
        <v>248</v>
      </c>
      <c r="B622" s="20"/>
      <c r="C622" s="56" t="s">
        <v>115</v>
      </c>
      <c r="D622" s="11"/>
      <c r="E622" s="11"/>
      <c r="F622" s="11"/>
      <c r="G622" s="30" t="s">
        <v>115</v>
      </c>
      <c r="I622" s="56" t="s">
        <v>115</v>
      </c>
      <c r="J622" s="11"/>
      <c r="K622" s="11"/>
      <c r="L622" s="11"/>
      <c r="M622" s="30" t="s">
        <v>115</v>
      </c>
      <c r="O622" s="55" t="s">
        <v>116</v>
      </c>
      <c r="P622" s="34"/>
      <c r="Q622" s="34"/>
      <c r="R622" s="34"/>
      <c r="S622" s="35" t="s">
        <v>116</v>
      </c>
      <c r="U622" s="57" t="s">
        <v>117</v>
      </c>
      <c r="V622" s="42"/>
      <c r="W622" s="42"/>
      <c r="X622" s="42"/>
      <c r="Y622" s="43" t="s">
        <v>117</v>
      </c>
    </row>
    <row r="623" spans="1:25" ht="15" thickBot="1" x14ac:dyDescent="0.4">
      <c r="A623" s="2"/>
      <c r="B623" s="2"/>
      <c r="C623" s="2"/>
      <c r="D623" s="18" t="s">
        <v>118</v>
      </c>
      <c r="E623" s="19" t="s">
        <v>119</v>
      </c>
      <c r="F623" s="18" t="s">
        <v>120</v>
      </c>
      <c r="G623" s="12" t="s">
        <v>121</v>
      </c>
      <c r="I623" s="2"/>
      <c r="J623" s="18" t="s">
        <v>118</v>
      </c>
      <c r="K623" s="19" t="s">
        <v>119</v>
      </c>
      <c r="L623" s="18" t="s">
        <v>120</v>
      </c>
      <c r="M623" s="12" t="s">
        <v>121</v>
      </c>
      <c r="O623" s="34"/>
      <c r="P623" s="18" t="s">
        <v>118</v>
      </c>
      <c r="Q623" s="19" t="s">
        <v>119</v>
      </c>
      <c r="R623" s="18" t="s">
        <v>120</v>
      </c>
      <c r="S623" s="39" t="s">
        <v>121</v>
      </c>
      <c r="U623" s="42"/>
      <c r="V623" s="18" t="s">
        <v>118</v>
      </c>
      <c r="W623" s="19" t="s">
        <v>119</v>
      </c>
      <c r="X623" s="18" t="s">
        <v>120</v>
      </c>
      <c r="Y623" s="47" t="s">
        <v>121</v>
      </c>
    </row>
    <row r="624" spans="1:25" ht="15" thickTop="1" x14ac:dyDescent="0.35">
      <c r="A624" s="22" t="s">
        <v>122</v>
      </c>
      <c r="B624" s="2"/>
      <c r="C624" s="21" t="s">
        <v>25</v>
      </c>
      <c r="D624" s="25">
        <v>1303318</v>
      </c>
      <c r="E624" s="14">
        <f>D624/D630</f>
        <v>0.7539731574684716</v>
      </c>
      <c r="F624">
        <v>99.95</v>
      </c>
      <c r="G624" s="15">
        <f t="shared" ref="G624:G629" si="266">E624*F624</f>
        <v>75.359617088973735</v>
      </c>
      <c r="I624" s="21" t="s">
        <v>25</v>
      </c>
      <c r="J624" s="52">
        <v>3479653.2842502594</v>
      </c>
      <c r="K624" s="14">
        <f>J624/J630</f>
        <v>0.77053685733567234</v>
      </c>
      <c r="L624">
        <v>99.95</v>
      </c>
      <c r="M624" s="15">
        <f t="shared" ref="M624:M629" si="267">K624*L624</f>
        <v>77.015158890700448</v>
      </c>
      <c r="O624" s="38" t="s">
        <v>25</v>
      </c>
      <c r="P624" s="13">
        <v>85621</v>
      </c>
      <c r="Q624" s="14">
        <f>P624/P629</f>
        <v>0.48338216779861004</v>
      </c>
      <c r="R624">
        <v>99.95</v>
      </c>
      <c r="S624" s="40">
        <f t="shared" ref="S624:S627" si="268">Q624*R624</f>
        <v>48.314047671471073</v>
      </c>
      <c r="U624" s="46" t="s">
        <v>25</v>
      </c>
      <c r="V624" s="52">
        <v>3603765000</v>
      </c>
      <c r="W624" s="14">
        <f>V624/V629</f>
        <v>0.7233881583833589</v>
      </c>
      <c r="X624">
        <v>99.95</v>
      </c>
      <c r="Y624" s="48">
        <f t="shared" ref="Y624:Y625" si="269">W624*X624</f>
        <v>72.302646430416729</v>
      </c>
    </row>
    <row r="625" spans="1:25" x14ac:dyDescent="0.35">
      <c r="A625" s="23">
        <v>1299829</v>
      </c>
      <c r="B625" s="2"/>
      <c r="C625" s="21" t="s">
        <v>29</v>
      </c>
      <c r="D625" s="13">
        <v>135280</v>
      </c>
      <c r="E625" s="14">
        <f>D625/D630</f>
        <v>7.8259863473331026E-2</v>
      </c>
      <c r="F625">
        <v>99.89</v>
      </c>
      <c r="G625" s="15">
        <f t="shared" si="266"/>
        <v>7.8173777623510361</v>
      </c>
      <c r="I625" s="21" t="s">
        <v>29</v>
      </c>
      <c r="J625" s="52">
        <v>655732.56193733215</v>
      </c>
      <c r="K625" s="14">
        <f>J625/J630</f>
        <v>0.14520587721047265</v>
      </c>
      <c r="L625">
        <v>99.89</v>
      </c>
      <c r="M625" s="15">
        <f t="shared" si="267"/>
        <v>14.504615074554113</v>
      </c>
      <c r="O625" s="38" t="s">
        <v>29</v>
      </c>
      <c r="P625" s="13">
        <v>3601</v>
      </c>
      <c r="Q625" s="14">
        <f>P625/P629</f>
        <v>2.0329816122712827E-2</v>
      </c>
      <c r="R625">
        <v>99.89</v>
      </c>
      <c r="S625" s="40">
        <f t="shared" si="268"/>
        <v>2.0307453324977844</v>
      </c>
      <c r="U625" s="46" t="s">
        <v>29</v>
      </c>
      <c r="V625" s="52">
        <v>29937000</v>
      </c>
      <c r="W625" s="14">
        <f>V625/V629</f>
        <v>6.0092906439578094E-3</v>
      </c>
      <c r="X625">
        <v>99.89</v>
      </c>
      <c r="Y625" s="48">
        <f t="shared" si="269"/>
        <v>0.60026804242494558</v>
      </c>
    </row>
    <row r="626" spans="1:25" x14ac:dyDescent="0.35">
      <c r="A626" s="23">
        <v>12</v>
      </c>
      <c r="B626" s="2"/>
      <c r="C626" s="21" t="s">
        <v>30</v>
      </c>
      <c r="D626" s="13">
        <v>5745</v>
      </c>
      <c r="E626" s="14">
        <f>D626/D630</f>
        <v>3.3234987851440473E-3</v>
      </c>
      <c r="F626">
        <v>99.95</v>
      </c>
      <c r="G626" s="15">
        <f t="shared" si="266"/>
        <v>0.33218370357514754</v>
      </c>
      <c r="I626" s="21" t="s">
        <v>30</v>
      </c>
      <c r="J626" s="52">
        <v>14157.78929233551</v>
      </c>
      <c r="K626" s="14">
        <f>J626/J630</f>
        <v>3.1351107644873753E-3</v>
      </c>
      <c r="L626">
        <v>99.95</v>
      </c>
      <c r="M626" s="15">
        <f t="shared" si="267"/>
        <v>0.31335432091051318</v>
      </c>
      <c r="O626" s="38" t="s">
        <v>30</v>
      </c>
      <c r="P626" s="13">
        <v>85446</v>
      </c>
      <c r="Q626" s="14">
        <f>P626/P629</f>
        <v>0.48239418728723132</v>
      </c>
      <c r="R626">
        <v>99.95</v>
      </c>
      <c r="S626" s="40">
        <f t="shared" si="268"/>
        <v>48.215299019358774</v>
      </c>
      <c r="U626" s="46" t="s">
        <v>30</v>
      </c>
      <c r="V626" s="52">
        <v>216000</v>
      </c>
      <c r="W626" s="14">
        <f>V626/V629</f>
        <v>4.3357944319567317E-5</v>
      </c>
      <c r="X626">
        <v>99.95</v>
      </c>
      <c r="Y626" s="48">
        <f>W626*X626</f>
        <v>4.3336265347407536E-3</v>
      </c>
    </row>
    <row r="627" spans="1:25" x14ac:dyDescent="0.35">
      <c r="A627" s="23">
        <v>3477</v>
      </c>
      <c r="B627" s="2"/>
      <c r="C627" s="21" t="s">
        <v>31</v>
      </c>
      <c r="D627" s="13">
        <v>198810</v>
      </c>
      <c r="E627" s="14">
        <f>D627/D630</f>
        <v>0.11501214855952795</v>
      </c>
      <c r="F627">
        <v>99.95</v>
      </c>
      <c r="G627" s="15">
        <f t="shared" si="266"/>
        <v>11.495464248524819</v>
      </c>
      <c r="I627" s="21" t="s">
        <v>31</v>
      </c>
      <c r="J627" s="52">
        <v>77483.111008644104</v>
      </c>
      <c r="K627" s="14">
        <f>J627/J630</f>
        <v>1.7157914302388794E-2</v>
      </c>
      <c r="L627">
        <v>99.95</v>
      </c>
      <c r="M627" s="15">
        <f t="shared" si="267"/>
        <v>1.71493353452376</v>
      </c>
      <c r="O627" s="38" t="s">
        <v>31</v>
      </c>
      <c r="P627" s="13">
        <v>2276</v>
      </c>
      <c r="Q627" s="14">
        <f>P627/P629</f>
        <v>1.2849392250845429E-2</v>
      </c>
      <c r="R627">
        <v>99.95</v>
      </c>
      <c r="S627" s="40">
        <f t="shared" si="268"/>
        <v>1.2842967554720006</v>
      </c>
      <c r="U627" s="46" t="s">
        <v>31</v>
      </c>
      <c r="V627" s="52">
        <v>1346361000</v>
      </c>
      <c r="W627" s="14">
        <f>V627/V629</f>
        <v>0.27025669107424527</v>
      </c>
      <c r="X627">
        <v>99.95</v>
      </c>
      <c r="Y627" s="48">
        <f t="shared" ref="Y627" si="270">W627*X627</f>
        <v>27.012156272870815</v>
      </c>
    </row>
    <row r="628" spans="1:25" ht="15" thickBot="1" x14ac:dyDescent="0.4">
      <c r="A628" s="24">
        <f>SUM(A625:A627)</f>
        <v>1303318</v>
      </c>
      <c r="B628" s="2"/>
      <c r="C628" s="21" t="s">
        <v>32</v>
      </c>
      <c r="D628" s="13">
        <v>132</v>
      </c>
      <c r="E628" s="14">
        <f>D628/D630</f>
        <v>7.6362374175633455E-5</v>
      </c>
      <c r="F628">
        <v>99.95</v>
      </c>
      <c r="G628" s="15">
        <f t="shared" si="266"/>
        <v>7.632419298854564E-3</v>
      </c>
      <c r="I628" s="21" t="s">
        <v>32</v>
      </c>
      <c r="J628" s="52">
        <v>2242.2888126373291</v>
      </c>
      <c r="K628" s="14">
        <f>J628/J630</f>
        <v>4.965340031861179E-4</v>
      </c>
      <c r="L628">
        <v>99.95</v>
      </c>
      <c r="M628" s="15">
        <f t="shared" si="267"/>
        <v>4.9628573618452486E-2</v>
      </c>
      <c r="O628" s="38" t="s">
        <v>33</v>
      </c>
      <c r="P628" s="13">
        <v>185</v>
      </c>
      <c r="Q628" s="14">
        <f>P628/P629</f>
        <v>1.0444365406003535E-3</v>
      </c>
      <c r="R628">
        <v>99.95</v>
      </c>
      <c r="S628" s="40">
        <f>Q628*R628</f>
        <v>0.10439143223300533</v>
      </c>
      <c r="U628" s="46" t="s">
        <v>33</v>
      </c>
      <c r="V628" s="52">
        <v>1507000</v>
      </c>
      <c r="W628" s="14">
        <f>V628/V629</f>
        <v>3.0250195411846273E-4</v>
      </c>
      <c r="X628">
        <v>99.93</v>
      </c>
      <c r="Y628" s="48">
        <f>W628*X628</f>
        <v>3.0229020275057982E-2</v>
      </c>
    </row>
    <row r="629" spans="1:25" ht="15.5" thickTop="1" thickBot="1" x14ac:dyDescent="0.4">
      <c r="B629" s="2"/>
      <c r="C629" s="21" t="s">
        <v>33</v>
      </c>
      <c r="D629" s="13">
        <v>85315</v>
      </c>
      <c r="E629" s="16">
        <f>D629/D630</f>
        <v>4.9354969339349762E-2</v>
      </c>
      <c r="F629">
        <v>99.92</v>
      </c>
      <c r="G629" s="15">
        <f t="shared" si="266"/>
        <v>4.9315485363878286</v>
      </c>
      <c r="I629" s="21" t="s">
        <v>33</v>
      </c>
      <c r="J629" s="52">
        <v>286612.65306091309</v>
      </c>
      <c r="K629" s="16">
        <f>J629/J630</f>
        <v>6.3467706383792677E-2</v>
      </c>
      <c r="L629">
        <v>99.92</v>
      </c>
      <c r="M629" s="15">
        <f t="shared" si="267"/>
        <v>6.3416932218685647</v>
      </c>
      <c r="O629" s="38"/>
      <c r="P629" s="31">
        <f>SUM(P624:P628)</f>
        <v>177129</v>
      </c>
      <c r="Q629" s="32">
        <f>SUM(Q624:Q628)</f>
        <v>1</v>
      </c>
      <c r="R629" s="33">
        <f>AVERAGE(R624:R628)</f>
        <v>99.938000000000002</v>
      </c>
      <c r="S629" s="41">
        <f>SUM(S624:S628)</f>
        <v>99.948780211032627</v>
      </c>
      <c r="U629" s="46"/>
      <c r="V629" s="52">
        <f>SUM(V624:V628)</f>
        <v>4981786000</v>
      </c>
      <c r="W629" s="32">
        <f>SUM(W624:W628)</f>
        <v>1</v>
      </c>
      <c r="X629" s="33">
        <f>AVERAGE(X624:X628)</f>
        <v>99.933999999999997</v>
      </c>
      <c r="Y629" s="58">
        <f>SUM(Y624:Y628)</f>
        <v>99.949633392522287</v>
      </c>
    </row>
    <row r="630" spans="1:25" ht="15" thickBot="1" x14ac:dyDescent="0.4">
      <c r="A630" s="10"/>
      <c r="B630" s="10"/>
      <c r="C630" s="10"/>
      <c r="D630" s="49">
        <f>SUM(D624:D629)</f>
        <v>1728600</v>
      </c>
      <c r="E630" s="50">
        <f>SUM(E624:E629)</f>
        <v>1</v>
      </c>
      <c r="F630" s="51">
        <f>AVERAGE(F624:F629)</f>
        <v>99.935000000000002</v>
      </c>
      <c r="G630" s="26">
        <f>SUM(G624:G629)</f>
        <v>99.94382375911141</v>
      </c>
      <c r="I630" s="10"/>
      <c r="J630" s="49">
        <f>SUM(J624:J629)</f>
        <v>4515881.6883621216</v>
      </c>
      <c r="K630" s="50">
        <f>SUM(K624:K629)</f>
        <v>1</v>
      </c>
      <c r="L630" s="51">
        <f>AVERAGE(L624:L629)</f>
        <v>99.935000000000002</v>
      </c>
      <c r="M630" s="26">
        <f>SUM(M624:M629)</f>
        <v>99.93938361617586</v>
      </c>
      <c r="O630" s="34"/>
      <c r="P630" s="34"/>
      <c r="Q630" s="34"/>
      <c r="R630" s="36"/>
      <c r="S630" s="40"/>
      <c r="U630" s="42"/>
      <c r="V630" s="42"/>
      <c r="W630" s="42"/>
      <c r="X630" s="44"/>
      <c r="Y630" s="45"/>
    </row>
    <row r="631" spans="1:25" ht="15" thickTop="1" x14ac:dyDescent="0.35">
      <c r="A631" s="29" t="s">
        <v>249</v>
      </c>
      <c r="B631" s="28"/>
      <c r="C631" s="28"/>
      <c r="D631" s="28"/>
      <c r="E631" s="28"/>
      <c r="F631" s="28"/>
      <c r="G631" s="28"/>
      <c r="I631" s="28"/>
      <c r="J631" s="28"/>
      <c r="K631" s="28"/>
      <c r="L631" s="28"/>
      <c r="M631" s="28"/>
      <c r="O631" s="28"/>
      <c r="P631" s="28"/>
      <c r="Q631" s="28"/>
      <c r="R631" s="28"/>
      <c r="S631" s="28"/>
      <c r="U631" s="28"/>
      <c r="V631" s="28"/>
      <c r="W631" s="28"/>
      <c r="X631" s="28"/>
      <c r="Y631" s="28"/>
    </row>
    <row r="632" spans="1:25" x14ac:dyDescent="0.35">
      <c r="A632" s="20" t="s">
        <v>248</v>
      </c>
      <c r="B632" s="20"/>
      <c r="C632" s="56" t="s">
        <v>115</v>
      </c>
      <c r="D632" s="11"/>
      <c r="E632" s="11"/>
      <c r="F632" s="11"/>
      <c r="G632" s="30" t="s">
        <v>115</v>
      </c>
      <c r="I632" s="56" t="s">
        <v>115</v>
      </c>
      <c r="J632" s="11"/>
      <c r="K632" s="11"/>
      <c r="L632" s="11"/>
      <c r="M632" s="30" t="s">
        <v>115</v>
      </c>
      <c r="O632" s="55" t="s">
        <v>116</v>
      </c>
      <c r="P632" s="34"/>
      <c r="Q632" s="34"/>
      <c r="R632" s="34"/>
      <c r="S632" s="35" t="s">
        <v>116</v>
      </c>
      <c r="U632" s="57" t="s">
        <v>117</v>
      </c>
      <c r="V632" s="42"/>
      <c r="W632" s="42"/>
      <c r="X632" s="42"/>
      <c r="Y632" s="43" t="s">
        <v>117</v>
      </c>
    </row>
    <row r="633" spans="1:25" ht="15" thickBot="1" x14ac:dyDescent="0.4">
      <c r="A633" s="2"/>
      <c r="B633" s="2"/>
      <c r="C633" s="2"/>
      <c r="D633" s="18" t="s">
        <v>118</v>
      </c>
      <c r="E633" s="19" t="s">
        <v>119</v>
      </c>
      <c r="F633" s="18" t="s">
        <v>120</v>
      </c>
      <c r="G633" s="12" t="s">
        <v>121</v>
      </c>
      <c r="I633" s="2"/>
      <c r="J633" s="18" t="s">
        <v>118</v>
      </c>
      <c r="K633" s="19" t="s">
        <v>119</v>
      </c>
      <c r="L633" s="18" t="s">
        <v>120</v>
      </c>
      <c r="M633" s="12" t="s">
        <v>121</v>
      </c>
      <c r="O633" s="34"/>
      <c r="P633" s="18" t="s">
        <v>118</v>
      </c>
      <c r="Q633" s="19" t="s">
        <v>119</v>
      </c>
      <c r="R633" s="18" t="s">
        <v>120</v>
      </c>
      <c r="S633" s="39" t="s">
        <v>121</v>
      </c>
      <c r="U633" s="42"/>
      <c r="V633" s="18" t="s">
        <v>118</v>
      </c>
      <c r="W633" s="19" t="s">
        <v>119</v>
      </c>
      <c r="X633" s="18" t="s">
        <v>120</v>
      </c>
      <c r="Y633" s="47" t="s">
        <v>121</v>
      </c>
    </row>
    <row r="634" spans="1:25" ht="15" thickTop="1" x14ac:dyDescent="0.35">
      <c r="A634" s="22" t="s">
        <v>122</v>
      </c>
      <c r="B634" s="2"/>
      <c r="C634" s="21" t="s">
        <v>25</v>
      </c>
      <c r="D634" s="25">
        <v>1303318</v>
      </c>
      <c r="E634" s="14">
        <f>D634/D640</f>
        <v>0.7539731574684716</v>
      </c>
      <c r="F634">
        <v>99.96</v>
      </c>
      <c r="G634" s="15">
        <f t="shared" ref="G634:G639" si="271">E634*F634</f>
        <v>75.367156820548416</v>
      </c>
      <c r="I634" s="21" t="s">
        <v>25</v>
      </c>
      <c r="J634" s="52">
        <v>3479653.2842502594</v>
      </c>
      <c r="K634" s="14">
        <f>J634/J640</f>
        <v>0.77053685733567234</v>
      </c>
      <c r="L634">
        <v>99.96</v>
      </c>
      <c r="M634" s="15">
        <f t="shared" ref="M634:M639" si="272">K634*L634</f>
        <v>77.022864259273803</v>
      </c>
      <c r="O634" s="38" t="s">
        <v>25</v>
      </c>
      <c r="P634" s="13">
        <v>85621</v>
      </c>
      <c r="Q634" s="14">
        <f>P634/P639</f>
        <v>0.48338216779861004</v>
      </c>
      <c r="R634">
        <v>99.96</v>
      </c>
      <c r="S634" s="40">
        <f t="shared" ref="S634:S637" si="273">Q634*R634</f>
        <v>48.318881493149057</v>
      </c>
      <c r="U634" s="46" t="s">
        <v>25</v>
      </c>
      <c r="V634" s="52">
        <v>3603765000</v>
      </c>
      <c r="W634" s="14">
        <f>V634/V639</f>
        <v>0.7233881583833589</v>
      </c>
      <c r="X634">
        <v>99.96</v>
      </c>
      <c r="Y634" s="48">
        <f t="shared" ref="Y634:Y635" si="274">W634*X634</f>
        <v>72.309880312000558</v>
      </c>
    </row>
    <row r="635" spans="1:25" x14ac:dyDescent="0.35">
      <c r="A635" s="23">
        <v>1299829</v>
      </c>
      <c r="B635" s="2"/>
      <c r="C635" s="21" t="s">
        <v>29</v>
      </c>
      <c r="D635" s="13">
        <v>135280</v>
      </c>
      <c r="E635" s="14">
        <f>D635/D640</f>
        <v>7.8259863473331026E-2</v>
      </c>
      <c r="F635">
        <v>99.86</v>
      </c>
      <c r="G635" s="15">
        <f t="shared" si="271"/>
        <v>7.8150299664468363</v>
      </c>
      <c r="I635" s="21" t="s">
        <v>29</v>
      </c>
      <c r="J635" s="52">
        <v>655732.56193733215</v>
      </c>
      <c r="K635" s="14">
        <f>J635/J640</f>
        <v>0.14520587721047265</v>
      </c>
      <c r="L635">
        <v>99.86</v>
      </c>
      <c r="M635" s="15">
        <f t="shared" si="272"/>
        <v>14.500258898237799</v>
      </c>
      <c r="O635" s="38" t="s">
        <v>29</v>
      </c>
      <c r="P635" s="13">
        <v>3601</v>
      </c>
      <c r="Q635" s="14">
        <f>P635/P639</f>
        <v>2.0329816122712827E-2</v>
      </c>
      <c r="R635">
        <v>99.9</v>
      </c>
      <c r="S635" s="40">
        <f t="shared" si="273"/>
        <v>2.0309486306590117</v>
      </c>
      <c r="U635" s="46" t="s">
        <v>29</v>
      </c>
      <c r="V635" s="52">
        <v>29937000</v>
      </c>
      <c r="W635" s="14">
        <f>V635/V639</f>
        <v>6.0092906439578094E-3</v>
      </c>
      <c r="X635">
        <v>99.87</v>
      </c>
      <c r="Y635" s="48">
        <f t="shared" si="274"/>
        <v>0.60014785661206649</v>
      </c>
    </row>
    <row r="636" spans="1:25" x14ac:dyDescent="0.35">
      <c r="A636" s="23">
        <v>12</v>
      </c>
      <c r="B636" s="2"/>
      <c r="C636" s="21" t="s">
        <v>30</v>
      </c>
      <c r="D636" s="13">
        <v>5745</v>
      </c>
      <c r="E636" s="14">
        <f>D636/D640</f>
        <v>3.3234987851440473E-3</v>
      </c>
      <c r="F636">
        <v>99.96</v>
      </c>
      <c r="G636" s="15">
        <f t="shared" si="271"/>
        <v>0.33221693856299894</v>
      </c>
      <c r="I636" s="21" t="s">
        <v>30</v>
      </c>
      <c r="J636" s="52">
        <v>14157.78929233551</v>
      </c>
      <c r="K636" s="14">
        <f>J636/J640</f>
        <v>3.1351107644873753E-3</v>
      </c>
      <c r="L636">
        <v>99.96</v>
      </c>
      <c r="M636" s="15">
        <f t="shared" si="272"/>
        <v>0.31338567201815803</v>
      </c>
      <c r="O636" s="38" t="s">
        <v>30</v>
      </c>
      <c r="P636" s="13">
        <v>85446</v>
      </c>
      <c r="Q636" s="14">
        <f>P636/P639</f>
        <v>0.48239418728723132</v>
      </c>
      <c r="R636">
        <v>99.96</v>
      </c>
      <c r="S636" s="40">
        <f t="shared" si="273"/>
        <v>48.220122961231638</v>
      </c>
      <c r="U636" s="46" t="s">
        <v>30</v>
      </c>
      <c r="V636" s="52">
        <v>216000</v>
      </c>
      <c r="W636" s="14">
        <f>V636/V639</f>
        <v>4.3357944319567317E-5</v>
      </c>
      <c r="X636">
        <v>99.96</v>
      </c>
      <c r="Y636" s="48">
        <f>W636*X636</f>
        <v>4.3340601141839486E-3</v>
      </c>
    </row>
    <row r="637" spans="1:25" x14ac:dyDescent="0.35">
      <c r="A637" s="23">
        <v>3477</v>
      </c>
      <c r="B637" s="2"/>
      <c r="C637" s="21" t="s">
        <v>31</v>
      </c>
      <c r="D637" s="13">
        <v>198810</v>
      </c>
      <c r="E637" s="14">
        <f>D637/D640</f>
        <v>0.11501214855952795</v>
      </c>
      <c r="F637">
        <v>99.96</v>
      </c>
      <c r="G637" s="15">
        <f t="shared" si="271"/>
        <v>11.496614370010413</v>
      </c>
      <c r="I637" s="21" t="s">
        <v>31</v>
      </c>
      <c r="J637" s="52">
        <v>77483.111008644104</v>
      </c>
      <c r="K637" s="14">
        <f>J637/J640</f>
        <v>1.7157914302388794E-2</v>
      </c>
      <c r="L637">
        <v>99.96</v>
      </c>
      <c r="M637" s="15">
        <f t="shared" si="272"/>
        <v>1.7151051136667839</v>
      </c>
      <c r="O637" s="38" t="s">
        <v>31</v>
      </c>
      <c r="P637" s="13">
        <v>2276</v>
      </c>
      <c r="Q637" s="14">
        <f>P637/P639</f>
        <v>1.2849392250845429E-2</v>
      </c>
      <c r="R637">
        <v>99.96</v>
      </c>
      <c r="S637" s="40">
        <f t="shared" si="273"/>
        <v>1.284425249394509</v>
      </c>
      <c r="U637" s="46" t="s">
        <v>31</v>
      </c>
      <c r="V637" s="52">
        <v>1346361000</v>
      </c>
      <c r="W637" s="14">
        <f>V637/V639</f>
        <v>0.27025669107424527</v>
      </c>
      <c r="X637">
        <v>99.96</v>
      </c>
      <c r="Y637" s="48">
        <f t="shared" ref="Y637" si="275">W637*X637</f>
        <v>27.014858839781557</v>
      </c>
    </row>
    <row r="638" spans="1:25" ht="15" thickBot="1" x14ac:dyDescent="0.4">
      <c r="A638" s="24">
        <f>SUM(A635:A637)</f>
        <v>1303318</v>
      </c>
      <c r="B638" s="2"/>
      <c r="C638" s="21" t="s">
        <v>32</v>
      </c>
      <c r="D638" s="13">
        <v>132</v>
      </c>
      <c r="E638" s="14">
        <f>D638/D640</f>
        <v>7.6362374175633455E-5</v>
      </c>
      <c r="F638">
        <v>99.96</v>
      </c>
      <c r="G638" s="15">
        <f t="shared" si="271"/>
        <v>7.6331829225963193E-3</v>
      </c>
      <c r="I638" s="21" t="s">
        <v>32</v>
      </c>
      <c r="J638" s="52">
        <v>2242.2888126373291</v>
      </c>
      <c r="K638" s="14">
        <f>J638/J640</f>
        <v>4.965340031861179E-4</v>
      </c>
      <c r="L638">
        <v>99.96</v>
      </c>
      <c r="M638" s="15">
        <f t="shared" si="272"/>
        <v>4.9633538958484345E-2</v>
      </c>
      <c r="O638" s="38" t="s">
        <v>33</v>
      </c>
      <c r="P638" s="13">
        <v>185</v>
      </c>
      <c r="Q638" s="14">
        <f>P638/P639</f>
        <v>1.0444365406003535E-3</v>
      </c>
      <c r="R638">
        <v>99.95</v>
      </c>
      <c r="S638" s="40">
        <f>Q638*R638</f>
        <v>0.10439143223300533</v>
      </c>
      <c r="U638" s="46" t="s">
        <v>33</v>
      </c>
      <c r="V638" s="52">
        <v>1507000</v>
      </c>
      <c r="W638" s="14">
        <f>V638/V639</f>
        <v>3.0250195411846273E-4</v>
      </c>
      <c r="X638">
        <v>99.95</v>
      </c>
      <c r="Y638" s="48">
        <f>W638*X638</f>
        <v>3.0235070314140352E-2</v>
      </c>
    </row>
    <row r="639" spans="1:25" ht="15.5" thickTop="1" thickBot="1" x14ac:dyDescent="0.4">
      <c r="B639" s="2"/>
      <c r="C639" s="21" t="s">
        <v>33</v>
      </c>
      <c r="D639" s="13">
        <v>85315</v>
      </c>
      <c r="E639" s="16">
        <f>D639/D640</f>
        <v>4.9354969339349762E-2</v>
      </c>
      <c r="F639">
        <v>99.93</v>
      </c>
      <c r="G639" s="15">
        <f t="shared" si="271"/>
        <v>4.9320420860812222</v>
      </c>
      <c r="I639" s="21" t="s">
        <v>33</v>
      </c>
      <c r="J639" s="52">
        <v>286612.65306091309</v>
      </c>
      <c r="K639" s="16">
        <f>J639/J640</f>
        <v>6.3467706383792677E-2</v>
      </c>
      <c r="L639">
        <v>99.93</v>
      </c>
      <c r="M639" s="15">
        <f t="shared" si="272"/>
        <v>6.3423278989324023</v>
      </c>
      <c r="O639" s="38"/>
      <c r="P639" s="31">
        <f>SUM(P634:P638)</f>
        <v>177129</v>
      </c>
      <c r="Q639" s="32">
        <f>SUM(Q634:Q638)</f>
        <v>1</v>
      </c>
      <c r="R639" s="33">
        <f>AVERAGE(R634:R638)</f>
        <v>99.945999999999998</v>
      </c>
      <c r="S639" s="41">
        <f>SUM(S634:S638)</f>
        <v>99.958769766667217</v>
      </c>
      <c r="U639" s="46"/>
      <c r="V639" s="52">
        <f>SUM(V634:V638)</f>
        <v>4981786000</v>
      </c>
      <c r="W639" s="32">
        <f>SUM(W634:W638)</f>
        <v>1</v>
      </c>
      <c r="X639" s="33">
        <f>AVERAGE(X634:X638)</f>
        <v>99.939999999999984</v>
      </c>
      <c r="Y639" s="58">
        <f>SUM(Y634:Y638)</f>
        <v>99.959456138822503</v>
      </c>
    </row>
    <row r="640" spans="1:25" ht="15" thickBot="1" x14ac:dyDescent="0.4">
      <c r="A640" s="10"/>
      <c r="B640" s="10"/>
      <c r="C640" s="10"/>
      <c r="D640" s="49">
        <f>SUM(D634:D639)</f>
        <v>1728600</v>
      </c>
      <c r="E640" s="50">
        <f>SUM(E634:E639)</f>
        <v>1</v>
      </c>
      <c r="F640" s="51">
        <f>AVERAGE(F634:F639)</f>
        <v>99.938333333333318</v>
      </c>
      <c r="G640" s="26">
        <f>SUM(G634:G639)</f>
        <v>99.950693364572473</v>
      </c>
      <c r="I640" s="10"/>
      <c r="J640" s="49">
        <f>SUM(J634:J639)</f>
        <v>4515881.6883621216</v>
      </c>
      <c r="K640" s="50">
        <f>SUM(K634:K639)</f>
        <v>1</v>
      </c>
      <c r="L640" s="51">
        <f>AVERAGE(L634:L639)</f>
        <v>99.938333333333318</v>
      </c>
      <c r="M640" s="26">
        <f>SUM(M634:M639)</f>
        <v>99.943575381087427</v>
      </c>
      <c r="O640" s="34"/>
      <c r="P640" s="34"/>
      <c r="Q640" s="34"/>
      <c r="R640" s="36"/>
      <c r="S640" s="40"/>
      <c r="U640" s="42"/>
      <c r="V640" s="42"/>
      <c r="W640" s="42"/>
      <c r="X640" s="44"/>
      <c r="Y640" s="45"/>
    </row>
    <row r="641" spans="1:25" ht="15" thickTop="1" x14ac:dyDescent="0.35">
      <c r="A641" s="29" t="s">
        <v>250</v>
      </c>
      <c r="B641" s="28"/>
      <c r="C641" s="28"/>
      <c r="D641" s="28"/>
      <c r="E641" s="28"/>
      <c r="F641" s="28"/>
      <c r="G641" s="28"/>
      <c r="I641" s="28"/>
      <c r="J641" s="28"/>
      <c r="K641" s="28"/>
      <c r="L641" s="28"/>
      <c r="M641" s="28"/>
      <c r="O641" s="28"/>
      <c r="P641" s="28"/>
      <c r="Q641" s="28"/>
      <c r="R641" s="28"/>
      <c r="S641" s="28"/>
      <c r="U641" s="28"/>
      <c r="V641" s="28"/>
      <c r="W641" s="28"/>
      <c r="X641" s="28"/>
      <c r="Y641" s="28"/>
    </row>
    <row r="642" spans="1:25" x14ac:dyDescent="0.35">
      <c r="A642" s="20" t="s">
        <v>251</v>
      </c>
      <c r="B642" s="20"/>
      <c r="C642" s="56" t="s">
        <v>115</v>
      </c>
      <c r="D642" s="11"/>
      <c r="E642" s="11"/>
      <c r="F642" s="11"/>
      <c r="G642" s="30" t="s">
        <v>115</v>
      </c>
      <c r="I642" s="56" t="s">
        <v>115</v>
      </c>
      <c r="J642" s="11"/>
      <c r="K642" s="11"/>
      <c r="L642" s="11"/>
      <c r="M642" s="30" t="s">
        <v>115</v>
      </c>
      <c r="O642" s="55" t="s">
        <v>116</v>
      </c>
      <c r="P642" s="34"/>
      <c r="Q642" s="34"/>
      <c r="R642" s="34"/>
      <c r="S642" s="35" t="s">
        <v>116</v>
      </c>
      <c r="U642" s="57" t="s">
        <v>117</v>
      </c>
      <c r="V642" s="42"/>
      <c r="W642" s="42"/>
      <c r="X642" s="42"/>
      <c r="Y642" s="43" t="s">
        <v>117</v>
      </c>
    </row>
    <row r="643" spans="1:25" ht="15" thickBot="1" x14ac:dyDescent="0.4">
      <c r="A643" s="2"/>
      <c r="B643" s="2"/>
      <c r="C643" s="2"/>
      <c r="D643" s="18" t="s">
        <v>118</v>
      </c>
      <c r="E643" s="19" t="s">
        <v>119</v>
      </c>
      <c r="F643" s="18" t="s">
        <v>120</v>
      </c>
      <c r="G643" s="12" t="s">
        <v>121</v>
      </c>
      <c r="I643" s="2"/>
      <c r="J643" s="18" t="s">
        <v>118</v>
      </c>
      <c r="K643" s="19" t="s">
        <v>119</v>
      </c>
      <c r="L643" s="18" t="s">
        <v>120</v>
      </c>
      <c r="M643" s="12" t="s">
        <v>121</v>
      </c>
      <c r="O643" s="34"/>
      <c r="P643" s="18" t="s">
        <v>118</v>
      </c>
      <c r="Q643" s="19" t="s">
        <v>119</v>
      </c>
      <c r="R643" s="18" t="s">
        <v>120</v>
      </c>
      <c r="S643" s="39" t="s">
        <v>121</v>
      </c>
      <c r="U643" s="42"/>
      <c r="V643" s="18" t="s">
        <v>118</v>
      </c>
      <c r="W643" s="19" t="s">
        <v>119</v>
      </c>
      <c r="X643" s="18" t="s">
        <v>120</v>
      </c>
      <c r="Y643" s="47" t="s">
        <v>121</v>
      </c>
    </row>
    <row r="644" spans="1:25" ht="15" thickTop="1" x14ac:dyDescent="0.35">
      <c r="A644" s="22" t="s">
        <v>122</v>
      </c>
      <c r="B644" s="2"/>
      <c r="C644" s="21" t="s">
        <v>25</v>
      </c>
      <c r="D644" s="23">
        <v>1304096</v>
      </c>
      <c r="E644" s="14">
        <f>D644/D650</f>
        <v>0.7540838382354812</v>
      </c>
      <c r="F644">
        <v>99.95</v>
      </c>
      <c r="G644" s="15">
        <f t="shared" ref="G644:G649" si="276">E644*F644</f>
        <v>75.370679631636349</v>
      </c>
      <c r="I644" s="21" t="s">
        <v>25</v>
      </c>
      <c r="J644" t="s">
        <v>253</v>
      </c>
      <c r="K644" s="14" t="e">
        <f>J644/J650</f>
        <v>#VALUE!</v>
      </c>
      <c r="L644">
        <v>99.95</v>
      </c>
      <c r="M644" s="15" t="e">
        <f t="shared" ref="M644:M649" si="277">K644*L644</f>
        <v>#VALUE!</v>
      </c>
      <c r="O644" s="38" t="s">
        <v>25</v>
      </c>
      <c r="P644" s="13"/>
      <c r="Q644" s="14" t="e">
        <f>P644/P649</f>
        <v>#DIV/0!</v>
      </c>
      <c r="R644">
        <v>99.95</v>
      </c>
      <c r="S644" s="40" t="e">
        <f t="shared" ref="S644:S647" si="278">Q644*R644</f>
        <v>#DIV/0!</v>
      </c>
      <c r="U644" s="46" t="s">
        <v>25</v>
      </c>
      <c r="V644" s="52"/>
      <c r="W644" s="14" t="e">
        <f>V644/V649</f>
        <v>#DIV/0!</v>
      </c>
      <c r="X644">
        <v>99.95</v>
      </c>
      <c r="Y644" s="48" t="e">
        <f t="shared" ref="Y644:Y645" si="279">W644*X644</f>
        <v>#DIV/0!</v>
      </c>
    </row>
    <row r="645" spans="1:25" x14ac:dyDescent="0.35">
      <c r="A645" s="23">
        <v>1304096</v>
      </c>
      <c r="B645" s="2"/>
      <c r="C645" s="21" t="s">
        <v>29</v>
      </c>
      <c r="D645" s="13">
        <v>135421</v>
      </c>
      <c r="E645" s="14">
        <f>D645/D650</f>
        <v>7.8306188699058268E-2</v>
      </c>
      <c r="F645">
        <v>99.89</v>
      </c>
      <c r="G645" s="15">
        <f t="shared" si="276"/>
        <v>7.8220051891489302</v>
      </c>
      <c r="I645" s="21" t="s">
        <v>29</v>
      </c>
      <c r="J645" t="s">
        <v>254</v>
      </c>
      <c r="K645" s="14" t="e">
        <f>J645/J650</f>
        <v>#VALUE!</v>
      </c>
      <c r="L645">
        <v>99.89</v>
      </c>
      <c r="M645" s="15" t="e">
        <f t="shared" si="277"/>
        <v>#VALUE!</v>
      </c>
      <c r="O645" s="38" t="s">
        <v>29</v>
      </c>
      <c r="P645" s="13"/>
      <c r="Q645" s="14" t="e">
        <f>P645/P649</f>
        <v>#DIV/0!</v>
      </c>
      <c r="R645">
        <v>99.89</v>
      </c>
      <c r="S645" s="40" t="e">
        <f t="shared" si="278"/>
        <v>#DIV/0!</v>
      </c>
      <c r="U645" s="46" t="s">
        <v>29</v>
      </c>
      <c r="V645" s="52"/>
      <c r="W645" s="14" t="e">
        <f>V645/V649</f>
        <v>#DIV/0!</v>
      </c>
      <c r="X645">
        <v>99.89</v>
      </c>
      <c r="Y645" s="48" t="e">
        <f t="shared" si="279"/>
        <v>#DIV/0!</v>
      </c>
    </row>
    <row r="646" spans="1:25" x14ac:dyDescent="0.35">
      <c r="A646" s="23">
        <v>12</v>
      </c>
      <c r="B646" s="2"/>
      <c r="C646" s="21" t="s">
        <v>30</v>
      </c>
      <c r="D646" s="13">
        <v>5767</v>
      </c>
      <c r="E646" s="14">
        <f>D646/D650</f>
        <v>3.334724970480716E-3</v>
      </c>
      <c r="F646">
        <v>99.95</v>
      </c>
      <c r="G646" s="15">
        <f t="shared" si="276"/>
        <v>0.3333057607995476</v>
      </c>
      <c r="I646" s="21" t="s">
        <v>30</v>
      </c>
      <c r="J646" t="s">
        <v>255</v>
      </c>
      <c r="K646" s="14" t="e">
        <f>J646/J650</f>
        <v>#VALUE!</v>
      </c>
      <c r="L646">
        <v>99.95</v>
      </c>
      <c r="M646" s="15" t="e">
        <f t="shared" si="277"/>
        <v>#VALUE!</v>
      </c>
      <c r="O646" s="38" t="s">
        <v>30</v>
      </c>
      <c r="P646" s="13"/>
      <c r="Q646" s="14" t="e">
        <f>P646/P649</f>
        <v>#DIV/0!</v>
      </c>
      <c r="R646">
        <v>99.95</v>
      </c>
      <c r="S646" s="40" t="e">
        <f t="shared" si="278"/>
        <v>#DIV/0!</v>
      </c>
      <c r="U646" s="46" t="s">
        <v>30</v>
      </c>
      <c r="V646" s="52"/>
      <c r="W646" s="14" t="e">
        <f>V646/V649</f>
        <v>#DIV/0!</v>
      </c>
      <c r="X646">
        <v>99.95</v>
      </c>
      <c r="Y646" s="48" t="e">
        <f>W646*X646</f>
        <v>#DIV/0!</v>
      </c>
    </row>
    <row r="647" spans="1:25" x14ac:dyDescent="0.35">
      <c r="A647" s="23">
        <v>3477</v>
      </c>
      <c r="B647" s="2"/>
      <c r="C647" s="21" t="s">
        <v>31</v>
      </c>
      <c r="D647" s="13">
        <v>198757</v>
      </c>
      <c r="E647" s="14">
        <f>D647/D650</f>
        <v>0.11492976087356263</v>
      </c>
      <c r="F647">
        <v>99.95</v>
      </c>
      <c r="G647" s="15">
        <f t="shared" si="276"/>
        <v>11.487229599312585</v>
      </c>
      <c r="I647" s="21" t="s">
        <v>31</v>
      </c>
      <c r="J647" t="s">
        <v>256</v>
      </c>
      <c r="K647" s="14" t="e">
        <f>J647/J650</f>
        <v>#VALUE!</v>
      </c>
      <c r="L647">
        <v>99.95</v>
      </c>
      <c r="M647" s="15" t="e">
        <f t="shared" si="277"/>
        <v>#VALUE!</v>
      </c>
      <c r="O647" s="38" t="s">
        <v>31</v>
      </c>
      <c r="P647" s="13"/>
      <c r="Q647" s="14" t="e">
        <f>P647/P649</f>
        <v>#DIV/0!</v>
      </c>
      <c r="R647">
        <v>99.95</v>
      </c>
      <c r="S647" s="40" t="e">
        <f t="shared" si="278"/>
        <v>#DIV/0!</v>
      </c>
      <c r="U647" s="46" t="s">
        <v>31</v>
      </c>
      <c r="V647" s="52"/>
      <c r="W647" s="14" t="e">
        <f>V647/V649</f>
        <v>#DIV/0!</v>
      </c>
      <c r="X647">
        <v>99.95</v>
      </c>
      <c r="Y647" s="48" t="e">
        <f t="shared" ref="Y647" si="280">W647*X647</f>
        <v>#DIV/0!</v>
      </c>
    </row>
    <row r="648" spans="1:25" ht="15" thickBot="1" x14ac:dyDescent="0.4">
      <c r="A648" s="24">
        <f>SUM(A645:A647)</f>
        <v>1307585</v>
      </c>
      <c r="B648" s="2"/>
      <c r="C648" s="21" t="s">
        <v>32</v>
      </c>
      <c r="D648" s="13">
        <v>132</v>
      </c>
      <c r="E648" s="14">
        <f>D648/D650</f>
        <v>7.6328020825984836E-5</v>
      </c>
      <c r="F648">
        <v>99.95</v>
      </c>
      <c r="G648" s="15">
        <f t="shared" si="276"/>
        <v>7.6289856815571844E-3</v>
      </c>
      <c r="I648" s="21" t="s">
        <v>32</v>
      </c>
      <c r="J648" t="s">
        <v>257</v>
      </c>
      <c r="K648" s="14" t="e">
        <f>J648/J650</f>
        <v>#VALUE!</v>
      </c>
      <c r="L648">
        <v>99.95</v>
      </c>
      <c r="M648" s="15" t="e">
        <f t="shared" si="277"/>
        <v>#VALUE!</v>
      </c>
      <c r="O648" s="38" t="s">
        <v>33</v>
      </c>
      <c r="P648" s="13"/>
      <c r="Q648" s="14" t="e">
        <f>P648/P649</f>
        <v>#DIV/0!</v>
      </c>
      <c r="R648">
        <v>99.95</v>
      </c>
      <c r="S648" s="40" t="e">
        <f>Q648*R648</f>
        <v>#DIV/0!</v>
      </c>
      <c r="U648" s="46" t="s">
        <v>33</v>
      </c>
      <c r="V648" s="52"/>
      <c r="W648" s="14" t="e">
        <f>V648/V649</f>
        <v>#DIV/0!</v>
      </c>
      <c r="X648">
        <v>99.93</v>
      </c>
      <c r="Y648" s="48" t="e">
        <f>W648*X648</f>
        <v>#DIV/0!</v>
      </c>
    </row>
    <row r="649" spans="1:25" ht="15.5" thickTop="1" thickBot="1" x14ac:dyDescent="0.4">
      <c r="B649" s="2"/>
      <c r="C649" s="21" t="s">
        <v>33</v>
      </c>
      <c r="D649" s="13">
        <v>85205</v>
      </c>
      <c r="E649" s="16">
        <f>D649/D650</f>
        <v>4.9269159200591196E-2</v>
      </c>
      <c r="F649">
        <v>99.92</v>
      </c>
      <c r="G649" s="15">
        <f t="shared" si="276"/>
        <v>4.9229743873230722</v>
      </c>
      <c r="I649" s="21" t="s">
        <v>33</v>
      </c>
      <c r="J649" t="s">
        <v>258</v>
      </c>
      <c r="K649" s="16" t="e">
        <f>J649/J650</f>
        <v>#VALUE!</v>
      </c>
      <c r="L649">
        <v>99.92</v>
      </c>
      <c r="M649" s="15" t="e">
        <f t="shared" si="277"/>
        <v>#VALUE!</v>
      </c>
      <c r="O649" s="38"/>
      <c r="P649" s="31">
        <f>SUM(P644:P648)</f>
        <v>0</v>
      </c>
      <c r="Q649" s="32" t="e">
        <f>SUM(Q644:Q648)</f>
        <v>#DIV/0!</v>
      </c>
      <c r="R649" s="33">
        <f>AVERAGE(R644:R648)</f>
        <v>99.938000000000002</v>
      </c>
      <c r="S649" s="41" t="e">
        <f>SUM(S644:S648)</f>
        <v>#DIV/0!</v>
      </c>
      <c r="U649" s="46"/>
      <c r="V649" s="52">
        <f>SUM(V644:V648)</f>
        <v>0</v>
      </c>
      <c r="W649" s="32" t="e">
        <f>SUM(W644:W648)</f>
        <v>#DIV/0!</v>
      </c>
      <c r="X649" s="33">
        <f>AVERAGE(X644:X648)</f>
        <v>99.933999999999997</v>
      </c>
      <c r="Y649" s="58" t="e">
        <f>SUM(Y644:Y648)</f>
        <v>#DIV/0!</v>
      </c>
    </row>
    <row r="650" spans="1:25" ht="15" thickBot="1" x14ac:dyDescent="0.4">
      <c r="A650" s="10"/>
      <c r="B650" s="10"/>
      <c r="C650" s="10"/>
      <c r="D650" s="49">
        <f>SUM(D644:D649)</f>
        <v>1729378</v>
      </c>
      <c r="E650" s="50">
        <f>SUM(E644:E649)</f>
        <v>1</v>
      </c>
      <c r="F650" s="51">
        <f>AVERAGE(F644:F649)</f>
        <v>99.935000000000002</v>
      </c>
      <c r="G650" s="26">
        <f>SUM(G644:G649)</f>
        <v>99.943823553902035</v>
      </c>
      <c r="I650" s="10"/>
      <c r="J650" s="49">
        <f>SUM(J644:J649)</f>
        <v>0</v>
      </c>
      <c r="K650" s="50" t="e">
        <f>SUM(K644:K649)</f>
        <v>#VALUE!</v>
      </c>
      <c r="L650" s="51">
        <f>AVERAGE(L644:L649)</f>
        <v>99.935000000000002</v>
      </c>
      <c r="M650" s="26" t="e">
        <f>SUM(M644:M649)</f>
        <v>#VALUE!</v>
      </c>
      <c r="O650" s="34"/>
      <c r="P650" s="34"/>
      <c r="Q650" s="34"/>
      <c r="R650" s="36"/>
      <c r="S650" s="40"/>
      <c r="U650" s="42"/>
      <c r="V650" s="42"/>
      <c r="W650" s="42"/>
      <c r="X650" s="44"/>
      <c r="Y650" s="45"/>
    </row>
    <row r="651" spans="1:25" ht="15" thickTop="1" x14ac:dyDescent="0.35">
      <c r="A651" s="29" t="s">
        <v>252</v>
      </c>
      <c r="B651" s="28"/>
      <c r="C651" s="28"/>
      <c r="D651" s="28"/>
      <c r="E651" s="28"/>
      <c r="F651" s="28"/>
      <c r="G651" s="28"/>
      <c r="I651" s="28"/>
      <c r="J651" s="28"/>
      <c r="K651" s="28"/>
      <c r="L651" s="28"/>
      <c r="M651" s="28"/>
      <c r="O651" s="28"/>
      <c r="P651" s="28"/>
      <c r="Q651" s="28"/>
      <c r="R651" s="28"/>
      <c r="S651" s="28"/>
      <c r="U651" s="28"/>
      <c r="V651" s="28"/>
      <c r="W651" s="28"/>
      <c r="X651" s="28"/>
      <c r="Y651" s="28"/>
    </row>
    <row r="652" spans="1:25" x14ac:dyDescent="0.35">
      <c r="A652" s="20" t="s">
        <v>251</v>
      </c>
      <c r="B652" s="20"/>
      <c r="C652" s="56" t="s">
        <v>115</v>
      </c>
      <c r="D652" s="11"/>
      <c r="E652" s="11"/>
      <c r="F652" s="11"/>
      <c r="G652" s="30" t="s">
        <v>115</v>
      </c>
      <c r="I652" s="56" t="s">
        <v>115</v>
      </c>
      <c r="J652" s="11"/>
      <c r="K652" s="11"/>
      <c r="L652" s="11"/>
      <c r="M652" s="30" t="s">
        <v>115</v>
      </c>
      <c r="O652" s="55" t="s">
        <v>116</v>
      </c>
      <c r="P652" s="34"/>
      <c r="Q652" s="34"/>
      <c r="R652" s="34"/>
      <c r="S652" s="35" t="s">
        <v>116</v>
      </c>
      <c r="U652" s="57" t="s">
        <v>117</v>
      </c>
      <c r="V652" s="42"/>
      <c r="W652" s="42"/>
      <c r="X652" s="42"/>
      <c r="Y652" s="43" t="s">
        <v>117</v>
      </c>
    </row>
    <row r="653" spans="1:25" ht="15" thickBot="1" x14ac:dyDescent="0.4">
      <c r="A653" s="2"/>
      <c r="B653" s="2"/>
      <c r="C653" s="2"/>
      <c r="D653" s="18" t="s">
        <v>118</v>
      </c>
      <c r="E653" s="19" t="s">
        <v>119</v>
      </c>
      <c r="F653" s="18" t="s">
        <v>120</v>
      </c>
      <c r="G653" s="12" t="s">
        <v>121</v>
      </c>
      <c r="I653" s="2"/>
      <c r="J653" s="18" t="s">
        <v>118</v>
      </c>
      <c r="K653" s="19" t="s">
        <v>119</v>
      </c>
      <c r="L653" s="18" t="s">
        <v>120</v>
      </c>
      <c r="M653" s="12" t="s">
        <v>121</v>
      </c>
      <c r="O653" s="34"/>
      <c r="P653" s="18" t="s">
        <v>118</v>
      </c>
      <c r="Q653" s="19" t="s">
        <v>119</v>
      </c>
      <c r="R653" s="18" t="s">
        <v>120</v>
      </c>
      <c r="S653" s="39" t="s">
        <v>121</v>
      </c>
      <c r="U653" s="42"/>
      <c r="V653" s="18" t="s">
        <v>118</v>
      </c>
      <c r="W653" s="19" t="s">
        <v>119</v>
      </c>
      <c r="X653" s="18" t="s">
        <v>120</v>
      </c>
      <c r="Y653" s="47" t="s">
        <v>121</v>
      </c>
    </row>
    <row r="654" spans="1:25" ht="15" thickTop="1" x14ac:dyDescent="0.35">
      <c r="A654" s="22" t="s">
        <v>122</v>
      </c>
      <c r="B654" s="2"/>
      <c r="C654" s="21" t="s">
        <v>25</v>
      </c>
      <c r="D654" s="23">
        <v>1304096</v>
      </c>
      <c r="E654" s="14">
        <f>D654/D660</f>
        <v>0.7540838382354812</v>
      </c>
      <c r="F654">
        <v>99.96</v>
      </c>
      <c r="G654" s="15">
        <f t="shared" ref="G654:G659" si="281">E654*F654</f>
        <v>75.37822047001869</v>
      </c>
      <c r="I654" s="21" t="s">
        <v>25</v>
      </c>
      <c r="J654" s="52"/>
      <c r="K654" s="14" t="e">
        <f>J654/J660</f>
        <v>#DIV/0!</v>
      </c>
      <c r="L654">
        <v>99.96</v>
      </c>
      <c r="M654" s="15" t="e">
        <f t="shared" ref="M654:M659" si="282">K654*L654</f>
        <v>#DIV/0!</v>
      </c>
      <c r="O654" s="38" t="s">
        <v>25</v>
      </c>
      <c r="P654" s="13"/>
      <c r="Q654" s="14" t="e">
        <f>P654/P659</f>
        <v>#DIV/0!</v>
      </c>
      <c r="R654">
        <v>99.96</v>
      </c>
      <c r="S654" s="40" t="e">
        <f t="shared" ref="S654:S657" si="283">Q654*R654</f>
        <v>#DIV/0!</v>
      </c>
      <c r="U654" s="46" t="s">
        <v>25</v>
      </c>
      <c r="V654" s="52"/>
      <c r="W654" s="14" t="e">
        <f>V654/V659</f>
        <v>#DIV/0!</v>
      </c>
      <c r="X654">
        <v>99.96</v>
      </c>
      <c r="Y654" s="48" t="e">
        <f t="shared" ref="Y654:Y655" si="284">W654*X654</f>
        <v>#DIV/0!</v>
      </c>
    </row>
    <row r="655" spans="1:25" x14ac:dyDescent="0.35">
      <c r="A655" s="23">
        <v>1304096</v>
      </c>
      <c r="B655" s="2"/>
      <c r="C655" s="21" t="s">
        <v>29</v>
      </c>
      <c r="D655" s="13">
        <v>135421</v>
      </c>
      <c r="E655" s="14">
        <f>D655/D660</f>
        <v>7.8306188699058268E-2</v>
      </c>
      <c r="F655">
        <v>99.86</v>
      </c>
      <c r="G655" s="15">
        <f t="shared" si="281"/>
        <v>7.8196560034879585</v>
      </c>
      <c r="I655" s="21" t="s">
        <v>29</v>
      </c>
      <c r="J655" s="52"/>
      <c r="K655" s="14" t="e">
        <f>J655/J660</f>
        <v>#DIV/0!</v>
      </c>
      <c r="L655">
        <v>99.86</v>
      </c>
      <c r="M655" s="15" t="e">
        <f t="shared" si="282"/>
        <v>#DIV/0!</v>
      </c>
      <c r="O655" s="38" t="s">
        <v>29</v>
      </c>
      <c r="P655" s="13"/>
      <c r="Q655" s="14" t="e">
        <f>P655/P659</f>
        <v>#DIV/0!</v>
      </c>
      <c r="R655">
        <v>99.9</v>
      </c>
      <c r="S655" s="40" t="e">
        <f t="shared" si="283"/>
        <v>#DIV/0!</v>
      </c>
      <c r="U655" s="46" t="s">
        <v>29</v>
      </c>
      <c r="V655" s="52"/>
      <c r="W655" s="14" t="e">
        <f>V655/V659</f>
        <v>#DIV/0!</v>
      </c>
      <c r="X655">
        <v>99.87</v>
      </c>
      <c r="Y655" s="48" t="e">
        <f t="shared" si="284"/>
        <v>#DIV/0!</v>
      </c>
    </row>
    <row r="656" spans="1:25" x14ac:dyDescent="0.35">
      <c r="A656" s="23">
        <v>12</v>
      </c>
      <c r="B656" s="2"/>
      <c r="C656" s="21" t="s">
        <v>30</v>
      </c>
      <c r="D656" s="13">
        <v>5767</v>
      </c>
      <c r="E656" s="14">
        <f>D656/D660</f>
        <v>3.334724970480716E-3</v>
      </c>
      <c r="F656">
        <v>99.96</v>
      </c>
      <c r="G656" s="15">
        <f t="shared" si="281"/>
        <v>0.33333910804925238</v>
      </c>
      <c r="I656" s="21" t="s">
        <v>30</v>
      </c>
      <c r="J656" s="52"/>
      <c r="K656" s="14" t="e">
        <f>J656/J660</f>
        <v>#DIV/0!</v>
      </c>
      <c r="L656">
        <v>99.96</v>
      </c>
      <c r="M656" s="15" t="e">
        <f t="shared" si="282"/>
        <v>#DIV/0!</v>
      </c>
      <c r="O656" s="38" t="s">
        <v>30</v>
      </c>
      <c r="P656" s="13"/>
      <c r="Q656" s="14" t="e">
        <f>P656/P659</f>
        <v>#DIV/0!</v>
      </c>
      <c r="R656">
        <v>99.96</v>
      </c>
      <c r="S656" s="40" t="e">
        <f t="shared" si="283"/>
        <v>#DIV/0!</v>
      </c>
      <c r="U656" s="46" t="s">
        <v>30</v>
      </c>
      <c r="V656" s="52"/>
      <c r="W656" s="14" t="e">
        <f>V656/V659</f>
        <v>#DIV/0!</v>
      </c>
      <c r="X656">
        <v>99.96</v>
      </c>
      <c r="Y656" s="48" t="e">
        <f>W656*X656</f>
        <v>#DIV/0!</v>
      </c>
    </row>
    <row r="657" spans="1:25" x14ac:dyDescent="0.35">
      <c r="A657" s="23">
        <v>3477</v>
      </c>
      <c r="B657" s="2"/>
      <c r="C657" s="21" t="s">
        <v>31</v>
      </c>
      <c r="D657" s="13">
        <v>198757</v>
      </c>
      <c r="E657" s="14">
        <f>D657/D660</f>
        <v>0.11492976087356263</v>
      </c>
      <c r="F657">
        <v>99.96</v>
      </c>
      <c r="G657" s="15">
        <f t="shared" si="281"/>
        <v>11.48837889692132</v>
      </c>
      <c r="I657" s="21" t="s">
        <v>31</v>
      </c>
      <c r="J657" s="52"/>
      <c r="K657" s="14" t="e">
        <f>J657/J660</f>
        <v>#DIV/0!</v>
      </c>
      <c r="L657">
        <v>99.96</v>
      </c>
      <c r="M657" s="15" t="e">
        <f t="shared" si="282"/>
        <v>#DIV/0!</v>
      </c>
      <c r="O657" s="38" t="s">
        <v>31</v>
      </c>
      <c r="P657" s="13"/>
      <c r="Q657" s="14" t="e">
        <f>P657/P659</f>
        <v>#DIV/0!</v>
      </c>
      <c r="R657">
        <v>99.96</v>
      </c>
      <c r="S657" s="40" t="e">
        <f t="shared" si="283"/>
        <v>#DIV/0!</v>
      </c>
      <c r="U657" s="46" t="s">
        <v>31</v>
      </c>
      <c r="V657" s="52"/>
      <c r="W657" s="14" t="e">
        <f>V657/V659</f>
        <v>#DIV/0!</v>
      </c>
      <c r="X657">
        <v>99.96</v>
      </c>
      <c r="Y657" s="48" t="e">
        <f t="shared" ref="Y657" si="285">W657*X657</f>
        <v>#DIV/0!</v>
      </c>
    </row>
    <row r="658" spans="1:25" ht="15" thickBot="1" x14ac:dyDescent="0.4">
      <c r="A658" s="24">
        <f>SUM(A655:A657)</f>
        <v>1307585</v>
      </c>
      <c r="B658" s="2"/>
      <c r="C658" s="21" t="s">
        <v>32</v>
      </c>
      <c r="D658" s="13">
        <v>132</v>
      </c>
      <c r="E658" s="14">
        <f>D658/D660</f>
        <v>7.6328020825984836E-5</v>
      </c>
      <c r="F658">
        <v>99.96</v>
      </c>
      <c r="G658" s="15">
        <f t="shared" si="281"/>
        <v>7.6297489617654438E-3</v>
      </c>
      <c r="I658" s="21" t="s">
        <v>32</v>
      </c>
      <c r="J658" s="52"/>
      <c r="K658" s="14" t="e">
        <f>J658/J660</f>
        <v>#DIV/0!</v>
      </c>
      <c r="L658">
        <v>99.96</v>
      </c>
      <c r="M658" s="15" t="e">
        <f t="shared" si="282"/>
        <v>#DIV/0!</v>
      </c>
      <c r="O658" s="38" t="s">
        <v>33</v>
      </c>
      <c r="P658" s="13"/>
      <c r="Q658" s="14" t="e">
        <f>P658/P659</f>
        <v>#DIV/0!</v>
      </c>
      <c r="R658">
        <v>99.95</v>
      </c>
      <c r="S658" s="40" t="e">
        <f>Q658*R658</f>
        <v>#DIV/0!</v>
      </c>
      <c r="U658" s="46" t="s">
        <v>33</v>
      </c>
      <c r="V658" s="52"/>
      <c r="W658" s="14" t="e">
        <f>V658/V659</f>
        <v>#DIV/0!</v>
      </c>
      <c r="X658">
        <v>99.95</v>
      </c>
      <c r="Y658" s="48" t="e">
        <f>W658*X658</f>
        <v>#DIV/0!</v>
      </c>
    </row>
    <row r="659" spans="1:25" ht="15.5" thickTop="1" thickBot="1" x14ac:dyDescent="0.4">
      <c r="B659" s="2"/>
      <c r="C659" s="21" t="s">
        <v>33</v>
      </c>
      <c r="D659" s="13">
        <v>85205</v>
      </c>
      <c r="E659" s="16">
        <f>D659/D660</f>
        <v>4.9269159200591196E-2</v>
      </c>
      <c r="F659">
        <v>99.93</v>
      </c>
      <c r="G659" s="15">
        <f t="shared" si="281"/>
        <v>4.9234670789150785</v>
      </c>
      <c r="I659" s="21" t="s">
        <v>33</v>
      </c>
      <c r="J659" s="52"/>
      <c r="K659" s="16" t="e">
        <f>J659/J660</f>
        <v>#DIV/0!</v>
      </c>
      <c r="L659">
        <v>99.93</v>
      </c>
      <c r="M659" s="15" t="e">
        <f t="shared" si="282"/>
        <v>#DIV/0!</v>
      </c>
      <c r="O659" s="38"/>
      <c r="P659" s="31">
        <f>SUM(P654:P658)</f>
        <v>0</v>
      </c>
      <c r="Q659" s="32" t="e">
        <f>SUM(Q654:Q658)</f>
        <v>#DIV/0!</v>
      </c>
      <c r="R659" s="33">
        <f>AVERAGE(R654:R658)</f>
        <v>99.945999999999998</v>
      </c>
      <c r="S659" s="41" t="e">
        <f>SUM(S654:S658)</f>
        <v>#DIV/0!</v>
      </c>
      <c r="U659" s="46"/>
      <c r="V659" s="52">
        <f>SUM(V654:V658)</f>
        <v>0</v>
      </c>
      <c r="W659" s="32" t="e">
        <f>SUM(W654:W658)</f>
        <v>#DIV/0!</v>
      </c>
      <c r="X659" s="33">
        <f>AVERAGE(X654:X658)</f>
        <v>99.939999999999984</v>
      </c>
      <c r="Y659" s="58" t="e">
        <f>SUM(Y654:Y658)</f>
        <v>#DIV/0!</v>
      </c>
    </row>
    <row r="660" spans="1:25" ht="15" thickBot="1" x14ac:dyDescent="0.4">
      <c r="A660" s="10"/>
      <c r="B660" s="10"/>
      <c r="C660" s="10"/>
      <c r="D660" s="49">
        <f>SUM(D654:D659)</f>
        <v>1729378</v>
      </c>
      <c r="E660" s="50">
        <f>SUM(E654:E659)</f>
        <v>1</v>
      </c>
      <c r="F660" s="51">
        <f>AVERAGE(F654:F659)</f>
        <v>99.938333333333318</v>
      </c>
      <c r="G660" s="26">
        <f>SUM(G654:G659)</f>
        <v>99.950691306354074</v>
      </c>
      <c r="I660" s="10"/>
      <c r="J660" s="49">
        <f>SUM(J654:J659)</f>
        <v>0</v>
      </c>
      <c r="K660" s="50" t="e">
        <f>SUM(K654:K659)</f>
        <v>#DIV/0!</v>
      </c>
      <c r="L660" s="51">
        <f>AVERAGE(L654:L659)</f>
        <v>99.938333333333318</v>
      </c>
      <c r="M660" s="26" t="e">
        <f>SUM(M654:M659)</f>
        <v>#DIV/0!</v>
      </c>
      <c r="O660" s="34"/>
      <c r="P660" s="34"/>
      <c r="Q660" s="34"/>
      <c r="R660" s="36"/>
      <c r="S660" s="40"/>
      <c r="U660" s="42"/>
      <c r="V660" s="42"/>
      <c r="W660" s="42"/>
      <c r="X660" s="44"/>
      <c r="Y660" s="45"/>
    </row>
    <row r="661" spans="1:25" ht="15" thickTop="1" x14ac:dyDescent="0.35">
      <c r="A661" s="29" t="s">
        <v>259</v>
      </c>
      <c r="B661" s="28"/>
      <c r="C661" s="28"/>
      <c r="D661" s="28"/>
      <c r="E661" s="28"/>
      <c r="F661" s="28"/>
      <c r="G661" s="28"/>
      <c r="I661" s="28"/>
      <c r="J661" s="28"/>
      <c r="K661" s="28"/>
      <c r="L661" s="28"/>
      <c r="M661" s="28"/>
      <c r="O661" s="28"/>
      <c r="P661" s="28"/>
      <c r="Q661" s="28"/>
      <c r="R661" s="28"/>
      <c r="S661" s="28"/>
      <c r="U661" s="28"/>
      <c r="V661" s="28"/>
      <c r="W661" s="28"/>
      <c r="X661" s="28"/>
      <c r="Y661" s="28"/>
    </row>
    <row r="662" spans="1:25" x14ac:dyDescent="0.35">
      <c r="A662" s="20" t="s">
        <v>260</v>
      </c>
      <c r="B662" s="20"/>
      <c r="C662" s="56" t="s">
        <v>115</v>
      </c>
      <c r="D662" s="11"/>
      <c r="E662" s="11"/>
      <c r="F662" s="11"/>
      <c r="G662" s="30" t="s">
        <v>115</v>
      </c>
      <c r="I662" s="56" t="s">
        <v>115</v>
      </c>
      <c r="J662" s="11"/>
      <c r="K662" s="11"/>
      <c r="L662" s="11"/>
      <c r="M662" s="30" t="s">
        <v>115</v>
      </c>
      <c r="O662" s="55" t="s">
        <v>116</v>
      </c>
      <c r="P662" s="34"/>
      <c r="Q662" s="34"/>
      <c r="R662" s="34"/>
      <c r="S662" s="35" t="s">
        <v>116</v>
      </c>
      <c r="U662" s="57" t="s">
        <v>117</v>
      </c>
      <c r="V662" s="42"/>
      <c r="W662" s="42"/>
      <c r="X662" s="42"/>
      <c r="Y662" s="43" t="s">
        <v>117</v>
      </c>
    </row>
    <row r="663" spans="1:25" ht="15" thickBot="1" x14ac:dyDescent="0.4">
      <c r="A663" s="2"/>
      <c r="B663" s="2"/>
      <c r="C663" s="2"/>
      <c r="D663" s="18" t="s">
        <v>118</v>
      </c>
      <c r="E663" s="19" t="s">
        <v>119</v>
      </c>
      <c r="F663" s="18" t="s">
        <v>120</v>
      </c>
      <c r="G663" s="12" t="s">
        <v>121</v>
      </c>
      <c r="I663" s="2"/>
      <c r="J663" s="18" t="s">
        <v>118</v>
      </c>
      <c r="K663" s="19" t="s">
        <v>119</v>
      </c>
      <c r="L663" s="18" t="s">
        <v>120</v>
      </c>
      <c r="M663" s="12" t="s">
        <v>121</v>
      </c>
      <c r="O663" s="34"/>
      <c r="P663" s="18" t="s">
        <v>118</v>
      </c>
      <c r="Q663" s="19" t="s">
        <v>119</v>
      </c>
      <c r="R663" s="18" t="s">
        <v>120</v>
      </c>
      <c r="S663" s="39" t="s">
        <v>121</v>
      </c>
      <c r="U663" s="42"/>
      <c r="V663" s="18" t="s">
        <v>118</v>
      </c>
      <c r="W663" s="19" t="s">
        <v>119</v>
      </c>
      <c r="X663" s="18" t="s">
        <v>120</v>
      </c>
      <c r="Y663" s="47" t="s">
        <v>121</v>
      </c>
    </row>
    <row r="664" spans="1:25" ht="15" thickTop="1" x14ac:dyDescent="0.35">
      <c r="A664" s="22" t="s">
        <v>122</v>
      </c>
      <c r="B664" s="2"/>
      <c r="C664" s="21" t="s">
        <v>25</v>
      </c>
      <c r="D664" s="23">
        <v>1315275</v>
      </c>
      <c r="E664" s="14">
        <f>D664/D670</f>
        <v>0.75647948816313992</v>
      </c>
      <c r="F664">
        <v>99.96</v>
      </c>
      <c r="G664" s="15">
        <f t="shared" ref="G664:G669" si="286">E664*F664</f>
        <v>75.61768963678746</v>
      </c>
      <c r="I664" s="21" t="s">
        <v>25</v>
      </c>
      <c r="J664" t="s">
        <v>262</v>
      </c>
      <c r="K664" s="14" t="e">
        <f>J664/J670</f>
        <v>#VALUE!</v>
      </c>
      <c r="L664">
        <v>99.96</v>
      </c>
      <c r="M664" s="15" t="e">
        <f t="shared" ref="M664:M669" si="287">K664*L664</f>
        <v>#VALUE!</v>
      </c>
      <c r="O664" s="38" t="s">
        <v>25</v>
      </c>
      <c r="P664" s="13"/>
      <c r="Q664" s="14" t="e">
        <f>P664/P669</f>
        <v>#DIV/0!</v>
      </c>
      <c r="R664">
        <v>99.95</v>
      </c>
      <c r="S664" s="40" t="e">
        <f t="shared" ref="S664:S667" si="288">Q664*R664</f>
        <v>#DIV/0!</v>
      </c>
      <c r="U664" s="46" t="s">
        <v>25</v>
      </c>
      <c r="V664" s="52"/>
      <c r="W664" s="14" t="e">
        <f>V664/V669</f>
        <v>#DIV/0!</v>
      </c>
      <c r="X664">
        <v>99.95</v>
      </c>
      <c r="Y664" s="48" t="e">
        <f t="shared" ref="Y664:Y665" si="289">W664*X664</f>
        <v>#DIV/0!</v>
      </c>
    </row>
    <row r="665" spans="1:25" x14ac:dyDescent="0.35">
      <c r="A665" s="23">
        <v>1311786</v>
      </c>
      <c r="B665" s="2"/>
      <c r="C665" s="21" t="s">
        <v>29</v>
      </c>
      <c r="D665" s="13">
        <v>135539</v>
      </c>
      <c r="E665" s="14">
        <f>D665/D670</f>
        <v>7.7955160210711694E-2</v>
      </c>
      <c r="F665">
        <v>99.89</v>
      </c>
      <c r="G665" s="15">
        <f t="shared" si="286"/>
        <v>7.7869409534479912</v>
      </c>
      <c r="I665" s="21" t="s">
        <v>29</v>
      </c>
      <c r="J665" t="s">
        <v>263</v>
      </c>
      <c r="K665" s="14" t="e">
        <f>J665/J670</f>
        <v>#VALUE!</v>
      </c>
      <c r="L665">
        <v>99.89</v>
      </c>
      <c r="M665" s="15" t="e">
        <f t="shared" si="287"/>
        <v>#VALUE!</v>
      </c>
      <c r="O665" s="38" t="s">
        <v>29</v>
      </c>
      <c r="P665" s="13"/>
      <c r="Q665" s="14" t="e">
        <f>P665/P669</f>
        <v>#DIV/0!</v>
      </c>
      <c r="R665">
        <v>99.89</v>
      </c>
      <c r="S665" s="40" t="e">
        <f t="shared" si="288"/>
        <v>#DIV/0!</v>
      </c>
      <c r="U665" s="46" t="s">
        <v>29</v>
      </c>
      <c r="V665" s="52"/>
      <c r="W665" s="14" t="e">
        <f>V665/V669</f>
        <v>#DIV/0!</v>
      </c>
      <c r="X665">
        <v>99.89</v>
      </c>
      <c r="Y665" s="48" t="e">
        <f t="shared" si="289"/>
        <v>#DIV/0!</v>
      </c>
    </row>
    <row r="666" spans="1:25" x14ac:dyDescent="0.35">
      <c r="A666" s="23">
        <v>12</v>
      </c>
      <c r="B666" s="2"/>
      <c r="C666" s="21" t="s">
        <v>30</v>
      </c>
      <c r="D666" s="13">
        <v>5781</v>
      </c>
      <c r="E666" s="14">
        <f>D666/D670</f>
        <v>3.324938070799728E-3</v>
      </c>
      <c r="F666">
        <v>99.96</v>
      </c>
      <c r="G666" s="15">
        <f t="shared" si="286"/>
        <v>0.33236080955714081</v>
      </c>
      <c r="I666" s="21" t="s">
        <v>30</v>
      </c>
      <c r="J666" t="s">
        <v>264</v>
      </c>
      <c r="K666" s="14" t="e">
        <f>J666/J670</f>
        <v>#VALUE!</v>
      </c>
      <c r="L666">
        <v>99.96</v>
      </c>
      <c r="M666" s="15" t="e">
        <f t="shared" si="287"/>
        <v>#VALUE!</v>
      </c>
      <c r="O666" s="38" t="s">
        <v>30</v>
      </c>
      <c r="P666" s="13"/>
      <c r="Q666" s="14" t="e">
        <f>P666/P669</f>
        <v>#DIV/0!</v>
      </c>
      <c r="R666">
        <v>99.95</v>
      </c>
      <c r="S666" s="40" t="e">
        <f t="shared" si="288"/>
        <v>#DIV/0!</v>
      </c>
      <c r="U666" s="46" t="s">
        <v>30</v>
      </c>
      <c r="V666" s="52"/>
      <c r="W666" s="14" t="e">
        <f>V666/V669</f>
        <v>#DIV/0!</v>
      </c>
      <c r="X666">
        <v>99.95</v>
      </c>
      <c r="Y666" s="48" t="e">
        <f>W666*X666</f>
        <v>#DIV/0!</v>
      </c>
    </row>
    <row r="667" spans="1:25" x14ac:dyDescent="0.35">
      <c r="A667" s="23">
        <v>3477</v>
      </c>
      <c r="B667" s="2"/>
      <c r="C667" s="21" t="s">
        <v>31</v>
      </c>
      <c r="D667" s="13">
        <v>198024</v>
      </c>
      <c r="E667" s="14">
        <f>D667/D670</f>
        <v>0.11389336386992653</v>
      </c>
      <c r="F667">
        <v>99.96</v>
      </c>
      <c r="G667" s="15">
        <f t="shared" si="286"/>
        <v>11.384780652437856</v>
      </c>
      <c r="I667" s="21" t="s">
        <v>31</v>
      </c>
      <c r="J667" t="s">
        <v>265</v>
      </c>
      <c r="K667" s="14" t="e">
        <f>J667/J670</f>
        <v>#VALUE!</v>
      </c>
      <c r="L667">
        <v>99.96</v>
      </c>
      <c r="M667" s="15" t="e">
        <f t="shared" si="287"/>
        <v>#VALUE!</v>
      </c>
      <c r="O667" s="38" t="s">
        <v>31</v>
      </c>
      <c r="P667" s="13"/>
      <c r="Q667" s="14" t="e">
        <f>P667/P669</f>
        <v>#DIV/0!</v>
      </c>
      <c r="R667">
        <v>99.95</v>
      </c>
      <c r="S667" s="40" t="e">
        <f t="shared" si="288"/>
        <v>#DIV/0!</v>
      </c>
      <c r="U667" s="46" t="s">
        <v>31</v>
      </c>
      <c r="V667" s="52"/>
      <c r="W667" s="14" t="e">
        <f>V667/V669</f>
        <v>#DIV/0!</v>
      </c>
      <c r="X667">
        <v>99.95</v>
      </c>
      <c r="Y667" s="48" t="e">
        <f t="shared" ref="Y667" si="290">W667*X667</f>
        <v>#DIV/0!</v>
      </c>
    </row>
    <row r="668" spans="1:25" ht="15" thickBot="1" x14ac:dyDescent="0.4">
      <c r="A668" s="24">
        <f>SUM(A665:A667)</f>
        <v>1315275</v>
      </c>
      <c r="B668" s="2"/>
      <c r="C668" s="21" t="s">
        <v>32</v>
      </c>
      <c r="D668" s="13">
        <v>132</v>
      </c>
      <c r="E668" s="14">
        <f>D668/D670</f>
        <v>7.5919706857907645E-5</v>
      </c>
      <c r="F668">
        <v>99.96</v>
      </c>
      <c r="G668" s="15">
        <f t="shared" si="286"/>
        <v>7.5889338975164474E-3</v>
      </c>
      <c r="I668" s="21" t="s">
        <v>32</v>
      </c>
      <c r="J668" t="s">
        <v>266</v>
      </c>
      <c r="K668" s="14" t="e">
        <f>J668/J670</f>
        <v>#VALUE!</v>
      </c>
      <c r="L668">
        <v>99.96</v>
      </c>
      <c r="M668" s="15" t="e">
        <f t="shared" si="287"/>
        <v>#VALUE!</v>
      </c>
      <c r="O668" s="38" t="s">
        <v>33</v>
      </c>
      <c r="P668" s="13"/>
      <c r="Q668" s="14" t="e">
        <f>P668/P669</f>
        <v>#DIV/0!</v>
      </c>
      <c r="R668">
        <v>99.94</v>
      </c>
      <c r="S668" s="40" t="e">
        <f>Q668*R668</f>
        <v>#DIV/0!</v>
      </c>
      <c r="U668" s="46" t="s">
        <v>33</v>
      </c>
      <c r="V668" s="52"/>
      <c r="W668" s="14" t="e">
        <f>V668/V669</f>
        <v>#DIV/0!</v>
      </c>
      <c r="X668">
        <v>99.94</v>
      </c>
      <c r="Y668" s="48" t="e">
        <f>W668*X668</f>
        <v>#DIV/0!</v>
      </c>
    </row>
    <row r="669" spans="1:25" ht="15.5" thickTop="1" thickBot="1" x14ac:dyDescent="0.4">
      <c r="B669" s="2"/>
      <c r="C669" s="21" t="s">
        <v>33</v>
      </c>
      <c r="D669" s="13">
        <v>83928</v>
      </c>
      <c r="E669" s="16">
        <f>D669/D670</f>
        <v>4.8271129978564184E-2</v>
      </c>
      <c r="F669">
        <v>99.93</v>
      </c>
      <c r="G669" s="15">
        <f t="shared" si="286"/>
        <v>4.8237340187579196</v>
      </c>
      <c r="I669" s="21" t="s">
        <v>33</v>
      </c>
      <c r="J669" t="s">
        <v>267</v>
      </c>
      <c r="K669" s="16" t="e">
        <f>J669/J670</f>
        <v>#VALUE!</v>
      </c>
      <c r="L669">
        <v>99.93</v>
      </c>
      <c r="M669" s="15" t="e">
        <f t="shared" si="287"/>
        <v>#VALUE!</v>
      </c>
      <c r="O669" s="38"/>
      <c r="P669" s="31">
        <f>SUM(P664:P668)</f>
        <v>0</v>
      </c>
      <c r="Q669" s="32" t="e">
        <f>SUM(Q664:Q668)</f>
        <v>#DIV/0!</v>
      </c>
      <c r="R669" s="33">
        <f>AVERAGE(R664:R668)</f>
        <v>99.936000000000007</v>
      </c>
      <c r="S669" s="41" t="e">
        <f>SUM(S664:S668)</f>
        <v>#DIV/0!</v>
      </c>
      <c r="U669" s="46"/>
      <c r="V669" s="52">
        <f>SUM(V664:V668)</f>
        <v>0</v>
      </c>
      <c r="W669" s="32" t="e">
        <f>SUM(W664:W668)</f>
        <v>#DIV/0!</v>
      </c>
      <c r="X669" s="33">
        <f>AVERAGE(X664:X668)</f>
        <v>99.936000000000007</v>
      </c>
      <c r="Y669" s="58" t="e">
        <f>SUM(Y664:Y668)</f>
        <v>#DIV/0!</v>
      </c>
    </row>
    <row r="670" spans="1:25" ht="15" thickBot="1" x14ac:dyDescent="0.4">
      <c r="A670" s="10"/>
      <c r="B670" s="10"/>
      <c r="C670" s="10"/>
      <c r="D670" s="49">
        <f>SUM(D664:D669)</f>
        <v>1738679</v>
      </c>
      <c r="E670" s="50">
        <f>SUM(E664:E669)</f>
        <v>1</v>
      </c>
      <c r="F670" s="51">
        <f>AVERAGE(F664:F669)</f>
        <v>99.943333333333328</v>
      </c>
      <c r="G670" s="26">
        <f>SUM(G664:G669)</f>
        <v>99.953095004885895</v>
      </c>
      <c r="I670" s="10"/>
      <c r="J670" s="49">
        <f>SUM(J664:J669)</f>
        <v>0</v>
      </c>
      <c r="K670" s="50" t="e">
        <f>SUM(K664:K669)</f>
        <v>#VALUE!</v>
      </c>
      <c r="L670" s="51">
        <f>AVERAGE(L664:L669)</f>
        <v>99.943333333333328</v>
      </c>
      <c r="M670" s="26" t="e">
        <f>SUM(M664:M669)</f>
        <v>#VALUE!</v>
      </c>
      <c r="O670" s="34"/>
      <c r="P670" s="34"/>
      <c r="Q670" s="34"/>
      <c r="R670" s="36"/>
      <c r="S670" s="40"/>
      <c r="U670" s="42"/>
      <c r="V670" s="42"/>
      <c r="W670" s="42"/>
      <c r="X670" s="44"/>
      <c r="Y670" s="45"/>
    </row>
    <row r="671" spans="1:25" ht="15" thickTop="1" x14ac:dyDescent="0.35">
      <c r="A671" s="29" t="s">
        <v>261</v>
      </c>
      <c r="B671" s="28"/>
      <c r="C671" s="28"/>
      <c r="D671" s="28"/>
      <c r="E671" s="28"/>
      <c r="F671" s="28"/>
      <c r="G671" s="28"/>
      <c r="I671" s="28"/>
      <c r="J671" s="28"/>
      <c r="K671" s="28"/>
      <c r="L671" s="28"/>
      <c r="M671" s="28"/>
      <c r="O671" s="28"/>
      <c r="P671" s="28"/>
      <c r="Q671" s="28"/>
      <c r="R671" s="28"/>
      <c r="S671" s="28"/>
      <c r="U671" s="28"/>
      <c r="V671" s="28"/>
      <c r="W671" s="28"/>
      <c r="X671" s="28"/>
      <c r="Y671" s="28"/>
    </row>
    <row r="672" spans="1:25" x14ac:dyDescent="0.35">
      <c r="A672" s="20" t="s">
        <v>260</v>
      </c>
      <c r="B672" s="20"/>
      <c r="C672" s="56" t="s">
        <v>115</v>
      </c>
      <c r="D672" s="11"/>
      <c r="E672" s="11"/>
      <c r="F672" s="11"/>
      <c r="G672" s="30" t="s">
        <v>115</v>
      </c>
      <c r="I672" s="56" t="s">
        <v>115</v>
      </c>
      <c r="J672" s="11"/>
      <c r="K672" s="11"/>
      <c r="L672" s="11"/>
      <c r="M672" s="30" t="s">
        <v>115</v>
      </c>
      <c r="O672" s="55" t="s">
        <v>116</v>
      </c>
      <c r="P672" s="34"/>
      <c r="Q672" s="34"/>
      <c r="R672" s="34"/>
      <c r="S672" s="35" t="s">
        <v>116</v>
      </c>
      <c r="U672" s="57" t="s">
        <v>117</v>
      </c>
      <c r="V672" s="42"/>
      <c r="W672" s="42"/>
      <c r="X672" s="42"/>
      <c r="Y672" s="43" t="s">
        <v>117</v>
      </c>
    </row>
    <row r="673" spans="1:25" ht="15" thickBot="1" x14ac:dyDescent="0.4">
      <c r="A673" s="2"/>
      <c r="B673" s="2"/>
      <c r="C673" s="2"/>
      <c r="D673" s="18" t="s">
        <v>118</v>
      </c>
      <c r="E673" s="19" t="s">
        <v>119</v>
      </c>
      <c r="F673" s="18" t="s">
        <v>120</v>
      </c>
      <c r="G673" s="12" t="s">
        <v>121</v>
      </c>
      <c r="I673" s="2"/>
      <c r="J673" s="18" t="s">
        <v>118</v>
      </c>
      <c r="K673" s="19" t="s">
        <v>119</v>
      </c>
      <c r="L673" s="18" t="s">
        <v>120</v>
      </c>
      <c r="M673" s="12" t="s">
        <v>121</v>
      </c>
      <c r="O673" s="34"/>
      <c r="P673" s="18" t="s">
        <v>118</v>
      </c>
      <c r="Q673" s="19" t="s">
        <v>119</v>
      </c>
      <c r="R673" s="18" t="s">
        <v>120</v>
      </c>
      <c r="S673" s="39" t="s">
        <v>121</v>
      </c>
      <c r="U673" s="42"/>
      <c r="V673" s="18" t="s">
        <v>118</v>
      </c>
      <c r="W673" s="19" t="s">
        <v>119</v>
      </c>
      <c r="X673" s="18" t="s">
        <v>120</v>
      </c>
      <c r="Y673" s="47" t="s">
        <v>121</v>
      </c>
    </row>
    <row r="674" spans="1:25" ht="15" thickTop="1" x14ac:dyDescent="0.35">
      <c r="A674" s="22" t="s">
        <v>122</v>
      </c>
      <c r="B674" s="2"/>
      <c r="C674" s="21" t="s">
        <v>25</v>
      </c>
      <c r="D674" s="23">
        <v>1315275</v>
      </c>
      <c r="E674" s="14">
        <f>D674/D680</f>
        <v>0.75647948816313992</v>
      </c>
      <c r="F674">
        <v>99.96</v>
      </c>
      <c r="G674" s="15">
        <f t="shared" ref="G674:G679" si="291">E674*F674</f>
        <v>75.61768963678746</v>
      </c>
      <c r="I674" s="21" t="s">
        <v>25</v>
      </c>
      <c r="J674" s="52"/>
      <c r="K674" s="14" t="e">
        <f>J674/J680</f>
        <v>#DIV/0!</v>
      </c>
      <c r="L674">
        <v>99.96</v>
      </c>
      <c r="M674" s="15" t="e">
        <f t="shared" ref="M674:M679" si="292">K674*L674</f>
        <v>#DIV/0!</v>
      </c>
      <c r="O674" s="38" t="s">
        <v>25</v>
      </c>
      <c r="P674" s="13"/>
      <c r="Q674" s="14" t="e">
        <f>P674/P679</f>
        <v>#DIV/0!</v>
      </c>
      <c r="R674">
        <v>99.96</v>
      </c>
      <c r="S674" s="40" t="e">
        <f t="shared" ref="S674:S677" si="293">Q674*R674</f>
        <v>#DIV/0!</v>
      </c>
      <c r="U674" s="46" t="s">
        <v>25</v>
      </c>
      <c r="V674" s="52"/>
      <c r="W674" s="14" t="e">
        <f>V674/V679</f>
        <v>#DIV/0!</v>
      </c>
      <c r="X674">
        <v>99.96</v>
      </c>
      <c r="Y674" s="48" t="e">
        <f t="shared" ref="Y674:Y675" si="294">W674*X674</f>
        <v>#DIV/0!</v>
      </c>
    </row>
    <row r="675" spans="1:25" x14ac:dyDescent="0.35">
      <c r="A675" s="23">
        <v>1311786</v>
      </c>
      <c r="B675" s="2"/>
      <c r="C675" s="21" t="s">
        <v>29</v>
      </c>
      <c r="D675" s="13">
        <v>135539</v>
      </c>
      <c r="E675" s="14">
        <f>D675/D680</f>
        <v>7.7955160210711694E-2</v>
      </c>
      <c r="F675">
        <v>99.86</v>
      </c>
      <c r="G675" s="15">
        <f t="shared" si="291"/>
        <v>7.7846022986416701</v>
      </c>
      <c r="I675" s="21" t="s">
        <v>29</v>
      </c>
      <c r="J675" s="52"/>
      <c r="K675" s="14" t="e">
        <f>J675/J680</f>
        <v>#DIV/0!</v>
      </c>
      <c r="L675">
        <v>99.86</v>
      </c>
      <c r="M675" s="15" t="e">
        <f t="shared" si="292"/>
        <v>#DIV/0!</v>
      </c>
      <c r="O675" s="38" t="s">
        <v>29</v>
      </c>
      <c r="P675" s="13"/>
      <c r="Q675" s="14" t="e">
        <f>P675/P679</f>
        <v>#DIV/0!</v>
      </c>
      <c r="R675">
        <v>99.9</v>
      </c>
      <c r="S675" s="40" t="e">
        <f t="shared" si="293"/>
        <v>#DIV/0!</v>
      </c>
      <c r="U675" s="46" t="s">
        <v>29</v>
      </c>
      <c r="V675" s="52"/>
      <c r="W675" s="14" t="e">
        <f>V675/V679</f>
        <v>#DIV/0!</v>
      </c>
      <c r="X675">
        <v>99.87</v>
      </c>
      <c r="Y675" s="48" t="e">
        <f t="shared" si="294"/>
        <v>#DIV/0!</v>
      </c>
    </row>
    <row r="676" spans="1:25" x14ac:dyDescent="0.35">
      <c r="A676" s="23">
        <v>12</v>
      </c>
      <c r="B676" s="2"/>
      <c r="C676" s="21" t="s">
        <v>30</v>
      </c>
      <c r="D676" s="13">
        <v>5781</v>
      </c>
      <c r="E676" s="14">
        <f>D676/D680</f>
        <v>3.324938070799728E-3</v>
      </c>
      <c r="F676">
        <v>99.96</v>
      </c>
      <c r="G676" s="15">
        <f t="shared" si="291"/>
        <v>0.33236080955714081</v>
      </c>
      <c r="I676" s="21" t="s">
        <v>30</v>
      </c>
      <c r="J676" s="52"/>
      <c r="K676" s="14" t="e">
        <f>J676/J680</f>
        <v>#DIV/0!</v>
      </c>
      <c r="L676">
        <v>99.96</v>
      </c>
      <c r="M676" s="15" t="e">
        <f t="shared" si="292"/>
        <v>#DIV/0!</v>
      </c>
      <c r="O676" s="38" t="s">
        <v>30</v>
      </c>
      <c r="P676" s="13"/>
      <c r="Q676" s="14" t="e">
        <f>P676/P679</f>
        <v>#DIV/0!</v>
      </c>
      <c r="R676">
        <v>99.96</v>
      </c>
      <c r="S676" s="40" t="e">
        <f t="shared" si="293"/>
        <v>#DIV/0!</v>
      </c>
      <c r="U676" s="46" t="s">
        <v>30</v>
      </c>
      <c r="V676" s="52"/>
      <c r="W676" s="14" t="e">
        <f>V676/V679</f>
        <v>#DIV/0!</v>
      </c>
      <c r="X676">
        <v>99.96</v>
      </c>
      <c r="Y676" s="48" t="e">
        <f>W676*X676</f>
        <v>#DIV/0!</v>
      </c>
    </row>
    <row r="677" spans="1:25" x14ac:dyDescent="0.35">
      <c r="A677" s="23">
        <v>3477</v>
      </c>
      <c r="B677" s="2"/>
      <c r="C677" s="21" t="s">
        <v>31</v>
      </c>
      <c r="D677" s="13">
        <v>198024</v>
      </c>
      <c r="E677" s="14">
        <f>D677/D680</f>
        <v>0.11389336386992653</v>
      </c>
      <c r="F677">
        <v>99.96</v>
      </c>
      <c r="G677" s="15">
        <f t="shared" si="291"/>
        <v>11.384780652437856</v>
      </c>
      <c r="I677" s="21" t="s">
        <v>31</v>
      </c>
      <c r="J677" s="52"/>
      <c r="K677" s="14" t="e">
        <f>J677/J680</f>
        <v>#DIV/0!</v>
      </c>
      <c r="L677">
        <v>99.96</v>
      </c>
      <c r="M677" s="15" t="e">
        <f t="shared" si="292"/>
        <v>#DIV/0!</v>
      </c>
      <c r="O677" s="38" t="s">
        <v>31</v>
      </c>
      <c r="P677" s="13"/>
      <c r="Q677" s="14" t="e">
        <f>P677/P679</f>
        <v>#DIV/0!</v>
      </c>
      <c r="R677">
        <v>99.96</v>
      </c>
      <c r="S677" s="40" t="e">
        <f t="shared" si="293"/>
        <v>#DIV/0!</v>
      </c>
      <c r="U677" s="46" t="s">
        <v>31</v>
      </c>
      <c r="V677" s="52"/>
      <c r="W677" s="14" t="e">
        <f>V677/V679</f>
        <v>#DIV/0!</v>
      </c>
      <c r="X677">
        <v>99.96</v>
      </c>
      <c r="Y677" s="48" t="e">
        <f t="shared" ref="Y677" si="295">W677*X677</f>
        <v>#DIV/0!</v>
      </c>
    </row>
    <row r="678" spans="1:25" ht="15" thickBot="1" x14ac:dyDescent="0.4">
      <c r="A678" s="24">
        <f>SUM(A675:A677)</f>
        <v>1315275</v>
      </c>
      <c r="B678" s="2"/>
      <c r="C678" s="21" t="s">
        <v>32</v>
      </c>
      <c r="D678" s="13">
        <v>132</v>
      </c>
      <c r="E678" s="14">
        <f>D678/D680</f>
        <v>7.5919706857907645E-5</v>
      </c>
      <c r="F678">
        <v>99.96</v>
      </c>
      <c r="G678" s="15">
        <f t="shared" si="291"/>
        <v>7.5889338975164474E-3</v>
      </c>
      <c r="I678" s="21" t="s">
        <v>32</v>
      </c>
      <c r="J678" s="52"/>
      <c r="K678" s="14" t="e">
        <f>J678/J680</f>
        <v>#DIV/0!</v>
      </c>
      <c r="L678">
        <v>99.96</v>
      </c>
      <c r="M678" s="15" t="e">
        <f t="shared" si="292"/>
        <v>#DIV/0!</v>
      </c>
      <c r="O678" s="38" t="s">
        <v>33</v>
      </c>
      <c r="P678" s="13"/>
      <c r="Q678" s="14" t="e">
        <f>P678/P679</f>
        <v>#DIV/0!</v>
      </c>
      <c r="R678">
        <v>99.95</v>
      </c>
      <c r="S678" s="40" t="e">
        <f>Q678*R678</f>
        <v>#DIV/0!</v>
      </c>
      <c r="U678" s="46" t="s">
        <v>33</v>
      </c>
      <c r="V678" s="52"/>
      <c r="W678" s="14" t="e">
        <f>V678/V679</f>
        <v>#DIV/0!</v>
      </c>
      <c r="X678">
        <v>99.95</v>
      </c>
      <c r="Y678" s="48" t="e">
        <f>W678*X678</f>
        <v>#DIV/0!</v>
      </c>
    </row>
    <row r="679" spans="1:25" ht="15.5" thickTop="1" thickBot="1" x14ac:dyDescent="0.4">
      <c r="B679" s="2"/>
      <c r="C679" s="21" t="s">
        <v>33</v>
      </c>
      <c r="D679" s="13">
        <v>83928</v>
      </c>
      <c r="E679" s="16">
        <f>D679/D680</f>
        <v>4.8271129978564184E-2</v>
      </c>
      <c r="F679">
        <v>99.93</v>
      </c>
      <c r="G679" s="15">
        <f t="shared" si="291"/>
        <v>4.8237340187579196</v>
      </c>
      <c r="I679" s="21" t="s">
        <v>33</v>
      </c>
      <c r="J679" s="52"/>
      <c r="K679" s="16" t="e">
        <f>J679/J680</f>
        <v>#DIV/0!</v>
      </c>
      <c r="L679">
        <v>99.93</v>
      </c>
      <c r="M679" s="15" t="e">
        <f t="shared" si="292"/>
        <v>#DIV/0!</v>
      </c>
      <c r="O679" s="38"/>
      <c r="P679" s="31">
        <f>SUM(P674:P678)</f>
        <v>0</v>
      </c>
      <c r="Q679" s="32" t="e">
        <f>SUM(Q674:Q678)</f>
        <v>#DIV/0!</v>
      </c>
      <c r="R679" s="33">
        <f>AVERAGE(R674:R678)</f>
        <v>99.945999999999998</v>
      </c>
      <c r="S679" s="41" t="e">
        <f>SUM(S674:S678)</f>
        <v>#DIV/0!</v>
      </c>
      <c r="U679" s="46"/>
      <c r="V679" s="52">
        <f>SUM(V674:V678)</f>
        <v>0</v>
      </c>
      <c r="W679" s="32" t="e">
        <f>SUM(W674:W678)</f>
        <v>#DIV/0!</v>
      </c>
      <c r="X679" s="33">
        <f>AVERAGE(X674:X678)</f>
        <v>99.939999999999984</v>
      </c>
      <c r="Y679" s="58" t="e">
        <f>SUM(Y674:Y678)</f>
        <v>#DIV/0!</v>
      </c>
    </row>
    <row r="680" spans="1:25" ht="15" thickBot="1" x14ac:dyDescent="0.4">
      <c r="A680" s="10"/>
      <c r="B680" s="10"/>
      <c r="C680" s="10"/>
      <c r="D680" s="49">
        <f>SUM(D674:D679)</f>
        <v>1738679</v>
      </c>
      <c r="E680" s="50">
        <f>SUM(E674:E679)</f>
        <v>1</v>
      </c>
      <c r="F680" s="51">
        <f>AVERAGE(F674:F679)</f>
        <v>99.938333333333318</v>
      </c>
      <c r="G680" s="26">
        <f>SUM(G674:G679)</f>
        <v>99.950756350079573</v>
      </c>
      <c r="I680" s="10"/>
      <c r="J680" s="49">
        <f>SUM(J674:J679)</f>
        <v>0</v>
      </c>
      <c r="K680" s="50" t="e">
        <f>SUM(K674:K679)</f>
        <v>#DIV/0!</v>
      </c>
      <c r="L680" s="51">
        <f>AVERAGE(L674:L679)</f>
        <v>99.938333333333318</v>
      </c>
      <c r="M680" s="26" t="e">
        <f>SUM(M674:M679)</f>
        <v>#DIV/0!</v>
      </c>
      <c r="O680" s="34"/>
      <c r="P680" s="34"/>
      <c r="Q680" s="34"/>
      <c r="R680" s="36"/>
      <c r="S680" s="40"/>
      <c r="U680" s="42"/>
      <c r="V680" s="42"/>
      <c r="W680" s="42"/>
      <c r="X680" s="44"/>
      <c r="Y680" s="45"/>
    </row>
    <row r="681" spans="1:25" ht="15" thickTop="1" x14ac:dyDescent="0.35">
      <c r="A681" s="29" t="s">
        <v>271</v>
      </c>
      <c r="B681" s="28"/>
      <c r="C681" s="28"/>
      <c r="D681" s="28"/>
      <c r="E681" s="28"/>
      <c r="F681" s="28"/>
      <c r="G681" s="28"/>
      <c r="I681" s="28"/>
      <c r="J681" s="28"/>
      <c r="K681" s="28"/>
      <c r="L681" s="28"/>
      <c r="M681" s="28"/>
      <c r="O681" s="28"/>
      <c r="P681" s="28"/>
      <c r="Q681" s="28"/>
      <c r="R681" s="28"/>
      <c r="S681" s="28"/>
      <c r="U681" s="28"/>
      <c r="V681" s="28"/>
      <c r="W681" s="28"/>
      <c r="X681" s="28"/>
      <c r="Y681" s="28"/>
    </row>
    <row r="682" spans="1:25" x14ac:dyDescent="0.35">
      <c r="A682" s="20" t="s">
        <v>272</v>
      </c>
      <c r="B682" s="20"/>
      <c r="C682" s="56" t="s">
        <v>115</v>
      </c>
      <c r="D682" s="11"/>
      <c r="E682" s="11"/>
      <c r="F682" s="11"/>
      <c r="G682" s="30" t="s">
        <v>115</v>
      </c>
      <c r="I682" s="56" t="s">
        <v>115</v>
      </c>
      <c r="J682" s="11"/>
      <c r="K682" s="11"/>
      <c r="L682" s="11"/>
      <c r="M682" s="30" t="s">
        <v>115</v>
      </c>
      <c r="O682" s="55" t="s">
        <v>116</v>
      </c>
      <c r="P682" s="34"/>
      <c r="Q682" s="34"/>
      <c r="R682" s="34"/>
      <c r="S682" s="35" t="s">
        <v>116</v>
      </c>
      <c r="U682" s="57" t="s">
        <v>117</v>
      </c>
      <c r="V682" s="42"/>
      <c r="W682" s="42"/>
      <c r="X682" s="42"/>
      <c r="Y682" s="43" t="s">
        <v>117</v>
      </c>
    </row>
    <row r="683" spans="1:25" ht="15" thickBot="1" x14ac:dyDescent="0.4">
      <c r="A683" s="2"/>
      <c r="B683" s="2"/>
      <c r="C683" s="2"/>
      <c r="D683" s="18" t="s">
        <v>118</v>
      </c>
      <c r="E683" s="19" t="s">
        <v>119</v>
      </c>
      <c r="F683" s="18" t="s">
        <v>120</v>
      </c>
      <c r="G683" s="12" t="s">
        <v>121</v>
      </c>
      <c r="I683" s="2"/>
      <c r="J683" s="18" t="s">
        <v>118</v>
      </c>
      <c r="K683" s="19" t="s">
        <v>119</v>
      </c>
      <c r="L683" s="18" t="s">
        <v>120</v>
      </c>
      <c r="M683" s="12" t="s">
        <v>121</v>
      </c>
      <c r="O683" s="34"/>
      <c r="P683" s="18" t="s">
        <v>118</v>
      </c>
      <c r="Q683" s="19" t="s">
        <v>119</v>
      </c>
      <c r="R683" s="18" t="s">
        <v>120</v>
      </c>
      <c r="S683" s="39" t="s">
        <v>121</v>
      </c>
      <c r="U683" s="42"/>
      <c r="V683" s="18" t="s">
        <v>118</v>
      </c>
      <c r="W683" s="19" t="s">
        <v>119</v>
      </c>
      <c r="X683" s="18" t="s">
        <v>120</v>
      </c>
      <c r="Y683" s="47" t="s">
        <v>121</v>
      </c>
    </row>
    <row r="684" spans="1:25" ht="15" thickTop="1" x14ac:dyDescent="0.35">
      <c r="A684" s="22" t="s">
        <v>122</v>
      </c>
      <c r="B684" s="2"/>
      <c r="C684" s="21" t="s">
        <v>25</v>
      </c>
      <c r="D684" s="23">
        <v>1315275</v>
      </c>
      <c r="E684" s="14">
        <f>D684/D690</f>
        <v>0.75647948816313992</v>
      </c>
      <c r="F684">
        <v>99.96</v>
      </c>
      <c r="G684" s="15">
        <f t="shared" ref="G684:G689" si="296">E684*F684</f>
        <v>75.61768963678746</v>
      </c>
      <c r="I684" s="21" t="s">
        <v>25</v>
      </c>
      <c r="J684" t="s">
        <v>262</v>
      </c>
      <c r="K684" s="14" t="e">
        <f>J684/J690</f>
        <v>#VALUE!</v>
      </c>
      <c r="L684">
        <v>99.96</v>
      </c>
      <c r="M684" s="15" t="e">
        <f t="shared" ref="M684:M689" si="297">K684*L684</f>
        <v>#VALUE!</v>
      </c>
      <c r="O684" s="38" t="s">
        <v>25</v>
      </c>
      <c r="P684" s="13"/>
      <c r="Q684" s="14" t="e">
        <f>P684/P689</f>
        <v>#DIV/0!</v>
      </c>
      <c r="R684">
        <v>99.95</v>
      </c>
      <c r="S684" s="40" t="e">
        <f t="shared" ref="S684:S687" si="298">Q684*R684</f>
        <v>#DIV/0!</v>
      </c>
      <c r="U684" s="46" t="s">
        <v>25</v>
      </c>
      <c r="V684" s="52"/>
      <c r="W684" s="14" t="e">
        <f>V684/V689</f>
        <v>#DIV/0!</v>
      </c>
      <c r="X684">
        <v>99.95</v>
      </c>
      <c r="Y684" s="48" t="e">
        <f t="shared" ref="Y684:Y685" si="299">W684*X684</f>
        <v>#DIV/0!</v>
      </c>
    </row>
    <row r="685" spans="1:25" x14ac:dyDescent="0.35">
      <c r="A685" s="23">
        <v>1311786</v>
      </c>
      <c r="B685" s="2"/>
      <c r="C685" s="21" t="s">
        <v>29</v>
      </c>
      <c r="D685" s="13">
        <v>135539</v>
      </c>
      <c r="E685" s="14">
        <f>D685/D690</f>
        <v>7.7955160210711694E-2</v>
      </c>
      <c r="F685">
        <v>99.89</v>
      </c>
      <c r="G685" s="15">
        <f t="shared" si="296"/>
        <v>7.7869409534479912</v>
      </c>
      <c r="I685" s="21" t="s">
        <v>29</v>
      </c>
      <c r="J685" t="s">
        <v>263</v>
      </c>
      <c r="K685" s="14" t="e">
        <f>J685/J690</f>
        <v>#VALUE!</v>
      </c>
      <c r="L685">
        <v>99.89</v>
      </c>
      <c r="M685" s="15" t="e">
        <f t="shared" si="297"/>
        <v>#VALUE!</v>
      </c>
      <c r="O685" s="38" t="s">
        <v>29</v>
      </c>
      <c r="P685" s="13"/>
      <c r="Q685" s="14" t="e">
        <f>P685/P689</f>
        <v>#DIV/0!</v>
      </c>
      <c r="R685">
        <v>99.89</v>
      </c>
      <c r="S685" s="40" t="e">
        <f t="shared" si="298"/>
        <v>#DIV/0!</v>
      </c>
      <c r="U685" s="46" t="s">
        <v>29</v>
      </c>
      <c r="V685" s="52"/>
      <c r="W685" s="14" t="e">
        <f>V685/V689</f>
        <v>#DIV/0!</v>
      </c>
      <c r="X685">
        <v>99.89</v>
      </c>
      <c r="Y685" s="48" t="e">
        <f t="shared" si="299"/>
        <v>#DIV/0!</v>
      </c>
    </row>
    <row r="686" spans="1:25" x14ac:dyDescent="0.35">
      <c r="A686" s="23">
        <v>12</v>
      </c>
      <c r="B686" s="2"/>
      <c r="C686" s="21" t="s">
        <v>30</v>
      </c>
      <c r="D686" s="13">
        <v>5781</v>
      </c>
      <c r="E686" s="14">
        <f>D686/D690</f>
        <v>3.324938070799728E-3</v>
      </c>
      <c r="F686">
        <v>99.96</v>
      </c>
      <c r="G686" s="15">
        <f t="shared" si="296"/>
        <v>0.33236080955714081</v>
      </c>
      <c r="I686" s="21" t="s">
        <v>30</v>
      </c>
      <c r="J686" t="s">
        <v>264</v>
      </c>
      <c r="K686" s="14" t="e">
        <f>J686/J690</f>
        <v>#VALUE!</v>
      </c>
      <c r="L686">
        <v>99.96</v>
      </c>
      <c r="M686" s="15" t="e">
        <f t="shared" si="297"/>
        <v>#VALUE!</v>
      </c>
      <c r="O686" s="38" t="s">
        <v>30</v>
      </c>
      <c r="P686" s="13"/>
      <c r="Q686" s="14" t="e">
        <f>P686/P689</f>
        <v>#DIV/0!</v>
      </c>
      <c r="R686">
        <v>99.95</v>
      </c>
      <c r="S686" s="40" t="e">
        <f t="shared" si="298"/>
        <v>#DIV/0!</v>
      </c>
      <c r="U686" s="46" t="s">
        <v>30</v>
      </c>
      <c r="V686" s="52"/>
      <c r="W686" s="14" t="e">
        <f>V686/V689</f>
        <v>#DIV/0!</v>
      </c>
      <c r="X686">
        <v>99.95</v>
      </c>
      <c r="Y686" s="48" t="e">
        <f>W686*X686</f>
        <v>#DIV/0!</v>
      </c>
    </row>
    <row r="687" spans="1:25" x14ac:dyDescent="0.35">
      <c r="A687" s="23">
        <v>3477</v>
      </c>
      <c r="B687" s="2"/>
      <c r="C687" s="21" t="s">
        <v>31</v>
      </c>
      <c r="D687" s="13">
        <v>198024</v>
      </c>
      <c r="E687" s="14">
        <f>D687/D690</f>
        <v>0.11389336386992653</v>
      </c>
      <c r="F687">
        <v>99.96</v>
      </c>
      <c r="G687" s="15">
        <f t="shared" si="296"/>
        <v>11.384780652437856</v>
      </c>
      <c r="I687" s="21" t="s">
        <v>31</v>
      </c>
      <c r="J687" t="s">
        <v>265</v>
      </c>
      <c r="K687" s="14" t="e">
        <f>J687/J690</f>
        <v>#VALUE!</v>
      </c>
      <c r="L687">
        <v>99.96</v>
      </c>
      <c r="M687" s="15" t="e">
        <f t="shared" si="297"/>
        <v>#VALUE!</v>
      </c>
      <c r="O687" s="38" t="s">
        <v>31</v>
      </c>
      <c r="P687" s="13"/>
      <c r="Q687" s="14" t="e">
        <f>P687/P689</f>
        <v>#DIV/0!</v>
      </c>
      <c r="R687">
        <v>99.95</v>
      </c>
      <c r="S687" s="40" t="e">
        <f t="shared" si="298"/>
        <v>#DIV/0!</v>
      </c>
      <c r="U687" s="46" t="s">
        <v>31</v>
      </c>
      <c r="V687" s="52"/>
      <c r="W687" s="14" t="e">
        <f>V687/V689</f>
        <v>#DIV/0!</v>
      </c>
      <c r="X687">
        <v>99.95</v>
      </c>
      <c r="Y687" s="48" t="e">
        <f t="shared" ref="Y687" si="300">W687*X687</f>
        <v>#DIV/0!</v>
      </c>
    </row>
    <row r="688" spans="1:25" ht="15" thickBot="1" x14ac:dyDescent="0.4">
      <c r="A688" s="24">
        <f>SUM(A685:A687)</f>
        <v>1315275</v>
      </c>
      <c r="B688" s="2"/>
      <c r="C688" s="21" t="s">
        <v>32</v>
      </c>
      <c r="D688" s="13">
        <v>132</v>
      </c>
      <c r="E688" s="14">
        <f>D688/D690</f>
        <v>7.5919706857907645E-5</v>
      </c>
      <c r="F688">
        <v>99.96</v>
      </c>
      <c r="G688" s="15">
        <f t="shared" si="296"/>
        <v>7.5889338975164474E-3</v>
      </c>
      <c r="I688" s="21" t="s">
        <v>32</v>
      </c>
      <c r="J688" t="s">
        <v>266</v>
      </c>
      <c r="K688" s="14" t="e">
        <f>J688/J690</f>
        <v>#VALUE!</v>
      </c>
      <c r="L688">
        <v>99.96</v>
      </c>
      <c r="M688" s="15" t="e">
        <f t="shared" si="297"/>
        <v>#VALUE!</v>
      </c>
      <c r="O688" s="38" t="s">
        <v>33</v>
      </c>
      <c r="P688" s="13"/>
      <c r="Q688" s="14" t="e">
        <f>P688/P689</f>
        <v>#DIV/0!</v>
      </c>
      <c r="R688">
        <v>99.94</v>
      </c>
      <c r="S688" s="40" t="e">
        <f>Q688*R688</f>
        <v>#DIV/0!</v>
      </c>
      <c r="U688" s="46" t="s">
        <v>33</v>
      </c>
      <c r="V688" s="52"/>
      <c r="W688" s="14" t="e">
        <f>V688/V689</f>
        <v>#DIV/0!</v>
      </c>
      <c r="X688">
        <v>99.94</v>
      </c>
      <c r="Y688" s="48" t="e">
        <f>W688*X688</f>
        <v>#DIV/0!</v>
      </c>
    </row>
    <row r="689" spans="1:25" ht="15.5" thickTop="1" thickBot="1" x14ac:dyDescent="0.4">
      <c r="B689" s="2"/>
      <c r="C689" s="21" t="s">
        <v>33</v>
      </c>
      <c r="D689" s="13">
        <v>83928</v>
      </c>
      <c r="E689" s="16">
        <f>D689/D690</f>
        <v>4.8271129978564184E-2</v>
      </c>
      <c r="F689">
        <v>99.93</v>
      </c>
      <c r="G689" s="15">
        <f t="shared" si="296"/>
        <v>4.8237340187579196</v>
      </c>
      <c r="I689" s="21" t="s">
        <v>33</v>
      </c>
      <c r="J689" t="s">
        <v>267</v>
      </c>
      <c r="K689" s="16" t="e">
        <f>J689/J690</f>
        <v>#VALUE!</v>
      </c>
      <c r="L689">
        <v>99.93</v>
      </c>
      <c r="M689" s="15" t="e">
        <f t="shared" si="297"/>
        <v>#VALUE!</v>
      </c>
      <c r="O689" s="38"/>
      <c r="P689" s="31">
        <f>SUM(P684:P688)</f>
        <v>0</v>
      </c>
      <c r="Q689" s="32" t="e">
        <f>SUM(Q684:Q688)</f>
        <v>#DIV/0!</v>
      </c>
      <c r="R689" s="33">
        <f>AVERAGE(R684:R688)</f>
        <v>99.936000000000007</v>
      </c>
      <c r="S689" s="41" t="e">
        <f>SUM(S684:S688)</f>
        <v>#DIV/0!</v>
      </c>
      <c r="U689" s="46"/>
      <c r="V689" s="52">
        <f>SUM(V684:V688)</f>
        <v>0</v>
      </c>
      <c r="W689" s="32" t="e">
        <f>SUM(W684:W688)</f>
        <v>#DIV/0!</v>
      </c>
      <c r="X689" s="33">
        <f>AVERAGE(X684:X688)</f>
        <v>99.936000000000007</v>
      </c>
      <c r="Y689" s="58" t="e">
        <f>SUM(Y684:Y688)</f>
        <v>#DIV/0!</v>
      </c>
    </row>
    <row r="690" spans="1:25" ht="15" thickBot="1" x14ac:dyDescent="0.4">
      <c r="A690" s="10"/>
      <c r="B690" s="10"/>
      <c r="C690" s="10"/>
      <c r="D690" s="49">
        <f>SUM(D684:D689)</f>
        <v>1738679</v>
      </c>
      <c r="E690" s="50">
        <f>SUM(E684:E689)</f>
        <v>1</v>
      </c>
      <c r="F690" s="51">
        <f>AVERAGE(F684:F689)</f>
        <v>99.943333333333328</v>
      </c>
      <c r="G690" s="26">
        <f>SUM(G684:G689)</f>
        <v>99.953095004885895</v>
      </c>
      <c r="I690" s="10"/>
      <c r="J690" s="49">
        <f>SUM(J684:J689)</f>
        <v>0</v>
      </c>
      <c r="K690" s="50" t="e">
        <f>SUM(K684:K689)</f>
        <v>#VALUE!</v>
      </c>
      <c r="L690" s="51">
        <f>AVERAGE(L684:L689)</f>
        <v>99.943333333333328</v>
      </c>
      <c r="M690" s="26" t="e">
        <f>SUM(M684:M689)</f>
        <v>#VALUE!</v>
      </c>
      <c r="O690" s="34"/>
      <c r="P690" s="34"/>
      <c r="Q690" s="34"/>
      <c r="R690" s="36"/>
      <c r="S690" s="40"/>
      <c r="U690" s="42"/>
      <c r="V690" s="42"/>
      <c r="W690" s="42"/>
      <c r="X690" s="44"/>
      <c r="Y690" s="45"/>
    </row>
    <row r="691" spans="1:25" ht="15" thickTop="1" x14ac:dyDescent="0.35">
      <c r="A691" s="29" t="s">
        <v>273</v>
      </c>
      <c r="B691" s="28"/>
      <c r="C691" s="28"/>
      <c r="D691" s="28"/>
      <c r="E691" s="28"/>
      <c r="F691" s="28"/>
      <c r="G691" s="28"/>
      <c r="I691" s="28"/>
      <c r="J691" s="28"/>
      <c r="K691" s="28"/>
      <c r="L691" s="28"/>
      <c r="M691" s="28"/>
      <c r="O691" s="28"/>
      <c r="P691" s="28"/>
      <c r="Q691" s="28"/>
      <c r="R691" s="28"/>
      <c r="S691" s="28"/>
      <c r="U691" s="28"/>
      <c r="V691" s="28"/>
      <c r="W691" s="28"/>
      <c r="X691" s="28"/>
      <c r="Y691" s="28"/>
    </row>
    <row r="692" spans="1:25" x14ac:dyDescent="0.35">
      <c r="A692" s="20" t="s">
        <v>272</v>
      </c>
      <c r="B692" s="20"/>
      <c r="C692" s="56" t="s">
        <v>115</v>
      </c>
      <c r="D692" s="11"/>
      <c r="E692" s="11"/>
      <c r="F692" s="11"/>
      <c r="G692" s="30" t="s">
        <v>115</v>
      </c>
      <c r="I692" s="56" t="s">
        <v>115</v>
      </c>
      <c r="J692" s="11"/>
      <c r="K692" s="11"/>
      <c r="L692" s="11"/>
      <c r="M692" s="30" t="s">
        <v>115</v>
      </c>
      <c r="O692" s="55" t="s">
        <v>116</v>
      </c>
      <c r="P692" s="34"/>
      <c r="Q692" s="34"/>
      <c r="R692" s="34"/>
      <c r="S692" s="35" t="s">
        <v>116</v>
      </c>
      <c r="U692" s="57" t="s">
        <v>117</v>
      </c>
      <c r="V692" s="42"/>
      <c r="W692" s="42"/>
      <c r="X692" s="42"/>
      <c r="Y692" s="43" t="s">
        <v>117</v>
      </c>
    </row>
    <row r="693" spans="1:25" ht="15" thickBot="1" x14ac:dyDescent="0.4">
      <c r="A693" s="2"/>
      <c r="B693" s="2"/>
      <c r="C693" s="2"/>
      <c r="D693" s="18" t="s">
        <v>118</v>
      </c>
      <c r="E693" s="19" t="s">
        <v>119</v>
      </c>
      <c r="F693" s="18" t="s">
        <v>120</v>
      </c>
      <c r="G693" s="12" t="s">
        <v>121</v>
      </c>
      <c r="I693" s="2"/>
      <c r="J693" s="18" t="s">
        <v>118</v>
      </c>
      <c r="K693" s="19" t="s">
        <v>119</v>
      </c>
      <c r="L693" s="18" t="s">
        <v>120</v>
      </c>
      <c r="M693" s="12" t="s">
        <v>121</v>
      </c>
      <c r="O693" s="34"/>
      <c r="P693" s="18" t="s">
        <v>118</v>
      </c>
      <c r="Q693" s="19" t="s">
        <v>119</v>
      </c>
      <c r="R693" s="18" t="s">
        <v>120</v>
      </c>
      <c r="S693" s="39" t="s">
        <v>121</v>
      </c>
      <c r="U693" s="42"/>
      <c r="V693" s="18" t="s">
        <v>118</v>
      </c>
      <c r="W693" s="19" t="s">
        <v>119</v>
      </c>
      <c r="X693" s="18" t="s">
        <v>120</v>
      </c>
      <c r="Y693" s="47" t="s">
        <v>121</v>
      </c>
    </row>
    <row r="694" spans="1:25" ht="15" thickTop="1" x14ac:dyDescent="0.35">
      <c r="A694" s="22" t="s">
        <v>122</v>
      </c>
      <c r="B694" s="2"/>
      <c r="C694" s="21" t="s">
        <v>25</v>
      </c>
      <c r="D694" s="23">
        <v>1316524</v>
      </c>
      <c r="E694" s="14">
        <f>D694/D700</f>
        <v>0.75666690997580899</v>
      </c>
      <c r="F694">
        <v>99.96</v>
      </c>
      <c r="G694" s="15">
        <f t="shared" ref="G694:G699" si="301">E694*F694</f>
        <v>75.636424321181863</v>
      </c>
      <c r="I694" s="21" t="s">
        <v>25</v>
      </c>
      <c r="J694" s="52"/>
      <c r="K694" s="14" t="e">
        <f>J694/J700</f>
        <v>#DIV/0!</v>
      </c>
      <c r="L694">
        <v>99.96</v>
      </c>
      <c r="M694" s="15" t="e">
        <f t="shared" ref="M694:M699" si="302">K694*L694</f>
        <v>#DIV/0!</v>
      </c>
      <c r="O694" s="38" t="s">
        <v>25</v>
      </c>
      <c r="P694" s="13"/>
      <c r="Q694" s="14" t="e">
        <f>P694/P699</f>
        <v>#DIV/0!</v>
      </c>
      <c r="R694">
        <v>99.96</v>
      </c>
      <c r="S694" s="40" t="e">
        <f t="shared" ref="S694:S697" si="303">Q694*R694</f>
        <v>#DIV/0!</v>
      </c>
      <c r="U694" s="46" t="s">
        <v>25</v>
      </c>
      <c r="V694" s="52"/>
      <c r="W694" s="14" t="e">
        <f>V694/V699</f>
        <v>#DIV/0!</v>
      </c>
      <c r="X694">
        <v>99.96</v>
      </c>
      <c r="Y694" s="48" t="e">
        <f t="shared" ref="Y694:Y695" si="304">W694*X694</f>
        <v>#DIV/0!</v>
      </c>
    </row>
    <row r="695" spans="1:25" x14ac:dyDescent="0.35">
      <c r="A695" s="23">
        <v>1313035</v>
      </c>
      <c r="B695" s="2"/>
      <c r="C695" s="21" t="s">
        <v>29</v>
      </c>
      <c r="D695" s="13">
        <v>135940</v>
      </c>
      <c r="E695" s="14">
        <f>D695/D700</f>
        <v>7.8130971970212071E-2</v>
      </c>
      <c r="F695">
        <v>99.9</v>
      </c>
      <c r="G695" s="15">
        <f t="shared" si="301"/>
        <v>7.8052840998241866</v>
      </c>
      <c r="I695" s="21" t="s">
        <v>29</v>
      </c>
      <c r="J695" s="52"/>
      <c r="K695" s="14" t="e">
        <f>J695/J700</f>
        <v>#DIV/0!</v>
      </c>
      <c r="L695">
        <v>99.86</v>
      </c>
      <c r="M695" s="15" t="e">
        <f t="shared" si="302"/>
        <v>#DIV/0!</v>
      </c>
      <c r="O695" s="38" t="s">
        <v>29</v>
      </c>
      <c r="P695" s="13"/>
      <c r="Q695" s="14" t="e">
        <f>P695/P699</f>
        <v>#DIV/0!</v>
      </c>
      <c r="R695">
        <v>99.9</v>
      </c>
      <c r="S695" s="40" t="e">
        <f t="shared" si="303"/>
        <v>#DIV/0!</v>
      </c>
      <c r="U695" s="46" t="s">
        <v>29</v>
      </c>
      <c r="V695" s="52"/>
      <c r="W695" s="14" t="e">
        <f>V695/V699</f>
        <v>#DIV/0!</v>
      </c>
      <c r="X695">
        <v>99.87</v>
      </c>
      <c r="Y695" s="48" t="e">
        <f t="shared" si="304"/>
        <v>#DIV/0!</v>
      </c>
    </row>
    <row r="696" spans="1:25" x14ac:dyDescent="0.35">
      <c r="A696" s="23">
        <v>12</v>
      </c>
      <c r="B696" s="2"/>
      <c r="C696" s="21" t="s">
        <v>30</v>
      </c>
      <c r="D696" s="13">
        <v>5803</v>
      </c>
      <c r="E696" s="14">
        <f>D696/D700</f>
        <v>3.3352510691712564E-3</v>
      </c>
      <c r="F696">
        <v>99.96</v>
      </c>
      <c r="G696" s="15">
        <f t="shared" si="301"/>
        <v>0.33339169687435877</v>
      </c>
      <c r="I696" s="21" t="s">
        <v>30</v>
      </c>
      <c r="J696" s="52"/>
      <c r="K696" s="14" t="e">
        <f>J696/J700</f>
        <v>#DIV/0!</v>
      </c>
      <c r="L696">
        <v>99.96</v>
      </c>
      <c r="M696" s="15" t="e">
        <f t="shared" si="302"/>
        <v>#DIV/0!</v>
      </c>
      <c r="O696" s="38" t="s">
        <v>30</v>
      </c>
      <c r="P696" s="13"/>
      <c r="Q696" s="14" t="e">
        <f>P696/P699</f>
        <v>#DIV/0!</v>
      </c>
      <c r="R696">
        <v>99.96</v>
      </c>
      <c r="S696" s="40" t="e">
        <f t="shared" si="303"/>
        <v>#DIV/0!</v>
      </c>
      <c r="U696" s="46" t="s">
        <v>30</v>
      </c>
      <c r="V696" s="52"/>
      <c r="W696" s="14" t="e">
        <f>V696/V699</f>
        <v>#DIV/0!</v>
      </c>
      <c r="X696">
        <v>99.96</v>
      </c>
      <c r="Y696" s="48" t="e">
        <f>W696*X696</f>
        <v>#DIV/0!</v>
      </c>
    </row>
    <row r="697" spans="1:25" x14ac:dyDescent="0.35">
      <c r="A697" s="23">
        <v>3477</v>
      </c>
      <c r="B697" s="2"/>
      <c r="C697" s="21" t="s">
        <v>31</v>
      </c>
      <c r="D697" s="13">
        <v>197697</v>
      </c>
      <c r="E697" s="14">
        <f>D697/D700</f>
        <v>0.1136255610239445</v>
      </c>
      <c r="F697">
        <v>99.96</v>
      </c>
      <c r="G697" s="15">
        <f t="shared" si="301"/>
        <v>11.358011079953492</v>
      </c>
      <c r="I697" s="21" t="s">
        <v>31</v>
      </c>
      <c r="J697" s="52"/>
      <c r="K697" s="14" t="e">
        <f>J697/J700</f>
        <v>#DIV/0!</v>
      </c>
      <c r="L697">
        <v>99.96</v>
      </c>
      <c r="M697" s="15" t="e">
        <f t="shared" si="302"/>
        <v>#DIV/0!</v>
      </c>
      <c r="O697" s="38" t="s">
        <v>31</v>
      </c>
      <c r="P697" s="13"/>
      <c r="Q697" s="14" t="e">
        <f>P697/P699</f>
        <v>#DIV/0!</v>
      </c>
      <c r="R697">
        <v>99.96</v>
      </c>
      <c r="S697" s="40" t="e">
        <f t="shared" si="303"/>
        <v>#DIV/0!</v>
      </c>
      <c r="U697" s="46" t="s">
        <v>31</v>
      </c>
      <c r="V697" s="52"/>
      <c r="W697" s="14" t="e">
        <f>V697/V699</f>
        <v>#DIV/0!</v>
      </c>
      <c r="X697">
        <v>99.96</v>
      </c>
      <c r="Y697" s="48" t="e">
        <f t="shared" ref="Y697" si="305">W697*X697</f>
        <v>#DIV/0!</v>
      </c>
    </row>
    <row r="698" spans="1:25" ht="15" thickBot="1" x14ac:dyDescent="0.4">
      <c r="A698" s="24">
        <f>SUM(A695:A697)</f>
        <v>1316524</v>
      </c>
      <c r="B698" s="2"/>
      <c r="C698" s="21" t="s">
        <v>32</v>
      </c>
      <c r="D698" s="13">
        <v>132</v>
      </c>
      <c r="E698" s="14">
        <f>D698/D700</f>
        <v>7.5866472709048047E-5</v>
      </c>
      <c r="F698">
        <v>99.96</v>
      </c>
      <c r="G698" s="15">
        <f t="shared" si="301"/>
        <v>7.5836126119964422E-3</v>
      </c>
      <c r="I698" s="21" t="s">
        <v>32</v>
      </c>
      <c r="J698" s="52"/>
      <c r="K698" s="14" t="e">
        <f>J698/J700</f>
        <v>#DIV/0!</v>
      </c>
      <c r="L698">
        <v>99.96</v>
      </c>
      <c r="M698" s="15" t="e">
        <f t="shared" si="302"/>
        <v>#DIV/0!</v>
      </c>
      <c r="O698" s="38" t="s">
        <v>33</v>
      </c>
      <c r="P698" s="13"/>
      <c r="Q698" s="14" t="e">
        <f>P698/P699</f>
        <v>#DIV/0!</v>
      </c>
      <c r="R698">
        <v>99.95</v>
      </c>
      <c r="S698" s="40" t="e">
        <f>Q698*R698</f>
        <v>#DIV/0!</v>
      </c>
      <c r="U698" s="46" t="s">
        <v>33</v>
      </c>
      <c r="V698" s="52"/>
      <c r="W698" s="14" t="e">
        <f>V698/V699</f>
        <v>#DIV/0!</v>
      </c>
      <c r="X698">
        <v>99.95</v>
      </c>
      <c r="Y698" s="48" t="e">
        <f>W698*X698</f>
        <v>#DIV/0!</v>
      </c>
    </row>
    <row r="699" spans="1:25" ht="15.5" thickTop="1" thickBot="1" x14ac:dyDescent="0.4">
      <c r="B699" s="2"/>
      <c r="C699" s="21" t="s">
        <v>33</v>
      </c>
      <c r="D699" s="13">
        <v>83803</v>
      </c>
      <c r="E699" s="16">
        <f>D699/D700</f>
        <v>4.8165439488154195E-2</v>
      </c>
      <c r="F699">
        <v>99.93</v>
      </c>
      <c r="G699" s="15">
        <f t="shared" si="301"/>
        <v>4.8131723680512488</v>
      </c>
      <c r="I699" s="21" t="s">
        <v>33</v>
      </c>
      <c r="J699" s="52"/>
      <c r="K699" s="16" t="e">
        <f>J699/J700</f>
        <v>#DIV/0!</v>
      </c>
      <c r="L699">
        <v>99.93</v>
      </c>
      <c r="M699" s="15" t="e">
        <f t="shared" si="302"/>
        <v>#DIV/0!</v>
      </c>
      <c r="O699" s="38"/>
      <c r="P699" s="31">
        <f>SUM(P694:P698)</f>
        <v>0</v>
      </c>
      <c r="Q699" s="32" t="e">
        <f>SUM(Q694:Q698)</f>
        <v>#DIV/0!</v>
      </c>
      <c r="R699" s="33">
        <f>AVERAGE(R694:R698)</f>
        <v>99.945999999999998</v>
      </c>
      <c r="S699" s="41" t="e">
        <f>SUM(S694:S698)</f>
        <v>#DIV/0!</v>
      </c>
      <c r="U699" s="46"/>
      <c r="V699" s="52">
        <f>SUM(V694:V698)</f>
        <v>0</v>
      </c>
      <c r="W699" s="32" t="e">
        <f>SUM(W694:W698)</f>
        <v>#DIV/0!</v>
      </c>
      <c r="X699" s="33">
        <f>AVERAGE(X694:X698)</f>
        <v>99.939999999999984</v>
      </c>
      <c r="Y699" s="58" t="e">
        <f>SUM(Y694:Y698)</f>
        <v>#DIV/0!</v>
      </c>
    </row>
    <row r="700" spans="1:25" ht="15" thickBot="1" x14ac:dyDescent="0.4">
      <c r="A700" s="10"/>
      <c r="B700" s="10"/>
      <c r="C700" s="10"/>
      <c r="D700" s="49">
        <f>SUM(D694:D699)</f>
        <v>1739899</v>
      </c>
      <c r="E700" s="50">
        <f>SUM(E694:E699)</f>
        <v>1</v>
      </c>
      <c r="F700" s="51">
        <f>AVERAGE(F694:F699)</f>
        <v>99.944999999999993</v>
      </c>
      <c r="G700" s="26">
        <f>SUM(G694:G699)</f>
        <v>99.953867178497148</v>
      </c>
      <c r="I700" s="10"/>
      <c r="J700" s="49">
        <f>SUM(J694:J699)</f>
        <v>0</v>
      </c>
      <c r="K700" s="50" t="e">
        <f>SUM(K694:K699)</f>
        <v>#DIV/0!</v>
      </c>
      <c r="L700" s="51">
        <f>AVERAGE(L694:L699)</f>
        <v>99.938333333333318</v>
      </c>
      <c r="M700" s="26" t="e">
        <f>SUM(M694:M699)</f>
        <v>#DIV/0!</v>
      </c>
      <c r="O700" s="34"/>
      <c r="P700" s="34"/>
      <c r="Q700" s="34"/>
      <c r="R700" s="36"/>
      <c r="S700" s="40"/>
      <c r="U700" s="42"/>
      <c r="V700" s="42"/>
      <c r="W700" s="42"/>
      <c r="X700" s="44"/>
      <c r="Y700" s="45"/>
    </row>
    <row r="701" spans="1:25" ht="15" thickTop="1" x14ac:dyDescent="0.35">
      <c r="A701" s="29" t="s">
        <v>271</v>
      </c>
      <c r="B701" s="28"/>
      <c r="C701" s="28"/>
      <c r="D701" s="28"/>
      <c r="E701" s="28"/>
      <c r="F701" s="28"/>
      <c r="G701" s="28"/>
      <c r="I701" s="28"/>
      <c r="J701" s="28"/>
      <c r="K701" s="28"/>
      <c r="L701" s="28"/>
      <c r="M701" s="28"/>
      <c r="O701" s="28"/>
      <c r="P701" s="28"/>
      <c r="Q701" s="28"/>
      <c r="R701" s="28"/>
      <c r="S701" s="28"/>
      <c r="U701" s="28"/>
      <c r="V701" s="28"/>
      <c r="W701" s="28"/>
      <c r="X701" s="28"/>
      <c r="Y701" s="28"/>
    </row>
    <row r="702" spans="1:25" x14ac:dyDescent="0.35">
      <c r="A702" s="20" t="s">
        <v>272</v>
      </c>
      <c r="B702" s="20"/>
      <c r="C702" s="56" t="s">
        <v>115</v>
      </c>
      <c r="D702" s="11"/>
      <c r="E702" s="11"/>
      <c r="F702" s="11"/>
      <c r="G702" s="30" t="s">
        <v>115</v>
      </c>
      <c r="I702" s="56" t="s">
        <v>115</v>
      </c>
      <c r="J702" s="11"/>
      <c r="K702" s="11"/>
      <c r="L702" s="11"/>
      <c r="M702" s="30" t="s">
        <v>115</v>
      </c>
      <c r="O702" s="55" t="s">
        <v>116</v>
      </c>
      <c r="P702" s="34"/>
      <c r="Q702" s="34"/>
      <c r="R702" s="34"/>
      <c r="S702" s="35" t="s">
        <v>116</v>
      </c>
      <c r="U702" s="57" t="s">
        <v>117</v>
      </c>
      <c r="V702" s="42"/>
      <c r="W702" s="42"/>
      <c r="X702" s="42"/>
      <c r="Y702" s="43" t="s">
        <v>117</v>
      </c>
    </row>
    <row r="703" spans="1:25" ht="15" thickBot="1" x14ac:dyDescent="0.4">
      <c r="A703" s="2"/>
      <c r="B703" s="2"/>
      <c r="C703" s="2"/>
      <c r="D703" s="18" t="s">
        <v>118</v>
      </c>
      <c r="E703" s="19" t="s">
        <v>119</v>
      </c>
      <c r="F703" s="18" t="s">
        <v>120</v>
      </c>
      <c r="G703" s="12" t="s">
        <v>121</v>
      </c>
      <c r="I703" s="2"/>
      <c r="J703" s="18" t="s">
        <v>118</v>
      </c>
      <c r="K703" s="19" t="s">
        <v>119</v>
      </c>
      <c r="L703" s="18" t="s">
        <v>120</v>
      </c>
      <c r="M703" s="12" t="s">
        <v>121</v>
      </c>
      <c r="O703" s="34"/>
      <c r="P703" s="18" t="s">
        <v>118</v>
      </c>
      <c r="Q703" s="19" t="s">
        <v>119</v>
      </c>
      <c r="R703" s="18" t="s">
        <v>120</v>
      </c>
      <c r="S703" s="39" t="s">
        <v>121</v>
      </c>
      <c r="U703" s="42"/>
      <c r="V703" s="18" t="s">
        <v>118</v>
      </c>
      <c r="W703" s="19" t="s">
        <v>119</v>
      </c>
      <c r="X703" s="18" t="s">
        <v>120</v>
      </c>
      <c r="Y703" s="47" t="s">
        <v>121</v>
      </c>
    </row>
    <row r="704" spans="1:25" ht="15" thickTop="1" x14ac:dyDescent="0.35">
      <c r="A704" s="22" t="s">
        <v>122</v>
      </c>
      <c r="B704" s="2"/>
      <c r="C704" s="21" t="s">
        <v>25</v>
      </c>
      <c r="D704" s="23">
        <v>1315275</v>
      </c>
      <c r="E704" s="14">
        <f>D704/D710</f>
        <v>0.75647948816313992</v>
      </c>
      <c r="F704">
        <v>99.96</v>
      </c>
      <c r="G704" s="15">
        <f t="shared" ref="G704:G709" si="306">E704*F704</f>
        <v>75.61768963678746</v>
      </c>
      <c r="I704" s="21" t="s">
        <v>25</v>
      </c>
      <c r="J704" t="s">
        <v>262</v>
      </c>
      <c r="K704" s="14" t="e">
        <f>J704/J710</f>
        <v>#VALUE!</v>
      </c>
      <c r="L704">
        <v>99.96</v>
      </c>
      <c r="M704" s="15" t="e">
        <f t="shared" ref="M704:M709" si="307">K704*L704</f>
        <v>#VALUE!</v>
      </c>
      <c r="O704" s="38" t="s">
        <v>25</v>
      </c>
      <c r="P704" s="13"/>
      <c r="Q704" s="14" t="e">
        <f>P704/P709</f>
        <v>#DIV/0!</v>
      </c>
      <c r="R704">
        <v>99.95</v>
      </c>
      <c r="S704" s="40" t="e">
        <f t="shared" ref="S704:S707" si="308">Q704*R704</f>
        <v>#DIV/0!</v>
      </c>
      <c r="U704" s="46" t="s">
        <v>25</v>
      </c>
      <c r="V704" s="52"/>
      <c r="W704" s="14" t="e">
        <f>V704/V709</f>
        <v>#DIV/0!</v>
      </c>
      <c r="X704">
        <v>99.95</v>
      </c>
      <c r="Y704" s="48" t="e">
        <f t="shared" ref="Y704:Y705" si="309">W704*X704</f>
        <v>#DIV/0!</v>
      </c>
    </row>
    <row r="705" spans="1:25" x14ac:dyDescent="0.35">
      <c r="A705" s="23">
        <v>1311786</v>
      </c>
      <c r="B705" s="2"/>
      <c r="C705" s="21" t="s">
        <v>29</v>
      </c>
      <c r="D705" s="13">
        <v>135539</v>
      </c>
      <c r="E705" s="14">
        <f>D705/D710</f>
        <v>7.7955160210711694E-2</v>
      </c>
      <c r="F705">
        <v>99.89</v>
      </c>
      <c r="G705" s="15">
        <f t="shared" si="306"/>
        <v>7.7869409534479912</v>
      </c>
      <c r="I705" s="21" t="s">
        <v>29</v>
      </c>
      <c r="J705" t="s">
        <v>263</v>
      </c>
      <c r="K705" s="14" t="e">
        <f>J705/J710</f>
        <v>#VALUE!</v>
      </c>
      <c r="L705">
        <v>99.89</v>
      </c>
      <c r="M705" s="15" t="e">
        <f t="shared" si="307"/>
        <v>#VALUE!</v>
      </c>
      <c r="O705" s="38" t="s">
        <v>29</v>
      </c>
      <c r="P705" s="13"/>
      <c r="Q705" s="14" t="e">
        <f>P705/P709</f>
        <v>#DIV/0!</v>
      </c>
      <c r="R705">
        <v>99.89</v>
      </c>
      <c r="S705" s="40" t="e">
        <f t="shared" si="308"/>
        <v>#DIV/0!</v>
      </c>
      <c r="U705" s="46" t="s">
        <v>29</v>
      </c>
      <c r="V705" s="52"/>
      <c r="W705" s="14" t="e">
        <f>V705/V709</f>
        <v>#DIV/0!</v>
      </c>
      <c r="X705">
        <v>99.89</v>
      </c>
      <c r="Y705" s="48" t="e">
        <f t="shared" si="309"/>
        <v>#DIV/0!</v>
      </c>
    </row>
    <row r="706" spans="1:25" x14ac:dyDescent="0.35">
      <c r="A706" s="23">
        <v>12</v>
      </c>
      <c r="B706" s="2"/>
      <c r="C706" s="21" t="s">
        <v>30</v>
      </c>
      <c r="D706" s="13">
        <v>5781</v>
      </c>
      <c r="E706" s="14">
        <f>D706/D710</f>
        <v>3.324938070799728E-3</v>
      </c>
      <c r="F706">
        <v>99.96</v>
      </c>
      <c r="G706" s="15">
        <f t="shared" si="306"/>
        <v>0.33236080955714081</v>
      </c>
      <c r="I706" s="21" t="s">
        <v>30</v>
      </c>
      <c r="J706" t="s">
        <v>264</v>
      </c>
      <c r="K706" s="14" t="e">
        <f>J706/J710</f>
        <v>#VALUE!</v>
      </c>
      <c r="L706">
        <v>99.96</v>
      </c>
      <c r="M706" s="15" t="e">
        <f t="shared" si="307"/>
        <v>#VALUE!</v>
      </c>
      <c r="O706" s="38" t="s">
        <v>30</v>
      </c>
      <c r="P706" s="13"/>
      <c r="Q706" s="14" t="e">
        <f>P706/P709</f>
        <v>#DIV/0!</v>
      </c>
      <c r="R706">
        <v>99.95</v>
      </c>
      <c r="S706" s="40" t="e">
        <f t="shared" si="308"/>
        <v>#DIV/0!</v>
      </c>
      <c r="U706" s="46" t="s">
        <v>30</v>
      </c>
      <c r="V706" s="52"/>
      <c r="W706" s="14" t="e">
        <f>V706/V709</f>
        <v>#DIV/0!</v>
      </c>
      <c r="X706">
        <v>99.95</v>
      </c>
      <c r="Y706" s="48" t="e">
        <f>W706*X706</f>
        <v>#DIV/0!</v>
      </c>
    </row>
    <row r="707" spans="1:25" x14ac:dyDescent="0.35">
      <c r="A707" s="23">
        <v>3477</v>
      </c>
      <c r="B707" s="2"/>
      <c r="C707" s="21" t="s">
        <v>31</v>
      </c>
      <c r="D707" s="13">
        <v>198024</v>
      </c>
      <c r="E707" s="14">
        <f>D707/D710</f>
        <v>0.11389336386992653</v>
      </c>
      <c r="F707">
        <v>99.96</v>
      </c>
      <c r="G707" s="15">
        <f t="shared" si="306"/>
        <v>11.384780652437856</v>
      </c>
      <c r="I707" s="21" t="s">
        <v>31</v>
      </c>
      <c r="J707" t="s">
        <v>265</v>
      </c>
      <c r="K707" s="14" t="e">
        <f>J707/J710</f>
        <v>#VALUE!</v>
      </c>
      <c r="L707">
        <v>99.96</v>
      </c>
      <c r="M707" s="15" t="e">
        <f t="shared" si="307"/>
        <v>#VALUE!</v>
      </c>
      <c r="O707" s="38" t="s">
        <v>31</v>
      </c>
      <c r="P707" s="13"/>
      <c r="Q707" s="14" t="e">
        <f>P707/P709</f>
        <v>#DIV/0!</v>
      </c>
      <c r="R707">
        <v>99.95</v>
      </c>
      <c r="S707" s="40" t="e">
        <f t="shared" si="308"/>
        <v>#DIV/0!</v>
      </c>
      <c r="U707" s="46" t="s">
        <v>31</v>
      </c>
      <c r="V707" s="52"/>
      <c r="W707" s="14" t="e">
        <f>V707/V709</f>
        <v>#DIV/0!</v>
      </c>
      <c r="X707">
        <v>99.95</v>
      </c>
      <c r="Y707" s="48" t="e">
        <f t="shared" ref="Y707" si="310">W707*X707</f>
        <v>#DIV/0!</v>
      </c>
    </row>
    <row r="708" spans="1:25" ht="15" thickBot="1" x14ac:dyDescent="0.4">
      <c r="A708" s="24">
        <f>SUM(A705:A707)</f>
        <v>1315275</v>
      </c>
      <c r="B708" s="2"/>
      <c r="C708" s="21" t="s">
        <v>32</v>
      </c>
      <c r="D708" s="13">
        <v>132</v>
      </c>
      <c r="E708" s="14">
        <f>D708/D710</f>
        <v>7.5919706857907645E-5</v>
      </c>
      <c r="F708">
        <v>99.96</v>
      </c>
      <c r="G708" s="15">
        <f t="shared" si="306"/>
        <v>7.5889338975164474E-3</v>
      </c>
      <c r="I708" s="21" t="s">
        <v>32</v>
      </c>
      <c r="J708" t="s">
        <v>266</v>
      </c>
      <c r="K708" s="14" t="e">
        <f>J708/J710</f>
        <v>#VALUE!</v>
      </c>
      <c r="L708">
        <v>99.96</v>
      </c>
      <c r="M708" s="15" t="e">
        <f t="shared" si="307"/>
        <v>#VALUE!</v>
      </c>
      <c r="O708" s="38" t="s">
        <v>33</v>
      </c>
      <c r="P708" s="13"/>
      <c r="Q708" s="14" t="e">
        <f>P708/P709</f>
        <v>#DIV/0!</v>
      </c>
      <c r="R708">
        <v>99.94</v>
      </c>
      <c r="S708" s="40" t="e">
        <f>Q708*R708</f>
        <v>#DIV/0!</v>
      </c>
      <c r="U708" s="46" t="s">
        <v>33</v>
      </c>
      <c r="V708" s="52"/>
      <c r="W708" s="14" t="e">
        <f>V708/V709</f>
        <v>#DIV/0!</v>
      </c>
      <c r="X708">
        <v>99.94</v>
      </c>
      <c r="Y708" s="48" t="e">
        <f>W708*X708</f>
        <v>#DIV/0!</v>
      </c>
    </row>
    <row r="709" spans="1:25" ht="15.5" thickTop="1" thickBot="1" x14ac:dyDescent="0.4">
      <c r="B709" s="2"/>
      <c r="C709" s="21" t="s">
        <v>33</v>
      </c>
      <c r="D709" s="13">
        <v>83928</v>
      </c>
      <c r="E709" s="16">
        <f>D709/D710</f>
        <v>4.8271129978564184E-2</v>
      </c>
      <c r="F709">
        <v>99.93</v>
      </c>
      <c r="G709" s="15">
        <f t="shared" si="306"/>
        <v>4.8237340187579196</v>
      </c>
      <c r="I709" s="21" t="s">
        <v>33</v>
      </c>
      <c r="J709" t="s">
        <v>267</v>
      </c>
      <c r="K709" s="16" t="e">
        <f>J709/J710</f>
        <v>#VALUE!</v>
      </c>
      <c r="L709">
        <v>99.93</v>
      </c>
      <c r="M709" s="15" t="e">
        <f t="shared" si="307"/>
        <v>#VALUE!</v>
      </c>
      <c r="O709" s="38"/>
      <c r="P709" s="31">
        <f>SUM(P704:P708)</f>
        <v>0</v>
      </c>
      <c r="Q709" s="32" t="e">
        <f>SUM(Q704:Q708)</f>
        <v>#DIV/0!</v>
      </c>
      <c r="R709" s="33">
        <f>AVERAGE(R704:R708)</f>
        <v>99.936000000000007</v>
      </c>
      <c r="S709" s="41" t="e">
        <f>SUM(S704:S708)</f>
        <v>#DIV/0!</v>
      </c>
      <c r="U709" s="46"/>
      <c r="V709" s="52">
        <f>SUM(V704:V708)</f>
        <v>0</v>
      </c>
      <c r="W709" s="32" t="e">
        <f>SUM(W704:W708)</f>
        <v>#DIV/0!</v>
      </c>
      <c r="X709" s="33">
        <f>AVERAGE(X704:X708)</f>
        <v>99.936000000000007</v>
      </c>
      <c r="Y709" s="58" t="e">
        <f>SUM(Y704:Y708)</f>
        <v>#DIV/0!</v>
      </c>
    </row>
    <row r="710" spans="1:25" ht="15" thickBot="1" x14ac:dyDescent="0.4">
      <c r="A710" s="10"/>
      <c r="B710" s="10"/>
      <c r="C710" s="10"/>
      <c r="D710" s="49">
        <f>SUM(D704:D709)</f>
        <v>1738679</v>
      </c>
      <c r="E710" s="50">
        <f>SUM(E704:E709)</f>
        <v>1</v>
      </c>
      <c r="F710" s="51">
        <f>AVERAGE(F704:F709)</f>
        <v>99.943333333333328</v>
      </c>
      <c r="G710" s="26">
        <f>SUM(G704:G709)</f>
        <v>99.953095004885895</v>
      </c>
      <c r="I710" s="10"/>
      <c r="J710" s="49">
        <f>SUM(J704:J709)</f>
        <v>0</v>
      </c>
      <c r="K710" s="50" t="e">
        <f>SUM(K704:K709)</f>
        <v>#VALUE!</v>
      </c>
      <c r="L710" s="51">
        <f>AVERAGE(L704:L709)</f>
        <v>99.943333333333328</v>
      </c>
      <c r="M710" s="26" t="e">
        <f>SUM(M704:M709)</f>
        <v>#VALUE!</v>
      </c>
      <c r="O710" s="34"/>
      <c r="P710" s="34"/>
      <c r="Q710" s="34"/>
      <c r="R710" s="36"/>
      <c r="S710" s="40"/>
      <c r="U710" s="42"/>
      <c r="V710" s="42"/>
      <c r="W710" s="42"/>
      <c r="X710" s="44"/>
      <c r="Y710" s="45"/>
    </row>
    <row r="711" spans="1:25" ht="15" thickTop="1" x14ac:dyDescent="0.35">
      <c r="A711" s="29" t="s">
        <v>273</v>
      </c>
      <c r="B711" s="28"/>
      <c r="C711" s="28"/>
      <c r="D711" s="28"/>
      <c r="E711" s="28"/>
      <c r="F711" s="28"/>
      <c r="G711" s="28"/>
      <c r="I711" s="28"/>
      <c r="J711" s="28"/>
      <c r="K711" s="28"/>
      <c r="L711" s="28"/>
      <c r="M711" s="28"/>
      <c r="O711" s="28"/>
      <c r="P711" s="28"/>
      <c r="Q711" s="28"/>
      <c r="R711" s="28"/>
      <c r="S711" s="28"/>
      <c r="U711" s="28"/>
      <c r="V711" s="28"/>
      <c r="W711" s="28"/>
      <c r="X711" s="28"/>
      <c r="Y711" s="28"/>
    </row>
    <row r="712" spans="1:25" x14ac:dyDescent="0.35">
      <c r="A712" s="20" t="s">
        <v>272</v>
      </c>
      <c r="B712" s="20"/>
      <c r="C712" s="56" t="s">
        <v>115</v>
      </c>
      <c r="D712" s="11"/>
      <c r="E712" s="11"/>
      <c r="F712" s="11"/>
      <c r="G712" s="30" t="s">
        <v>115</v>
      </c>
      <c r="I712" s="56" t="s">
        <v>115</v>
      </c>
      <c r="J712" s="11"/>
      <c r="K712" s="11"/>
      <c r="L712" s="11"/>
      <c r="M712" s="30" t="s">
        <v>115</v>
      </c>
      <c r="O712" s="55" t="s">
        <v>116</v>
      </c>
      <c r="P712" s="34"/>
      <c r="Q712" s="34"/>
      <c r="R712" s="34"/>
      <c r="S712" s="35" t="s">
        <v>116</v>
      </c>
      <c r="U712" s="57" t="s">
        <v>117</v>
      </c>
      <c r="V712" s="42"/>
      <c r="W712" s="42"/>
      <c r="X712" s="42"/>
      <c r="Y712" s="43" t="s">
        <v>117</v>
      </c>
    </row>
    <row r="713" spans="1:25" ht="15" thickBot="1" x14ac:dyDescent="0.4">
      <c r="A713" s="2"/>
      <c r="B713" s="2"/>
      <c r="C713" s="2"/>
      <c r="D713" s="18" t="s">
        <v>118</v>
      </c>
      <c r="E713" s="19" t="s">
        <v>119</v>
      </c>
      <c r="F713" s="18" t="s">
        <v>120</v>
      </c>
      <c r="G713" s="12" t="s">
        <v>121</v>
      </c>
      <c r="I713" s="2"/>
      <c r="J713" s="18" t="s">
        <v>118</v>
      </c>
      <c r="K713" s="19" t="s">
        <v>119</v>
      </c>
      <c r="L713" s="18" t="s">
        <v>120</v>
      </c>
      <c r="M713" s="12" t="s">
        <v>121</v>
      </c>
      <c r="O713" s="34"/>
      <c r="P713" s="18" t="s">
        <v>118</v>
      </c>
      <c r="Q713" s="19" t="s">
        <v>119</v>
      </c>
      <c r="R713" s="18" t="s">
        <v>120</v>
      </c>
      <c r="S713" s="39" t="s">
        <v>121</v>
      </c>
      <c r="U713" s="42"/>
      <c r="V713" s="18" t="s">
        <v>118</v>
      </c>
      <c r="W713" s="19" t="s">
        <v>119</v>
      </c>
      <c r="X713" s="18" t="s">
        <v>120</v>
      </c>
      <c r="Y713" s="47" t="s">
        <v>121</v>
      </c>
    </row>
    <row r="714" spans="1:25" ht="15" thickTop="1" x14ac:dyDescent="0.35">
      <c r="A714" s="22" t="s">
        <v>122</v>
      </c>
      <c r="B714" s="2"/>
      <c r="C714" s="21" t="s">
        <v>25</v>
      </c>
      <c r="D714" s="23">
        <v>1316524</v>
      </c>
      <c r="E714" s="14">
        <f>D714/D720</f>
        <v>0.75666690997580899</v>
      </c>
      <c r="F714">
        <v>99.96</v>
      </c>
      <c r="G714" s="15">
        <f t="shared" ref="G714:G719" si="311">E714*F714</f>
        <v>75.636424321181863</v>
      </c>
      <c r="I714" s="21" t="s">
        <v>25</v>
      </c>
      <c r="J714" s="52"/>
      <c r="K714" s="14" t="e">
        <f>J714/J720</f>
        <v>#DIV/0!</v>
      </c>
      <c r="L714">
        <v>99.96</v>
      </c>
      <c r="M714" s="15" t="e">
        <f t="shared" ref="M714:M719" si="312">K714*L714</f>
        <v>#DIV/0!</v>
      </c>
      <c r="O714" s="38" t="s">
        <v>25</v>
      </c>
      <c r="P714" s="13"/>
      <c r="Q714" s="14" t="e">
        <f>P714/P719</f>
        <v>#DIV/0!</v>
      </c>
      <c r="R714">
        <v>99.96</v>
      </c>
      <c r="S714" s="40" t="e">
        <f t="shared" ref="S714:S717" si="313">Q714*R714</f>
        <v>#DIV/0!</v>
      </c>
      <c r="U714" s="46" t="s">
        <v>25</v>
      </c>
      <c r="V714" s="52"/>
      <c r="W714" s="14" t="e">
        <f>V714/V719</f>
        <v>#DIV/0!</v>
      </c>
      <c r="X714">
        <v>99.96</v>
      </c>
      <c r="Y714" s="48" t="e">
        <f t="shared" ref="Y714:Y715" si="314">W714*X714</f>
        <v>#DIV/0!</v>
      </c>
    </row>
    <row r="715" spans="1:25" x14ac:dyDescent="0.35">
      <c r="A715" s="23">
        <v>1313035</v>
      </c>
      <c r="B715" s="2"/>
      <c r="C715" s="21" t="s">
        <v>29</v>
      </c>
      <c r="D715" s="13">
        <v>135940</v>
      </c>
      <c r="E715" s="14">
        <f>D715/D720</f>
        <v>7.8130971970212071E-2</v>
      </c>
      <c r="F715">
        <v>99.9</v>
      </c>
      <c r="G715" s="15">
        <f t="shared" si="311"/>
        <v>7.8052840998241866</v>
      </c>
      <c r="I715" s="21" t="s">
        <v>29</v>
      </c>
      <c r="J715" s="52"/>
      <c r="K715" s="14" t="e">
        <f>J715/J720</f>
        <v>#DIV/0!</v>
      </c>
      <c r="L715">
        <v>99.86</v>
      </c>
      <c r="M715" s="15" t="e">
        <f t="shared" si="312"/>
        <v>#DIV/0!</v>
      </c>
      <c r="O715" s="38" t="s">
        <v>29</v>
      </c>
      <c r="P715" s="13"/>
      <c r="Q715" s="14" t="e">
        <f>P715/P719</f>
        <v>#DIV/0!</v>
      </c>
      <c r="R715">
        <v>99.9</v>
      </c>
      <c r="S715" s="40" t="e">
        <f t="shared" si="313"/>
        <v>#DIV/0!</v>
      </c>
      <c r="U715" s="46" t="s">
        <v>29</v>
      </c>
      <c r="V715" s="52"/>
      <c r="W715" s="14" t="e">
        <f>V715/V719</f>
        <v>#DIV/0!</v>
      </c>
      <c r="X715">
        <v>99.87</v>
      </c>
      <c r="Y715" s="48" t="e">
        <f t="shared" si="314"/>
        <v>#DIV/0!</v>
      </c>
    </row>
    <row r="716" spans="1:25" x14ac:dyDescent="0.35">
      <c r="A716" s="23">
        <v>12</v>
      </c>
      <c r="B716" s="2"/>
      <c r="C716" s="21" t="s">
        <v>30</v>
      </c>
      <c r="D716" s="13">
        <v>5803</v>
      </c>
      <c r="E716" s="14">
        <f>D716/D720</f>
        <v>3.3352510691712564E-3</v>
      </c>
      <c r="F716">
        <v>99.96</v>
      </c>
      <c r="G716" s="15">
        <f t="shared" si="311"/>
        <v>0.33339169687435877</v>
      </c>
      <c r="I716" s="21" t="s">
        <v>30</v>
      </c>
      <c r="J716" s="52"/>
      <c r="K716" s="14" t="e">
        <f>J716/J720</f>
        <v>#DIV/0!</v>
      </c>
      <c r="L716">
        <v>99.96</v>
      </c>
      <c r="M716" s="15" t="e">
        <f t="shared" si="312"/>
        <v>#DIV/0!</v>
      </c>
      <c r="O716" s="38" t="s">
        <v>30</v>
      </c>
      <c r="P716" s="13"/>
      <c r="Q716" s="14" t="e">
        <f>P716/P719</f>
        <v>#DIV/0!</v>
      </c>
      <c r="R716">
        <v>99.96</v>
      </c>
      <c r="S716" s="40" t="e">
        <f t="shared" si="313"/>
        <v>#DIV/0!</v>
      </c>
      <c r="U716" s="46" t="s">
        <v>30</v>
      </c>
      <c r="V716" s="52"/>
      <c r="W716" s="14" t="e">
        <f>V716/V719</f>
        <v>#DIV/0!</v>
      </c>
      <c r="X716">
        <v>99.96</v>
      </c>
      <c r="Y716" s="48" t="e">
        <f>W716*X716</f>
        <v>#DIV/0!</v>
      </c>
    </row>
    <row r="717" spans="1:25" x14ac:dyDescent="0.35">
      <c r="A717" s="23">
        <v>3477</v>
      </c>
      <c r="B717" s="2"/>
      <c r="C717" s="21" t="s">
        <v>31</v>
      </c>
      <c r="D717" s="13">
        <v>197697</v>
      </c>
      <c r="E717" s="14">
        <f>D717/D720</f>
        <v>0.1136255610239445</v>
      </c>
      <c r="F717">
        <v>99.96</v>
      </c>
      <c r="G717" s="15">
        <f t="shared" si="311"/>
        <v>11.358011079953492</v>
      </c>
      <c r="I717" s="21" t="s">
        <v>31</v>
      </c>
      <c r="J717" s="52"/>
      <c r="K717" s="14" t="e">
        <f>J717/J720</f>
        <v>#DIV/0!</v>
      </c>
      <c r="L717">
        <v>99.96</v>
      </c>
      <c r="M717" s="15" t="e">
        <f t="shared" si="312"/>
        <v>#DIV/0!</v>
      </c>
      <c r="O717" s="38" t="s">
        <v>31</v>
      </c>
      <c r="P717" s="13"/>
      <c r="Q717" s="14" t="e">
        <f>P717/P719</f>
        <v>#DIV/0!</v>
      </c>
      <c r="R717">
        <v>99.96</v>
      </c>
      <c r="S717" s="40" t="e">
        <f t="shared" si="313"/>
        <v>#DIV/0!</v>
      </c>
      <c r="U717" s="46" t="s">
        <v>31</v>
      </c>
      <c r="V717" s="52"/>
      <c r="W717" s="14" t="e">
        <f>V717/V719</f>
        <v>#DIV/0!</v>
      </c>
      <c r="X717">
        <v>99.96</v>
      </c>
      <c r="Y717" s="48" t="e">
        <f t="shared" ref="Y717" si="315">W717*X717</f>
        <v>#DIV/0!</v>
      </c>
    </row>
    <row r="718" spans="1:25" ht="15" thickBot="1" x14ac:dyDescent="0.4">
      <c r="A718" s="24">
        <f>SUM(A715:A717)</f>
        <v>1316524</v>
      </c>
      <c r="B718" s="2"/>
      <c r="C718" s="21" t="s">
        <v>32</v>
      </c>
      <c r="D718" s="13">
        <v>132</v>
      </c>
      <c r="E718" s="14">
        <f>D718/D720</f>
        <v>7.5866472709048047E-5</v>
      </c>
      <c r="F718">
        <v>99.96</v>
      </c>
      <c r="G718" s="15">
        <f t="shared" si="311"/>
        <v>7.5836126119964422E-3</v>
      </c>
      <c r="I718" s="21" t="s">
        <v>32</v>
      </c>
      <c r="J718" s="52"/>
      <c r="K718" s="14" t="e">
        <f>J718/J720</f>
        <v>#DIV/0!</v>
      </c>
      <c r="L718">
        <v>99.96</v>
      </c>
      <c r="M718" s="15" t="e">
        <f t="shared" si="312"/>
        <v>#DIV/0!</v>
      </c>
      <c r="O718" s="38" t="s">
        <v>33</v>
      </c>
      <c r="P718" s="13"/>
      <c r="Q718" s="14" t="e">
        <f>P718/P719</f>
        <v>#DIV/0!</v>
      </c>
      <c r="R718">
        <v>99.95</v>
      </c>
      <c r="S718" s="40" t="e">
        <f>Q718*R718</f>
        <v>#DIV/0!</v>
      </c>
      <c r="U718" s="46" t="s">
        <v>33</v>
      </c>
      <c r="V718" s="52"/>
      <c r="W718" s="14" t="e">
        <f>V718/V719</f>
        <v>#DIV/0!</v>
      </c>
      <c r="X718">
        <v>99.95</v>
      </c>
      <c r="Y718" s="48" t="e">
        <f>W718*X718</f>
        <v>#DIV/0!</v>
      </c>
    </row>
    <row r="719" spans="1:25" ht="15.5" thickTop="1" thickBot="1" x14ac:dyDescent="0.4">
      <c r="B719" s="2"/>
      <c r="C719" s="21" t="s">
        <v>33</v>
      </c>
      <c r="D719" s="13">
        <v>83803</v>
      </c>
      <c r="E719" s="16">
        <f>D719/D720</f>
        <v>4.8165439488154195E-2</v>
      </c>
      <c r="F719">
        <v>99.93</v>
      </c>
      <c r="G719" s="15">
        <f t="shared" si="311"/>
        <v>4.8131723680512488</v>
      </c>
      <c r="I719" s="21" t="s">
        <v>33</v>
      </c>
      <c r="J719" s="52"/>
      <c r="K719" s="16" t="e">
        <f>J719/J720</f>
        <v>#DIV/0!</v>
      </c>
      <c r="L719">
        <v>99.93</v>
      </c>
      <c r="M719" s="15" t="e">
        <f t="shared" si="312"/>
        <v>#DIV/0!</v>
      </c>
      <c r="O719" s="38"/>
      <c r="P719" s="31">
        <f>SUM(P714:P718)</f>
        <v>0</v>
      </c>
      <c r="Q719" s="32" t="e">
        <f>SUM(Q714:Q718)</f>
        <v>#DIV/0!</v>
      </c>
      <c r="R719" s="33">
        <f>AVERAGE(R714:R718)</f>
        <v>99.945999999999998</v>
      </c>
      <c r="S719" s="41" t="e">
        <f>SUM(S714:S718)</f>
        <v>#DIV/0!</v>
      </c>
      <c r="U719" s="46"/>
      <c r="V719" s="52">
        <f>SUM(V714:V718)</f>
        <v>0</v>
      </c>
      <c r="W719" s="32" t="e">
        <f>SUM(W714:W718)</f>
        <v>#DIV/0!</v>
      </c>
      <c r="X719" s="33">
        <f>AVERAGE(X714:X718)</f>
        <v>99.939999999999984</v>
      </c>
      <c r="Y719" s="58" t="e">
        <f>SUM(Y714:Y718)</f>
        <v>#DIV/0!</v>
      </c>
    </row>
    <row r="720" spans="1:25" ht="15" thickBot="1" x14ac:dyDescent="0.4">
      <c r="A720" s="10"/>
      <c r="B720" s="10"/>
      <c r="C720" s="10"/>
      <c r="D720" s="49">
        <f>SUM(D714:D719)</f>
        <v>1739899</v>
      </c>
      <c r="E720" s="50">
        <f>SUM(E714:E719)</f>
        <v>1</v>
      </c>
      <c r="F720" s="51">
        <f>AVERAGE(F714:F719)</f>
        <v>99.944999999999993</v>
      </c>
      <c r="G720" s="26">
        <f>SUM(G714:G719)</f>
        <v>99.953867178497148</v>
      </c>
      <c r="I720" s="10"/>
      <c r="J720" s="49">
        <f>SUM(J714:J719)</f>
        <v>0</v>
      </c>
      <c r="K720" s="50" t="e">
        <f>SUM(K714:K719)</f>
        <v>#DIV/0!</v>
      </c>
      <c r="L720" s="51">
        <f>AVERAGE(L714:L719)</f>
        <v>99.938333333333318</v>
      </c>
      <c r="M720" s="26" t="e">
        <f>SUM(M714:M719)</f>
        <v>#DIV/0!</v>
      </c>
      <c r="O720" s="34"/>
      <c r="P720" s="34"/>
      <c r="Q720" s="34"/>
      <c r="R720" s="36"/>
      <c r="S720" s="40"/>
      <c r="U720" s="42"/>
      <c r="V720" s="42"/>
      <c r="W720" s="42"/>
      <c r="X720" s="44"/>
      <c r="Y720" s="45"/>
    </row>
    <row r="721" spans="1:25" ht="15" thickTop="1" x14ac:dyDescent="0.35">
      <c r="A721" s="29" t="s">
        <v>271</v>
      </c>
      <c r="B721" s="28"/>
      <c r="C721" s="28"/>
      <c r="D721" s="28"/>
      <c r="E721" s="28"/>
      <c r="F721" s="28"/>
      <c r="G721" s="28"/>
      <c r="I721" s="28"/>
      <c r="J721" s="28"/>
      <c r="K721" s="28"/>
      <c r="L721" s="28"/>
      <c r="M721" s="28"/>
      <c r="O721" s="28"/>
      <c r="P721" s="28"/>
      <c r="Q721" s="28"/>
      <c r="R721" s="28"/>
      <c r="S721" s="28"/>
      <c r="U721" s="28"/>
      <c r="V721" s="28"/>
      <c r="W721" s="28"/>
      <c r="X721" s="28"/>
      <c r="Y721" s="28"/>
    </row>
    <row r="722" spans="1:25" x14ac:dyDescent="0.35">
      <c r="A722" s="20" t="s">
        <v>272</v>
      </c>
      <c r="B722" s="20"/>
      <c r="C722" s="56" t="s">
        <v>115</v>
      </c>
      <c r="D722" s="11"/>
      <c r="E722" s="11"/>
      <c r="F722" s="11"/>
      <c r="G722" s="30" t="s">
        <v>115</v>
      </c>
      <c r="I722" s="56" t="s">
        <v>115</v>
      </c>
      <c r="J722" s="11"/>
      <c r="K722" s="11"/>
      <c r="L722" s="11"/>
      <c r="M722" s="30" t="s">
        <v>115</v>
      </c>
      <c r="O722" s="55" t="s">
        <v>116</v>
      </c>
      <c r="P722" s="34"/>
      <c r="Q722" s="34"/>
      <c r="R722" s="34"/>
      <c r="S722" s="35" t="s">
        <v>116</v>
      </c>
      <c r="U722" s="57" t="s">
        <v>117</v>
      </c>
      <c r="V722" s="42"/>
      <c r="W722" s="42"/>
      <c r="X722" s="42"/>
      <c r="Y722" s="43" t="s">
        <v>117</v>
      </c>
    </row>
    <row r="723" spans="1:25" ht="15" thickBot="1" x14ac:dyDescent="0.4">
      <c r="A723" s="2"/>
      <c r="B723" s="2"/>
      <c r="C723" s="2"/>
      <c r="D723" s="18" t="s">
        <v>118</v>
      </c>
      <c r="E723" s="19" t="s">
        <v>119</v>
      </c>
      <c r="F723" s="18" t="s">
        <v>120</v>
      </c>
      <c r="G723" s="12" t="s">
        <v>121</v>
      </c>
      <c r="I723" s="2"/>
      <c r="J723" s="18" t="s">
        <v>118</v>
      </c>
      <c r="K723" s="19" t="s">
        <v>119</v>
      </c>
      <c r="L723" s="18" t="s">
        <v>120</v>
      </c>
      <c r="M723" s="12" t="s">
        <v>121</v>
      </c>
      <c r="O723" s="34"/>
      <c r="P723" s="18" t="s">
        <v>118</v>
      </c>
      <c r="Q723" s="19" t="s">
        <v>119</v>
      </c>
      <c r="R723" s="18" t="s">
        <v>120</v>
      </c>
      <c r="S723" s="39" t="s">
        <v>121</v>
      </c>
      <c r="U723" s="42"/>
      <c r="V723" s="18" t="s">
        <v>118</v>
      </c>
      <c r="W723" s="19" t="s">
        <v>119</v>
      </c>
      <c r="X723" s="18" t="s">
        <v>120</v>
      </c>
      <c r="Y723" s="47" t="s">
        <v>121</v>
      </c>
    </row>
    <row r="724" spans="1:25" ht="15" thickTop="1" x14ac:dyDescent="0.35">
      <c r="A724" s="22" t="s">
        <v>122</v>
      </c>
      <c r="B724" s="2"/>
      <c r="C724" s="21" t="s">
        <v>25</v>
      </c>
      <c r="D724" s="23">
        <v>1315275</v>
      </c>
      <c r="E724" s="14">
        <f>D724/D730</f>
        <v>0.75647948816313992</v>
      </c>
      <c r="F724">
        <v>99.96</v>
      </c>
      <c r="G724" s="15">
        <f t="shared" ref="G724:G729" si="316">E724*F724</f>
        <v>75.61768963678746</v>
      </c>
      <c r="I724" s="21" t="s">
        <v>25</v>
      </c>
      <c r="J724" t="s">
        <v>262</v>
      </c>
      <c r="K724" s="14" t="e">
        <f>J724/J730</f>
        <v>#VALUE!</v>
      </c>
      <c r="L724">
        <v>99.96</v>
      </c>
      <c r="M724" s="15" t="e">
        <f t="shared" ref="M724:M729" si="317">K724*L724</f>
        <v>#VALUE!</v>
      </c>
      <c r="O724" s="38" t="s">
        <v>25</v>
      </c>
      <c r="P724" s="13"/>
      <c r="Q724" s="14" t="e">
        <f>P724/P729</f>
        <v>#DIV/0!</v>
      </c>
      <c r="R724">
        <v>99.95</v>
      </c>
      <c r="S724" s="40" t="e">
        <f t="shared" ref="S724:S727" si="318">Q724*R724</f>
        <v>#DIV/0!</v>
      </c>
      <c r="U724" s="46" t="s">
        <v>25</v>
      </c>
      <c r="V724" s="52"/>
      <c r="W724" s="14" t="e">
        <f>V724/V729</f>
        <v>#DIV/0!</v>
      </c>
      <c r="X724">
        <v>99.95</v>
      </c>
      <c r="Y724" s="48" t="e">
        <f t="shared" ref="Y724:Y725" si="319">W724*X724</f>
        <v>#DIV/0!</v>
      </c>
    </row>
    <row r="725" spans="1:25" x14ac:dyDescent="0.35">
      <c r="A725" s="23">
        <v>1311786</v>
      </c>
      <c r="B725" s="2"/>
      <c r="C725" s="21" t="s">
        <v>29</v>
      </c>
      <c r="D725" s="13">
        <v>135539</v>
      </c>
      <c r="E725" s="14">
        <f>D725/D730</f>
        <v>7.7955160210711694E-2</v>
      </c>
      <c r="F725">
        <v>99.89</v>
      </c>
      <c r="G725" s="15">
        <f t="shared" si="316"/>
        <v>7.7869409534479912</v>
      </c>
      <c r="I725" s="21" t="s">
        <v>29</v>
      </c>
      <c r="J725" t="s">
        <v>263</v>
      </c>
      <c r="K725" s="14" t="e">
        <f>J725/J730</f>
        <v>#VALUE!</v>
      </c>
      <c r="L725">
        <v>99.89</v>
      </c>
      <c r="M725" s="15" t="e">
        <f t="shared" si="317"/>
        <v>#VALUE!</v>
      </c>
      <c r="O725" s="38" t="s">
        <v>29</v>
      </c>
      <c r="P725" s="13"/>
      <c r="Q725" s="14" t="e">
        <f>P725/P729</f>
        <v>#DIV/0!</v>
      </c>
      <c r="R725">
        <v>99.89</v>
      </c>
      <c r="S725" s="40" t="e">
        <f t="shared" si="318"/>
        <v>#DIV/0!</v>
      </c>
      <c r="U725" s="46" t="s">
        <v>29</v>
      </c>
      <c r="V725" s="52"/>
      <c r="W725" s="14" t="e">
        <f>V725/V729</f>
        <v>#DIV/0!</v>
      </c>
      <c r="X725">
        <v>99.89</v>
      </c>
      <c r="Y725" s="48" t="e">
        <f t="shared" si="319"/>
        <v>#DIV/0!</v>
      </c>
    </row>
    <row r="726" spans="1:25" x14ac:dyDescent="0.35">
      <c r="A726" s="23">
        <v>12</v>
      </c>
      <c r="B726" s="2"/>
      <c r="C726" s="21" t="s">
        <v>30</v>
      </c>
      <c r="D726" s="13">
        <v>5781</v>
      </c>
      <c r="E726" s="14">
        <f>D726/D730</f>
        <v>3.324938070799728E-3</v>
      </c>
      <c r="F726">
        <v>99.96</v>
      </c>
      <c r="G726" s="15">
        <f t="shared" si="316"/>
        <v>0.33236080955714081</v>
      </c>
      <c r="I726" s="21" t="s">
        <v>30</v>
      </c>
      <c r="J726" t="s">
        <v>264</v>
      </c>
      <c r="K726" s="14" t="e">
        <f>J726/J730</f>
        <v>#VALUE!</v>
      </c>
      <c r="L726">
        <v>99.96</v>
      </c>
      <c r="M726" s="15" t="e">
        <f t="shared" si="317"/>
        <v>#VALUE!</v>
      </c>
      <c r="O726" s="38" t="s">
        <v>30</v>
      </c>
      <c r="P726" s="13"/>
      <c r="Q726" s="14" t="e">
        <f>P726/P729</f>
        <v>#DIV/0!</v>
      </c>
      <c r="R726">
        <v>99.95</v>
      </c>
      <c r="S726" s="40" t="e">
        <f t="shared" si="318"/>
        <v>#DIV/0!</v>
      </c>
      <c r="U726" s="46" t="s">
        <v>30</v>
      </c>
      <c r="V726" s="52"/>
      <c r="W726" s="14" t="e">
        <f>V726/V729</f>
        <v>#DIV/0!</v>
      </c>
      <c r="X726">
        <v>99.95</v>
      </c>
      <c r="Y726" s="48" t="e">
        <f>W726*X726</f>
        <v>#DIV/0!</v>
      </c>
    </row>
    <row r="727" spans="1:25" x14ac:dyDescent="0.35">
      <c r="A727" s="23">
        <v>3477</v>
      </c>
      <c r="B727" s="2"/>
      <c r="C727" s="21" t="s">
        <v>31</v>
      </c>
      <c r="D727" s="13">
        <v>198024</v>
      </c>
      <c r="E727" s="14">
        <f>D727/D730</f>
        <v>0.11389336386992653</v>
      </c>
      <c r="F727">
        <v>99.96</v>
      </c>
      <c r="G727" s="15">
        <f t="shared" si="316"/>
        <v>11.384780652437856</v>
      </c>
      <c r="I727" s="21" t="s">
        <v>31</v>
      </c>
      <c r="J727" t="s">
        <v>265</v>
      </c>
      <c r="K727" s="14" t="e">
        <f>J727/J730</f>
        <v>#VALUE!</v>
      </c>
      <c r="L727">
        <v>99.96</v>
      </c>
      <c r="M727" s="15" t="e">
        <f t="shared" si="317"/>
        <v>#VALUE!</v>
      </c>
      <c r="O727" s="38" t="s">
        <v>31</v>
      </c>
      <c r="P727" s="13"/>
      <c r="Q727" s="14" t="e">
        <f>P727/P729</f>
        <v>#DIV/0!</v>
      </c>
      <c r="R727">
        <v>99.95</v>
      </c>
      <c r="S727" s="40" t="e">
        <f t="shared" si="318"/>
        <v>#DIV/0!</v>
      </c>
      <c r="U727" s="46" t="s">
        <v>31</v>
      </c>
      <c r="V727" s="52"/>
      <c r="W727" s="14" t="e">
        <f>V727/V729</f>
        <v>#DIV/0!</v>
      </c>
      <c r="X727">
        <v>99.95</v>
      </c>
      <c r="Y727" s="48" t="e">
        <f t="shared" ref="Y727" si="320">W727*X727</f>
        <v>#DIV/0!</v>
      </c>
    </row>
    <row r="728" spans="1:25" ht="15" thickBot="1" x14ac:dyDescent="0.4">
      <c r="A728" s="24">
        <f>SUM(A725:A727)</f>
        <v>1315275</v>
      </c>
      <c r="B728" s="2"/>
      <c r="C728" s="21" t="s">
        <v>32</v>
      </c>
      <c r="D728" s="13">
        <v>132</v>
      </c>
      <c r="E728" s="14">
        <f>D728/D730</f>
        <v>7.5919706857907645E-5</v>
      </c>
      <c r="F728">
        <v>99.96</v>
      </c>
      <c r="G728" s="15">
        <f t="shared" si="316"/>
        <v>7.5889338975164474E-3</v>
      </c>
      <c r="I728" s="21" t="s">
        <v>32</v>
      </c>
      <c r="J728" t="s">
        <v>266</v>
      </c>
      <c r="K728" s="14" t="e">
        <f>J728/J730</f>
        <v>#VALUE!</v>
      </c>
      <c r="L728">
        <v>99.96</v>
      </c>
      <c r="M728" s="15" t="e">
        <f t="shared" si="317"/>
        <v>#VALUE!</v>
      </c>
      <c r="O728" s="38" t="s">
        <v>33</v>
      </c>
      <c r="P728" s="13"/>
      <c r="Q728" s="14" t="e">
        <f>P728/P729</f>
        <v>#DIV/0!</v>
      </c>
      <c r="R728">
        <v>99.94</v>
      </c>
      <c r="S728" s="40" t="e">
        <f>Q728*R728</f>
        <v>#DIV/0!</v>
      </c>
      <c r="U728" s="46" t="s">
        <v>33</v>
      </c>
      <c r="V728" s="52"/>
      <c r="W728" s="14" t="e">
        <f>V728/V729</f>
        <v>#DIV/0!</v>
      </c>
      <c r="X728">
        <v>99.94</v>
      </c>
      <c r="Y728" s="48" t="e">
        <f>W728*X728</f>
        <v>#DIV/0!</v>
      </c>
    </row>
    <row r="729" spans="1:25" ht="15.5" thickTop="1" thickBot="1" x14ac:dyDescent="0.4">
      <c r="B729" s="2"/>
      <c r="C729" s="21" t="s">
        <v>33</v>
      </c>
      <c r="D729" s="13">
        <v>83928</v>
      </c>
      <c r="E729" s="16">
        <f>D729/D730</f>
        <v>4.8271129978564184E-2</v>
      </c>
      <c r="F729">
        <v>99.93</v>
      </c>
      <c r="G729" s="15">
        <f t="shared" si="316"/>
        <v>4.8237340187579196</v>
      </c>
      <c r="I729" s="21" t="s">
        <v>33</v>
      </c>
      <c r="J729" t="s">
        <v>267</v>
      </c>
      <c r="K729" s="16" t="e">
        <f>J729/J730</f>
        <v>#VALUE!</v>
      </c>
      <c r="L729">
        <v>99.93</v>
      </c>
      <c r="M729" s="15" t="e">
        <f t="shared" si="317"/>
        <v>#VALUE!</v>
      </c>
      <c r="O729" s="38"/>
      <c r="P729" s="31">
        <f>SUM(P724:P728)</f>
        <v>0</v>
      </c>
      <c r="Q729" s="32" t="e">
        <f>SUM(Q724:Q728)</f>
        <v>#DIV/0!</v>
      </c>
      <c r="R729" s="33">
        <f>AVERAGE(R724:R728)</f>
        <v>99.936000000000007</v>
      </c>
      <c r="S729" s="41" t="e">
        <f>SUM(S724:S728)</f>
        <v>#DIV/0!</v>
      </c>
      <c r="U729" s="46"/>
      <c r="V729" s="52">
        <f>SUM(V724:V728)</f>
        <v>0</v>
      </c>
      <c r="W729" s="32" t="e">
        <f>SUM(W724:W728)</f>
        <v>#DIV/0!</v>
      </c>
      <c r="X729" s="33">
        <f>AVERAGE(X724:X728)</f>
        <v>99.936000000000007</v>
      </c>
      <c r="Y729" s="58" t="e">
        <f>SUM(Y724:Y728)</f>
        <v>#DIV/0!</v>
      </c>
    </row>
    <row r="730" spans="1:25" ht="15" thickBot="1" x14ac:dyDescent="0.4">
      <c r="A730" s="10"/>
      <c r="B730" s="10"/>
      <c r="C730" s="10"/>
      <c r="D730" s="49">
        <f>SUM(D724:D729)</f>
        <v>1738679</v>
      </c>
      <c r="E730" s="50">
        <f>SUM(E724:E729)</f>
        <v>1</v>
      </c>
      <c r="F730" s="51">
        <f>AVERAGE(F724:F729)</f>
        <v>99.943333333333328</v>
      </c>
      <c r="G730" s="26">
        <f>SUM(G724:G729)</f>
        <v>99.953095004885895</v>
      </c>
      <c r="I730" s="10"/>
      <c r="J730" s="49">
        <f>SUM(J724:J729)</f>
        <v>0</v>
      </c>
      <c r="K730" s="50" t="e">
        <f>SUM(K724:K729)</f>
        <v>#VALUE!</v>
      </c>
      <c r="L730" s="51">
        <f>AVERAGE(L724:L729)</f>
        <v>99.943333333333328</v>
      </c>
      <c r="M730" s="26" t="e">
        <f>SUM(M724:M729)</f>
        <v>#VALUE!</v>
      </c>
      <c r="O730" s="34"/>
      <c r="P730" s="34"/>
      <c r="Q730" s="34"/>
      <c r="R730" s="36"/>
      <c r="S730" s="40"/>
      <c r="U730" s="42"/>
      <c r="V730" s="42"/>
      <c r="W730" s="42"/>
      <c r="X730" s="44"/>
      <c r="Y730" s="45"/>
    </row>
    <row r="731" spans="1:25" ht="15" thickTop="1" x14ac:dyDescent="0.35">
      <c r="A731" s="29" t="s">
        <v>273</v>
      </c>
      <c r="B731" s="28"/>
      <c r="C731" s="28"/>
      <c r="D731" s="28"/>
      <c r="E731" s="28"/>
      <c r="F731" s="28"/>
      <c r="G731" s="28"/>
      <c r="I731" s="28"/>
      <c r="J731" s="28"/>
      <c r="K731" s="28"/>
      <c r="L731" s="28"/>
      <c r="M731" s="28"/>
      <c r="O731" s="28"/>
      <c r="P731" s="28"/>
      <c r="Q731" s="28"/>
      <c r="R731" s="28"/>
      <c r="S731" s="28"/>
      <c r="U731" s="28"/>
      <c r="V731" s="28"/>
      <c r="W731" s="28"/>
      <c r="X731" s="28"/>
      <c r="Y731" s="28"/>
    </row>
    <row r="732" spans="1:25" x14ac:dyDescent="0.35">
      <c r="A732" s="20" t="s">
        <v>272</v>
      </c>
      <c r="B732" s="20"/>
      <c r="C732" s="56" t="s">
        <v>115</v>
      </c>
      <c r="D732" s="11"/>
      <c r="E732" s="11"/>
      <c r="F732" s="11"/>
      <c r="G732" s="30" t="s">
        <v>115</v>
      </c>
      <c r="I732" s="56" t="s">
        <v>115</v>
      </c>
      <c r="J732" s="11"/>
      <c r="K732" s="11"/>
      <c r="L732" s="11"/>
      <c r="M732" s="30" t="s">
        <v>115</v>
      </c>
      <c r="O732" s="55" t="s">
        <v>116</v>
      </c>
      <c r="P732" s="34"/>
      <c r="Q732" s="34"/>
      <c r="R732" s="34"/>
      <c r="S732" s="35" t="s">
        <v>116</v>
      </c>
      <c r="U732" s="57" t="s">
        <v>117</v>
      </c>
      <c r="V732" s="42"/>
      <c r="W732" s="42"/>
      <c r="X732" s="42"/>
      <c r="Y732" s="43" t="s">
        <v>117</v>
      </c>
    </row>
    <row r="733" spans="1:25" ht="15" thickBot="1" x14ac:dyDescent="0.4">
      <c r="A733" s="2"/>
      <c r="B733" s="2"/>
      <c r="C733" s="2"/>
      <c r="D733" s="18" t="s">
        <v>118</v>
      </c>
      <c r="E733" s="19" t="s">
        <v>119</v>
      </c>
      <c r="F733" s="18" t="s">
        <v>120</v>
      </c>
      <c r="G733" s="12" t="s">
        <v>121</v>
      </c>
      <c r="I733" s="2"/>
      <c r="J733" s="18" t="s">
        <v>118</v>
      </c>
      <c r="K733" s="19" t="s">
        <v>119</v>
      </c>
      <c r="L733" s="18" t="s">
        <v>120</v>
      </c>
      <c r="M733" s="12" t="s">
        <v>121</v>
      </c>
      <c r="O733" s="34"/>
      <c r="P733" s="18" t="s">
        <v>118</v>
      </c>
      <c r="Q733" s="19" t="s">
        <v>119</v>
      </c>
      <c r="R733" s="18" t="s">
        <v>120</v>
      </c>
      <c r="S733" s="39" t="s">
        <v>121</v>
      </c>
      <c r="U733" s="42"/>
      <c r="V733" s="18" t="s">
        <v>118</v>
      </c>
      <c r="W733" s="19" t="s">
        <v>119</v>
      </c>
      <c r="X733" s="18" t="s">
        <v>120</v>
      </c>
      <c r="Y733" s="47" t="s">
        <v>121</v>
      </c>
    </row>
    <row r="734" spans="1:25" ht="15" thickTop="1" x14ac:dyDescent="0.35">
      <c r="A734" s="22" t="s">
        <v>122</v>
      </c>
      <c r="B734" s="2"/>
      <c r="C734" s="21" t="s">
        <v>25</v>
      </c>
      <c r="D734" s="23">
        <v>1316524</v>
      </c>
      <c r="E734" s="14">
        <f>D734/D740</f>
        <v>0.75666690997580899</v>
      </c>
      <c r="F734">
        <v>99.96</v>
      </c>
      <c r="G734" s="15">
        <f t="shared" ref="G734:G739" si="321">E734*F734</f>
        <v>75.636424321181863</v>
      </c>
      <c r="I734" s="21" t="s">
        <v>25</v>
      </c>
      <c r="J734" s="52"/>
      <c r="K734" s="14" t="e">
        <f>J734/J740</f>
        <v>#DIV/0!</v>
      </c>
      <c r="L734">
        <v>99.96</v>
      </c>
      <c r="M734" s="15" t="e">
        <f t="shared" ref="M734:M739" si="322">K734*L734</f>
        <v>#DIV/0!</v>
      </c>
      <c r="O734" s="38" t="s">
        <v>25</v>
      </c>
      <c r="P734" s="13"/>
      <c r="Q734" s="14" t="e">
        <f>P734/P739</f>
        <v>#DIV/0!</v>
      </c>
      <c r="R734">
        <v>99.96</v>
      </c>
      <c r="S734" s="40" t="e">
        <f t="shared" ref="S734:S737" si="323">Q734*R734</f>
        <v>#DIV/0!</v>
      </c>
      <c r="U734" s="46" t="s">
        <v>25</v>
      </c>
      <c r="V734" s="52"/>
      <c r="W734" s="14" t="e">
        <f>V734/V739</f>
        <v>#DIV/0!</v>
      </c>
      <c r="X734">
        <v>99.96</v>
      </c>
      <c r="Y734" s="48" t="e">
        <f t="shared" ref="Y734:Y735" si="324">W734*X734</f>
        <v>#DIV/0!</v>
      </c>
    </row>
    <row r="735" spans="1:25" x14ac:dyDescent="0.35">
      <c r="A735" s="23">
        <v>1313035</v>
      </c>
      <c r="B735" s="2"/>
      <c r="C735" s="21" t="s">
        <v>29</v>
      </c>
      <c r="D735" s="13">
        <v>135940</v>
      </c>
      <c r="E735" s="14">
        <f>D735/D740</f>
        <v>7.8130971970212071E-2</v>
      </c>
      <c r="F735">
        <v>99.9</v>
      </c>
      <c r="G735" s="15">
        <f t="shared" si="321"/>
        <v>7.8052840998241866</v>
      </c>
      <c r="I735" s="21" t="s">
        <v>29</v>
      </c>
      <c r="J735" s="52"/>
      <c r="K735" s="14" t="e">
        <f>J735/J740</f>
        <v>#DIV/0!</v>
      </c>
      <c r="L735">
        <v>99.86</v>
      </c>
      <c r="M735" s="15" t="e">
        <f t="shared" si="322"/>
        <v>#DIV/0!</v>
      </c>
      <c r="O735" s="38" t="s">
        <v>29</v>
      </c>
      <c r="P735" s="13"/>
      <c r="Q735" s="14" t="e">
        <f>P735/P739</f>
        <v>#DIV/0!</v>
      </c>
      <c r="R735">
        <v>99.9</v>
      </c>
      <c r="S735" s="40" t="e">
        <f t="shared" si="323"/>
        <v>#DIV/0!</v>
      </c>
      <c r="U735" s="46" t="s">
        <v>29</v>
      </c>
      <c r="V735" s="52"/>
      <c r="W735" s="14" t="e">
        <f>V735/V739</f>
        <v>#DIV/0!</v>
      </c>
      <c r="X735">
        <v>99.87</v>
      </c>
      <c r="Y735" s="48" t="e">
        <f t="shared" si="324"/>
        <v>#DIV/0!</v>
      </c>
    </row>
    <row r="736" spans="1:25" x14ac:dyDescent="0.35">
      <c r="A736" s="23">
        <v>12</v>
      </c>
      <c r="B736" s="2"/>
      <c r="C736" s="21" t="s">
        <v>30</v>
      </c>
      <c r="D736" s="13">
        <v>5803</v>
      </c>
      <c r="E736" s="14">
        <f>D736/D740</f>
        <v>3.3352510691712564E-3</v>
      </c>
      <c r="F736">
        <v>99.96</v>
      </c>
      <c r="G736" s="15">
        <f t="shared" si="321"/>
        <v>0.33339169687435877</v>
      </c>
      <c r="I736" s="21" t="s">
        <v>30</v>
      </c>
      <c r="J736" s="52"/>
      <c r="K736" s="14" t="e">
        <f>J736/J740</f>
        <v>#DIV/0!</v>
      </c>
      <c r="L736">
        <v>99.96</v>
      </c>
      <c r="M736" s="15" t="e">
        <f t="shared" si="322"/>
        <v>#DIV/0!</v>
      </c>
      <c r="O736" s="38" t="s">
        <v>30</v>
      </c>
      <c r="P736" s="13"/>
      <c r="Q736" s="14" t="e">
        <f>P736/P739</f>
        <v>#DIV/0!</v>
      </c>
      <c r="R736">
        <v>99.96</v>
      </c>
      <c r="S736" s="40" t="e">
        <f t="shared" si="323"/>
        <v>#DIV/0!</v>
      </c>
      <c r="U736" s="46" t="s">
        <v>30</v>
      </c>
      <c r="V736" s="52"/>
      <c r="W736" s="14" t="e">
        <f>V736/V739</f>
        <v>#DIV/0!</v>
      </c>
      <c r="X736">
        <v>99.96</v>
      </c>
      <c r="Y736" s="48" t="e">
        <f>W736*X736</f>
        <v>#DIV/0!</v>
      </c>
    </row>
    <row r="737" spans="1:25" x14ac:dyDescent="0.35">
      <c r="A737" s="23">
        <v>3477</v>
      </c>
      <c r="B737" s="2"/>
      <c r="C737" s="21" t="s">
        <v>31</v>
      </c>
      <c r="D737" s="13">
        <v>197697</v>
      </c>
      <c r="E737" s="14">
        <f>D737/D740</f>
        <v>0.1136255610239445</v>
      </c>
      <c r="F737">
        <v>99.96</v>
      </c>
      <c r="G737" s="15">
        <f t="shared" si="321"/>
        <v>11.358011079953492</v>
      </c>
      <c r="I737" s="21" t="s">
        <v>31</v>
      </c>
      <c r="J737" s="52"/>
      <c r="K737" s="14" t="e">
        <f>J737/J740</f>
        <v>#DIV/0!</v>
      </c>
      <c r="L737">
        <v>99.96</v>
      </c>
      <c r="M737" s="15" t="e">
        <f t="shared" si="322"/>
        <v>#DIV/0!</v>
      </c>
      <c r="O737" s="38" t="s">
        <v>31</v>
      </c>
      <c r="P737" s="13"/>
      <c r="Q737" s="14" t="e">
        <f>P737/P739</f>
        <v>#DIV/0!</v>
      </c>
      <c r="R737">
        <v>99.96</v>
      </c>
      <c r="S737" s="40" t="e">
        <f t="shared" si="323"/>
        <v>#DIV/0!</v>
      </c>
      <c r="U737" s="46" t="s">
        <v>31</v>
      </c>
      <c r="V737" s="52"/>
      <c r="W737" s="14" t="e">
        <f>V737/V739</f>
        <v>#DIV/0!</v>
      </c>
      <c r="X737">
        <v>99.96</v>
      </c>
      <c r="Y737" s="48" t="e">
        <f t="shared" ref="Y737" si="325">W737*X737</f>
        <v>#DIV/0!</v>
      </c>
    </row>
    <row r="738" spans="1:25" ht="15" thickBot="1" x14ac:dyDescent="0.4">
      <c r="A738" s="24">
        <f>SUM(A735:A737)</f>
        <v>1316524</v>
      </c>
      <c r="B738" s="2"/>
      <c r="C738" s="21" t="s">
        <v>32</v>
      </c>
      <c r="D738" s="13">
        <v>132</v>
      </c>
      <c r="E738" s="14">
        <f>D738/D740</f>
        <v>7.5866472709048047E-5</v>
      </c>
      <c r="F738">
        <v>99.96</v>
      </c>
      <c r="G738" s="15">
        <f t="shared" si="321"/>
        <v>7.5836126119964422E-3</v>
      </c>
      <c r="I738" s="21" t="s">
        <v>32</v>
      </c>
      <c r="J738" s="52"/>
      <c r="K738" s="14" t="e">
        <f>J738/J740</f>
        <v>#DIV/0!</v>
      </c>
      <c r="L738">
        <v>99.96</v>
      </c>
      <c r="M738" s="15" t="e">
        <f t="shared" si="322"/>
        <v>#DIV/0!</v>
      </c>
      <c r="O738" s="38" t="s">
        <v>33</v>
      </c>
      <c r="P738" s="13"/>
      <c r="Q738" s="14" t="e">
        <f>P738/P739</f>
        <v>#DIV/0!</v>
      </c>
      <c r="R738">
        <v>99.95</v>
      </c>
      <c r="S738" s="40" t="e">
        <f>Q738*R738</f>
        <v>#DIV/0!</v>
      </c>
      <c r="U738" s="46" t="s">
        <v>33</v>
      </c>
      <c r="V738" s="52"/>
      <c r="W738" s="14" t="e">
        <f>V738/V739</f>
        <v>#DIV/0!</v>
      </c>
      <c r="X738">
        <v>99.95</v>
      </c>
      <c r="Y738" s="48" t="e">
        <f>W738*X738</f>
        <v>#DIV/0!</v>
      </c>
    </row>
    <row r="739" spans="1:25" ht="15.5" thickTop="1" thickBot="1" x14ac:dyDescent="0.4">
      <c r="B739" s="2"/>
      <c r="C739" s="21" t="s">
        <v>33</v>
      </c>
      <c r="D739" s="13">
        <v>83803</v>
      </c>
      <c r="E739" s="16">
        <f>D739/D740</f>
        <v>4.8165439488154195E-2</v>
      </c>
      <c r="F739">
        <v>99.93</v>
      </c>
      <c r="G739" s="15">
        <f t="shared" si="321"/>
        <v>4.8131723680512488</v>
      </c>
      <c r="I739" s="21" t="s">
        <v>33</v>
      </c>
      <c r="J739" s="52"/>
      <c r="K739" s="16" t="e">
        <f>J739/J740</f>
        <v>#DIV/0!</v>
      </c>
      <c r="L739">
        <v>99.93</v>
      </c>
      <c r="M739" s="15" t="e">
        <f t="shared" si="322"/>
        <v>#DIV/0!</v>
      </c>
      <c r="O739" s="38"/>
      <c r="P739" s="31">
        <f>SUM(P734:P738)</f>
        <v>0</v>
      </c>
      <c r="Q739" s="32" t="e">
        <f>SUM(Q734:Q738)</f>
        <v>#DIV/0!</v>
      </c>
      <c r="R739" s="33">
        <f>AVERAGE(R734:R738)</f>
        <v>99.945999999999998</v>
      </c>
      <c r="S739" s="41" t="e">
        <f>SUM(S734:S738)</f>
        <v>#DIV/0!</v>
      </c>
      <c r="U739" s="46"/>
      <c r="V739" s="52">
        <f>SUM(V734:V738)</f>
        <v>0</v>
      </c>
      <c r="W739" s="32" t="e">
        <f>SUM(W734:W738)</f>
        <v>#DIV/0!</v>
      </c>
      <c r="X739" s="33">
        <f>AVERAGE(X734:X738)</f>
        <v>99.939999999999984</v>
      </c>
      <c r="Y739" s="58" t="e">
        <f>SUM(Y734:Y738)</f>
        <v>#DIV/0!</v>
      </c>
    </row>
    <row r="740" spans="1:25" ht="15" thickBot="1" x14ac:dyDescent="0.4">
      <c r="A740" s="10"/>
      <c r="B740" s="10"/>
      <c r="C740" s="10"/>
      <c r="D740" s="49">
        <f>SUM(D734:D739)</f>
        <v>1739899</v>
      </c>
      <c r="E740" s="50">
        <f>SUM(E734:E739)</f>
        <v>1</v>
      </c>
      <c r="F740" s="51">
        <f>AVERAGE(F734:F739)</f>
        <v>99.944999999999993</v>
      </c>
      <c r="G740" s="26">
        <f>SUM(G734:G739)</f>
        <v>99.953867178497148</v>
      </c>
      <c r="I740" s="10"/>
      <c r="J740" s="49">
        <f>SUM(J734:J739)</f>
        <v>0</v>
      </c>
      <c r="K740" s="50" t="e">
        <f>SUM(K734:K739)</f>
        <v>#DIV/0!</v>
      </c>
      <c r="L740" s="51">
        <f>AVERAGE(L734:L739)</f>
        <v>99.938333333333318</v>
      </c>
      <c r="M740" s="26" t="e">
        <f>SUM(M734:M739)</f>
        <v>#DIV/0!</v>
      </c>
      <c r="O740" s="34"/>
      <c r="P740" s="34"/>
      <c r="Q740" s="34"/>
      <c r="R740" s="36"/>
      <c r="S740" s="40"/>
      <c r="U740" s="42"/>
      <c r="V740" s="42"/>
      <c r="W740" s="42"/>
      <c r="X740" s="44"/>
      <c r="Y740" s="45"/>
    </row>
    <row r="741" spans="1:25" ht="15" thickTop="1" x14ac:dyDescent="0.35">
      <c r="A741" s="29" t="s">
        <v>274</v>
      </c>
      <c r="B741" s="28"/>
      <c r="C741" s="28"/>
      <c r="D741" s="28"/>
      <c r="E741" s="28"/>
      <c r="F741" s="28"/>
      <c r="G741" s="28"/>
      <c r="I741" s="28"/>
      <c r="J741" s="28"/>
      <c r="K741" s="28"/>
      <c r="L741" s="28"/>
      <c r="M741" s="28"/>
      <c r="O741" s="28"/>
      <c r="P741" s="28"/>
      <c r="Q741" s="28"/>
      <c r="R741" s="28"/>
      <c r="S741" s="28"/>
      <c r="U741" s="28"/>
      <c r="V741" s="28"/>
      <c r="W741" s="28"/>
      <c r="X741" s="28"/>
      <c r="Y741" s="28"/>
    </row>
    <row r="742" spans="1:25" x14ac:dyDescent="0.35">
      <c r="A742" s="20" t="s">
        <v>275</v>
      </c>
      <c r="B742" s="20"/>
      <c r="C742" s="56" t="s">
        <v>115</v>
      </c>
      <c r="D742" s="11"/>
      <c r="E742" s="11"/>
      <c r="F742" s="11"/>
      <c r="G742" s="30" t="s">
        <v>115</v>
      </c>
      <c r="I742" s="56" t="s">
        <v>115</v>
      </c>
      <c r="J742" s="11"/>
      <c r="K742" s="11"/>
      <c r="L742" s="11"/>
      <c r="M742" s="30" t="s">
        <v>115</v>
      </c>
      <c r="O742" s="55" t="s">
        <v>116</v>
      </c>
      <c r="P742" s="34"/>
      <c r="Q742" s="34"/>
      <c r="R742" s="34"/>
      <c r="S742" s="35" t="s">
        <v>116</v>
      </c>
      <c r="U742" s="57" t="s">
        <v>117</v>
      </c>
      <c r="V742" s="42"/>
      <c r="W742" s="42"/>
      <c r="X742" s="42"/>
      <c r="Y742" s="43" t="s">
        <v>117</v>
      </c>
    </row>
    <row r="743" spans="1:25" ht="15" thickBot="1" x14ac:dyDescent="0.4">
      <c r="A743" s="2"/>
      <c r="B743" s="2"/>
      <c r="C743" s="2"/>
      <c r="D743" s="18" t="s">
        <v>118</v>
      </c>
      <c r="E743" s="19" t="s">
        <v>119</v>
      </c>
      <c r="F743" s="18" t="s">
        <v>120</v>
      </c>
      <c r="G743" s="12" t="s">
        <v>121</v>
      </c>
      <c r="I743" s="2"/>
      <c r="J743" s="18" t="s">
        <v>118</v>
      </c>
      <c r="K743" s="19" t="s">
        <v>119</v>
      </c>
      <c r="L743" s="18" t="s">
        <v>120</v>
      </c>
      <c r="M743" s="12" t="s">
        <v>121</v>
      </c>
      <c r="O743" s="34"/>
      <c r="P743" s="18" t="s">
        <v>118</v>
      </c>
      <c r="Q743" s="19" t="s">
        <v>119</v>
      </c>
      <c r="R743" s="18" t="s">
        <v>120</v>
      </c>
      <c r="S743" s="39" t="s">
        <v>121</v>
      </c>
      <c r="U743" s="42"/>
      <c r="V743" s="18" t="s">
        <v>118</v>
      </c>
      <c r="W743" s="19" t="s">
        <v>119</v>
      </c>
      <c r="X743" s="18" t="s">
        <v>120</v>
      </c>
      <c r="Y743" s="47" t="s">
        <v>121</v>
      </c>
    </row>
    <row r="744" spans="1:25" ht="15" thickTop="1" x14ac:dyDescent="0.35">
      <c r="A744" s="22" t="s">
        <v>122</v>
      </c>
      <c r="B744" s="2"/>
      <c r="C744" s="21" t="s">
        <v>25</v>
      </c>
      <c r="D744" s="23">
        <v>1317832</v>
      </c>
      <c r="E744" s="14">
        <f>D744/D750</f>
        <v>0.75903149518316415</v>
      </c>
      <c r="F744">
        <v>99.96</v>
      </c>
      <c r="G744" s="15">
        <f t="shared" ref="G744:G749" si="326">E744*F744</f>
        <v>75.87278825850909</v>
      </c>
      <c r="I744" s="21" t="s">
        <v>25</v>
      </c>
      <c r="K744" s="14" t="e">
        <f>J744/J750</f>
        <v>#DIV/0!</v>
      </c>
      <c r="L744">
        <v>99.96</v>
      </c>
      <c r="M744" s="15" t="e">
        <f t="shared" ref="M744:M749" si="327">K744*L744</f>
        <v>#DIV/0!</v>
      </c>
      <c r="O744" s="38" t="s">
        <v>25</v>
      </c>
      <c r="P744" s="13"/>
      <c r="Q744" s="14" t="e">
        <f>P744/P749</f>
        <v>#DIV/0!</v>
      </c>
      <c r="R744">
        <v>99.95</v>
      </c>
      <c r="S744" s="40" t="e">
        <f t="shared" ref="S744:S747" si="328">Q744*R744</f>
        <v>#DIV/0!</v>
      </c>
      <c r="U744" s="46" t="s">
        <v>25</v>
      </c>
      <c r="V744" s="52"/>
      <c r="W744" s="14" t="e">
        <f>V744/V749</f>
        <v>#DIV/0!</v>
      </c>
      <c r="X744">
        <v>99.95</v>
      </c>
      <c r="Y744" s="48" t="e">
        <f t="shared" ref="Y744:Y745" si="329">W744*X744</f>
        <v>#DIV/0!</v>
      </c>
    </row>
    <row r="745" spans="1:25" x14ac:dyDescent="0.35">
      <c r="A745" s="23">
        <v>1314343</v>
      </c>
      <c r="B745" s="2"/>
      <c r="C745" s="21" t="s">
        <v>29</v>
      </c>
      <c r="D745" s="13">
        <v>136398</v>
      </c>
      <c r="E745" s="14">
        <f>D745/D750</f>
        <v>7.8561135167451709E-2</v>
      </c>
      <c r="F745">
        <v>99.9</v>
      </c>
      <c r="G745" s="15">
        <f t="shared" si="326"/>
        <v>7.848257403228426</v>
      </c>
      <c r="I745" s="21" t="s">
        <v>29</v>
      </c>
      <c r="K745" s="14" t="e">
        <f>J745/J750</f>
        <v>#DIV/0!</v>
      </c>
      <c r="L745">
        <v>99.9</v>
      </c>
      <c r="M745" s="15" t="e">
        <f t="shared" si="327"/>
        <v>#DIV/0!</v>
      </c>
      <c r="O745" s="38" t="s">
        <v>29</v>
      </c>
      <c r="P745" s="13"/>
      <c r="Q745" s="14" t="e">
        <f>P745/P749</f>
        <v>#DIV/0!</v>
      </c>
      <c r="R745">
        <v>99.89</v>
      </c>
      <c r="S745" s="40" t="e">
        <f t="shared" si="328"/>
        <v>#DIV/0!</v>
      </c>
      <c r="U745" s="46" t="s">
        <v>29</v>
      </c>
      <c r="V745" s="52"/>
      <c r="W745" s="14" t="e">
        <f>V745/V749</f>
        <v>#DIV/0!</v>
      </c>
      <c r="X745">
        <v>99.89</v>
      </c>
      <c r="Y745" s="48" t="e">
        <f t="shared" si="329"/>
        <v>#DIV/0!</v>
      </c>
    </row>
    <row r="746" spans="1:25" x14ac:dyDescent="0.35">
      <c r="A746" s="23">
        <v>12</v>
      </c>
      <c r="B746" s="2"/>
      <c r="C746" s="21" t="s">
        <v>30</v>
      </c>
      <c r="D746" s="13">
        <v>5805</v>
      </c>
      <c r="E746" s="14">
        <f>D746/D750</f>
        <v>3.3435049608282908E-3</v>
      </c>
      <c r="F746">
        <v>99.96</v>
      </c>
      <c r="G746" s="15">
        <f t="shared" si="326"/>
        <v>0.33421675588439592</v>
      </c>
      <c r="I746" s="21" t="s">
        <v>30</v>
      </c>
      <c r="K746" s="14" t="e">
        <f>J746/J750</f>
        <v>#DIV/0!</v>
      </c>
      <c r="L746">
        <v>99.96</v>
      </c>
      <c r="M746" s="15" t="e">
        <f t="shared" si="327"/>
        <v>#DIV/0!</v>
      </c>
      <c r="O746" s="38" t="s">
        <v>30</v>
      </c>
      <c r="P746" s="13"/>
      <c r="Q746" s="14" t="e">
        <f>P746/P749</f>
        <v>#DIV/0!</v>
      </c>
      <c r="R746">
        <v>99.95</v>
      </c>
      <c r="S746" s="40" t="e">
        <f t="shared" si="328"/>
        <v>#DIV/0!</v>
      </c>
      <c r="U746" s="46" t="s">
        <v>30</v>
      </c>
      <c r="V746" s="52"/>
      <c r="W746" s="14" t="e">
        <f>V746/V749</f>
        <v>#DIV/0!</v>
      </c>
      <c r="X746">
        <v>99.95</v>
      </c>
      <c r="Y746" s="48" t="e">
        <f>W746*X746</f>
        <v>#DIV/0!</v>
      </c>
    </row>
    <row r="747" spans="1:25" x14ac:dyDescent="0.35">
      <c r="A747" s="23">
        <v>3477</v>
      </c>
      <c r="B747" s="2"/>
      <c r="C747" s="21" t="s">
        <v>31</v>
      </c>
      <c r="D747" s="13">
        <v>197709</v>
      </c>
      <c r="E747" s="14">
        <f>D747/D750</f>
        <v>0.11387442244623609</v>
      </c>
      <c r="F747">
        <v>99.96</v>
      </c>
      <c r="G747" s="15">
        <f t="shared" si="326"/>
        <v>11.38288726772576</v>
      </c>
      <c r="I747" s="21" t="s">
        <v>31</v>
      </c>
      <c r="K747" s="14" t="e">
        <f>J747/J750</f>
        <v>#DIV/0!</v>
      </c>
      <c r="L747">
        <v>99.96</v>
      </c>
      <c r="M747" s="15" t="e">
        <f t="shared" si="327"/>
        <v>#DIV/0!</v>
      </c>
      <c r="O747" s="38" t="s">
        <v>31</v>
      </c>
      <c r="P747" s="13"/>
      <c r="Q747" s="14" t="e">
        <f>P747/P749</f>
        <v>#DIV/0!</v>
      </c>
      <c r="R747">
        <v>99.95</v>
      </c>
      <c r="S747" s="40" t="e">
        <f t="shared" si="328"/>
        <v>#DIV/0!</v>
      </c>
      <c r="U747" s="46" t="s">
        <v>31</v>
      </c>
      <c r="V747" s="52"/>
      <c r="W747" s="14" t="e">
        <f>V747/V749</f>
        <v>#DIV/0!</v>
      </c>
      <c r="X747">
        <v>99.95</v>
      </c>
      <c r="Y747" s="48" t="e">
        <f t="shared" ref="Y747" si="330">W747*X747</f>
        <v>#DIV/0!</v>
      </c>
    </row>
    <row r="748" spans="1:25" ht="15" thickBot="1" x14ac:dyDescent="0.4">
      <c r="A748" s="24">
        <f>SUM(A745:A747)</f>
        <v>1317832</v>
      </c>
      <c r="B748" s="2"/>
      <c r="C748" s="21" t="s">
        <v>32</v>
      </c>
      <c r="D748" s="13">
        <v>132</v>
      </c>
      <c r="E748" s="14">
        <f>D748/D750</f>
        <v>7.6028019781108417E-5</v>
      </c>
      <c r="F748">
        <v>99.96</v>
      </c>
      <c r="G748" s="15">
        <f t="shared" si="326"/>
        <v>7.5997608573195969E-3</v>
      </c>
      <c r="I748" s="21" t="s">
        <v>32</v>
      </c>
      <c r="K748" s="14" t="e">
        <f>J748/J750</f>
        <v>#DIV/0!</v>
      </c>
      <c r="L748">
        <v>99.96</v>
      </c>
      <c r="M748" s="15" t="e">
        <f t="shared" si="327"/>
        <v>#DIV/0!</v>
      </c>
      <c r="O748" s="38" t="s">
        <v>33</v>
      </c>
      <c r="P748" s="13"/>
      <c r="Q748" s="14" t="e">
        <f>P748/P749</f>
        <v>#DIV/0!</v>
      </c>
      <c r="R748">
        <v>99.94</v>
      </c>
      <c r="S748" s="40" t="e">
        <f>Q748*R748</f>
        <v>#DIV/0!</v>
      </c>
      <c r="U748" s="46" t="s">
        <v>33</v>
      </c>
      <c r="V748" s="52"/>
      <c r="W748" s="14" t="e">
        <f>V748/V749</f>
        <v>#DIV/0!</v>
      </c>
      <c r="X748">
        <v>99.94</v>
      </c>
      <c r="Y748" s="48" t="e">
        <f>W748*X748</f>
        <v>#DIV/0!</v>
      </c>
    </row>
    <row r="749" spans="1:25" ht="15.5" thickTop="1" thickBot="1" x14ac:dyDescent="0.4">
      <c r="B749" s="2"/>
      <c r="C749" s="21" t="s">
        <v>33</v>
      </c>
      <c r="D749" s="13">
        <v>78326</v>
      </c>
      <c r="E749" s="16">
        <f>D749/D750</f>
        <v>4.5113414222538624E-2</v>
      </c>
      <c r="F749">
        <v>99.93</v>
      </c>
      <c r="G749" s="15">
        <f t="shared" si="326"/>
        <v>4.5081834832582848</v>
      </c>
      <c r="I749" s="21" t="s">
        <v>33</v>
      </c>
      <c r="K749" s="16" t="e">
        <f>J749/J750</f>
        <v>#DIV/0!</v>
      </c>
      <c r="L749">
        <v>99.93</v>
      </c>
      <c r="M749" s="15" t="e">
        <f t="shared" si="327"/>
        <v>#DIV/0!</v>
      </c>
      <c r="O749" s="38"/>
      <c r="P749" s="31">
        <f>SUM(P744:P748)</f>
        <v>0</v>
      </c>
      <c r="Q749" s="32" t="e">
        <f>SUM(Q744:Q748)</f>
        <v>#DIV/0!</v>
      </c>
      <c r="R749" s="33">
        <f>AVERAGE(R744:R748)</f>
        <v>99.936000000000007</v>
      </c>
      <c r="S749" s="41" t="e">
        <f>SUM(S744:S748)</f>
        <v>#DIV/0!</v>
      </c>
      <c r="U749" s="46"/>
      <c r="V749" s="52">
        <f>SUM(V744:V748)</f>
        <v>0</v>
      </c>
      <c r="W749" s="32" t="e">
        <f>SUM(W744:W748)</f>
        <v>#DIV/0!</v>
      </c>
      <c r="X749" s="33">
        <f>AVERAGE(X744:X748)</f>
        <v>99.936000000000007</v>
      </c>
      <c r="Y749" s="58" t="e">
        <f>SUM(Y744:Y748)</f>
        <v>#DIV/0!</v>
      </c>
    </row>
    <row r="750" spans="1:25" ht="15" thickBot="1" x14ac:dyDescent="0.4">
      <c r="A750" s="10"/>
      <c r="B750" s="10"/>
      <c r="C750" s="10"/>
      <c r="D750" s="49">
        <f>SUM(D744:D749)</f>
        <v>1736202</v>
      </c>
      <c r="E750" s="50">
        <f>SUM(E744:E749)</f>
        <v>1</v>
      </c>
      <c r="F750" s="51">
        <f>AVERAGE(F744:F749)</f>
        <v>99.944999999999993</v>
      </c>
      <c r="G750" s="26">
        <f>SUM(G744:G749)</f>
        <v>99.953932929463278</v>
      </c>
      <c r="I750" s="10"/>
      <c r="J750" s="49">
        <f>SUM(J744:J749)</f>
        <v>0</v>
      </c>
      <c r="K750" s="50" t="e">
        <f>SUM(K744:K749)</f>
        <v>#DIV/0!</v>
      </c>
      <c r="L750" s="51">
        <f>AVERAGE(L744:L749)</f>
        <v>99.944999999999993</v>
      </c>
      <c r="M750" s="26" t="e">
        <f>SUM(M744:M749)</f>
        <v>#DIV/0!</v>
      </c>
      <c r="O750" s="34"/>
      <c r="P750" s="34"/>
      <c r="Q750" s="34"/>
      <c r="R750" s="36"/>
      <c r="S750" s="40"/>
      <c r="U750" s="42"/>
      <c r="V750" s="42"/>
      <c r="W750" s="42"/>
      <c r="X750" s="44"/>
      <c r="Y750" s="45"/>
    </row>
    <row r="751" spans="1:25" ht="15" thickTop="1" x14ac:dyDescent="0.35">
      <c r="A751" s="29" t="s">
        <v>276</v>
      </c>
      <c r="B751" s="28"/>
      <c r="C751" s="28"/>
      <c r="D751" s="28"/>
      <c r="E751" s="28"/>
      <c r="F751" s="28"/>
      <c r="G751" s="28"/>
      <c r="I751" s="28"/>
      <c r="J751" s="28"/>
      <c r="K751" s="28"/>
      <c r="L751" s="28"/>
      <c r="M751" s="28"/>
      <c r="O751" s="28"/>
      <c r="P751" s="28"/>
      <c r="Q751" s="28"/>
      <c r="R751" s="28"/>
      <c r="S751" s="28"/>
      <c r="U751" s="28"/>
      <c r="V751" s="28"/>
      <c r="W751" s="28"/>
      <c r="X751" s="28"/>
      <c r="Y751" s="28"/>
    </row>
    <row r="752" spans="1:25" x14ac:dyDescent="0.35">
      <c r="A752" s="20" t="s">
        <v>275</v>
      </c>
      <c r="B752" s="20"/>
      <c r="C752" s="56" t="s">
        <v>115</v>
      </c>
      <c r="D752" s="11"/>
      <c r="E752" s="11"/>
      <c r="F752" s="11"/>
      <c r="G752" s="30" t="s">
        <v>115</v>
      </c>
      <c r="I752" s="56" t="s">
        <v>115</v>
      </c>
      <c r="J752" s="11"/>
      <c r="K752" s="11"/>
      <c r="L752" s="11"/>
      <c r="M752" s="30" t="s">
        <v>115</v>
      </c>
      <c r="O752" s="55" t="s">
        <v>116</v>
      </c>
      <c r="P752" s="34"/>
      <c r="Q752" s="34"/>
      <c r="R752" s="34"/>
      <c r="S752" s="35" t="s">
        <v>116</v>
      </c>
      <c r="U752" s="57" t="s">
        <v>117</v>
      </c>
      <c r="V752" s="42"/>
      <c r="W752" s="42"/>
      <c r="X752" s="42"/>
      <c r="Y752" s="43" t="s">
        <v>117</v>
      </c>
    </row>
    <row r="753" spans="1:25" ht="15" thickBot="1" x14ac:dyDescent="0.4">
      <c r="A753" s="2"/>
      <c r="B753" s="2"/>
      <c r="C753" s="2"/>
      <c r="D753" s="18" t="s">
        <v>118</v>
      </c>
      <c r="E753" s="19" t="s">
        <v>119</v>
      </c>
      <c r="F753" s="18" t="s">
        <v>120</v>
      </c>
      <c r="G753" s="12" t="s">
        <v>121</v>
      </c>
      <c r="I753" s="2"/>
      <c r="J753" s="18" t="s">
        <v>118</v>
      </c>
      <c r="K753" s="19" t="s">
        <v>119</v>
      </c>
      <c r="L753" s="18" t="s">
        <v>120</v>
      </c>
      <c r="M753" s="12" t="s">
        <v>121</v>
      </c>
      <c r="O753" s="34"/>
      <c r="P753" s="18" t="s">
        <v>118</v>
      </c>
      <c r="Q753" s="19" t="s">
        <v>119</v>
      </c>
      <c r="R753" s="18" t="s">
        <v>120</v>
      </c>
      <c r="S753" s="39" t="s">
        <v>121</v>
      </c>
      <c r="U753" s="42"/>
      <c r="V753" s="18" t="s">
        <v>118</v>
      </c>
      <c r="W753" s="19" t="s">
        <v>119</v>
      </c>
      <c r="X753" s="18" t="s">
        <v>120</v>
      </c>
      <c r="Y753" s="47" t="s">
        <v>121</v>
      </c>
    </row>
    <row r="754" spans="1:25" ht="15" thickTop="1" x14ac:dyDescent="0.35">
      <c r="A754" s="22" t="s">
        <v>122</v>
      </c>
      <c r="B754" s="2"/>
      <c r="C754" s="21" t="s">
        <v>25</v>
      </c>
      <c r="D754" s="23">
        <v>1317832</v>
      </c>
      <c r="E754" s="14">
        <f>D754/D760</f>
        <v>0.75903149518316415</v>
      </c>
      <c r="F754">
        <v>99.96</v>
      </c>
      <c r="G754" s="15">
        <f t="shared" ref="G754:G759" si="331">E754*F754</f>
        <v>75.87278825850909</v>
      </c>
      <c r="I754" s="21" t="s">
        <v>25</v>
      </c>
      <c r="J754" s="52"/>
      <c r="K754" s="14" t="e">
        <f>J754/J760</f>
        <v>#DIV/0!</v>
      </c>
      <c r="L754">
        <v>99.96</v>
      </c>
      <c r="M754" s="15" t="e">
        <f t="shared" ref="M754:M759" si="332">K754*L754</f>
        <v>#DIV/0!</v>
      </c>
      <c r="O754" s="38" t="s">
        <v>25</v>
      </c>
      <c r="P754" s="13"/>
      <c r="Q754" s="14" t="e">
        <f>P754/P759</f>
        <v>#DIV/0!</v>
      </c>
      <c r="R754">
        <v>99.96</v>
      </c>
      <c r="S754" s="40" t="e">
        <f t="shared" ref="S754:S757" si="333">Q754*R754</f>
        <v>#DIV/0!</v>
      </c>
      <c r="U754" s="46" t="s">
        <v>25</v>
      </c>
      <c r="V754" s="52"/>
      <c r="W754" s="14" t="e">
        <f>V754/V759</f>
        <v>#DIV/0!</v>
      </c>
      <c r="X754">
        <v>99.96</v>
      </c>
      <c r="Y754" s="48" t="e">
        <f t="shared" ref="Y754:Y755" si="334">W754*X754</f>
        <v>#DIV/0!</v>
      </c>
    </row>
    <row r="755" spans="1:25" x14ac:dyDescent="0.35">
      <c r="A755" s="23">
        <v>1314343</v>
      </c>
      <c r="B755" s="2"/>
      <c r="C755" s="21" t="s">
        <v>29</v>
      </c>
      <c r="D755" s="13">
        <v>136398</v>
      </c>
      <c r="E755" s="14">
        <f>D755/D760</f>
        <v>7.8561135167451709E-2</v>
      </c>
      <c r="F755">
        <v>99.9</v>
      </c>
      <c r="G755" s="15">
        <f t="shared" si="331"/>
        <v>7.848257403228426</v>
      </c>
      <c r="I755" s="21" t="s">
        <v>29</v>
      </c>
      <c r="J755" s="52"/>
      <c r="K755" s="14" t="e">
        <f>J755/J760</f>
        <v>#DIV/0!</v>
      </c>
      <c r="L755">
        <v>99.9</v>
      </c>
      <c r="M755" s="15" t="e">
        <f t="shared" si="332"/>
        <v>#DIV/0!</v>
      </c>
      <c r="O755" s="38" t="s">
        <v>29</v>
      </c>
      <c r="P755" s="13"/>
      <c r="Q755" s="14" t="e">
        <f>P755/P759</f>
        <v>#DIV/0!</v>
      </c>
      <c r="R755">
        <v>99.9</v>
      </c>
      <c r="S755" s="40" t="e">
        <f t="shared" si="333"/>
        <v>#DIV/0!</v>
      </c>
      <c r="U755" s="46" t="s">
        <v>29</v>
      </c>
      <c r="V755" s="52"/>
      <c r="W755" s="14" t="e">
        <f>V755/V759</f>
        <v>#DIV/0!</v>
      </c>
      <c r="X755">
        <v>99.87</v>
      </c>
      <c r="Y755" s="48" t="e">
        <f t="shared" si="334"/>
        <v>#DIV/0!</v>
      </c>
    </row>
    <row r="756" spans="1:25" x14ac:dyDescent="0.35">
      <c r="A756" s="23">
        <v>12</v>
      </c>
      <c r="B756" s="2"/>
      <c r="C756" s="21" t="s">
        <v>30</v>
      </c>
      <c r="D756" s="13">
        <v>5805</v>
      </c>
      <c r="E756" s="14">
        <f>D756/D760</f>
        <v>3.3435049608282908E-3</v>
      </c>
      <c r="F756">
        <v>99.96</v>
      </c>
      <c r="G756" s="15">
        <f t="shared" si="331"/>
        <v>0.33421675588439592</v>
      </c>
      <c r="I756" s="21" t="s">
        <v>30</v>
      </c>
      <c r="J756" s="52"/>
      <c r="K756" s="14" t="e">
        <f>J756/J760</f>
        <v>#DIV/0!</v>
      </c>
      <c r="L756">
        <v>99.96</v>
      </c>
      <c r="M756" s="15" t="e">
        <f t="shared" si="332"/>
        <v>#DIV/0!</v>
      </c>
      <c r="O756" s="38" t="s">
        <v>30</v>
      </c>
      <c r="P756" s="13"/>
      <c r="Q756" s="14" t="e">
        <f>P756/P759</f>
        <v>#DIV/0!</v>
      </c>
      <c r="R756">
        <v>99.96</v>
      </c>
      <c r="S756" s="40" t="e">
        <f t="shared" si="333"/>
        <v>#DIV/0!</v>
      </c>
      <c r="U756" s="46" t="s">
        <v>30</v>
      </c>
      <c r="V756" s="52"/>
      <c r="W756" s="14" t="e">
        <f>V756/V759</f>
        <v>#DIV/0!</v>
      </c>
      <c r="X756">
        <v>99.96</v>
      </c>
      <c r="Y756" s="48" t="e">
        <f>W756*X756</f>
        <v>#DIV/0!</v>
      </c>
    </row>
    <row r="757" spans="1:25" x14ac:dyDescent="0.35">
      <c r="A757" s="23">
        <v>3477</v>
      </c>
      <c r="B757" s="2"/>
      <c r="C757" s="21" t="s">
        <v>31</v>
      </c>
      <c r="D757" s="13">
        <v>197709</v>
      </c>
      <c r="E757" s="14">
        <f>D757/D760</f>
        <v>0.11387442244623609</v>
      </c>
      <c r="F757">
        <v>99.96</v>
      </c>
      <c r="G757" s="15">
        <f t="shared" si="331"/>
        <v>11.38288726772576</v>
      </c>
      <c r="I757" s="21" t="s">
        <v>31</v>
      </c>
      <c r="J757" s="52"/>
      <c r="K757" s="14" t="e">
        <f>J757/J760</f>
        <v>#DIV/0!</v>
      </c>
      <c r="L757">
        <v>99.96</v>
      </c>
      <c r="M757" s="15" t="e">
        <f t="shared" si="332"/>
        <v>#DIV/0!</v>
      </c>
      <c r="O757" s="38" t="s">
        <v>31</v>
      </c>
      <c r="P757" s="13"/>
      <c r="Q757" s="14" t="e">
        <f>P757/P759</f>
        <v>#DIV/0!</v>
      </c>
      <c r="R757">
        <v>99.96</v>
      </c>
      <c r="S757" s="40" t="e">
        <f t="shared" si="333"/>
        <v>#DIV/0!</v>
      </c>
      <c r="U757" s="46" t="s">
        <v>31</v>
      </c>
      <c r="V757" s="52"/>
      <c r="W757" s="14" t="e">
        <f>V757/V759</f>
        <v>#DIV/0!</v>
      </c>
      <c r="X757">
        <v>99.96</v>
      </c>
      <c r="Y757" s="48" t="e">
        <f t="shared" ref="Y757" si="335">W757*X757</f>
        <v>#DIV/0!</v>
      </c>
    </row>
    <row r="758" spans="1:25" ht="15" thickBot="1" x14ac:dyDescent="0.4">
      <c r="A758" s="24">
        <f>SUM(A755:A757)</f>
        <v>1317832</v>
      </c>
      <c r="B758" s="2"/>
      <c r="C758" s="21" t="s">
        <v>32</v>
      </c>
      <c r="D758" s="13">
        <v>132</v>
      </c>
      <c r="E758" s="14">
        <f>D758/D760</f>
        <v>7.6028019781108417E-5</v>
      </c>
      <c r="F758">
        <v>99.96</v>
      </c>
      <c r="G758" s="15">
        <f t="shared" si="331"/>
        <v>7.5997608573195969E-3</v>
      </c>
      <c r="I758" s="21" t="s">
        <v>32</v>
      </c>
      <c r="J758" s="52"/>
      <c r="K758" s="14" t="e">
        <f>J758/J760</f>
        <v>#DIV/0!</v>
      </c>
      <c r="L758">
        <v>99.96</v>
      </c>
      <c r="M758" s="15" t="e">
        <f t="shared" si="332"/>
        <v>#DIV/0!</v>
      </c>
      <c r="O758" s="38" t="s">
        <v>33</v>
      </c>
      <c r="P758" s="13"/>
      <c r="Q758" s="14" t="e">
        <f>P758/P759</f>
        <v>#DIV/0!</v>
      </c>
      <c r="R758">
        <v>99.95</v>
      </c>
      <c r="S758" s="40" t="e">
        <f>Q758*R758</f>
        <v>#DIV/0!</v>
      </c>
      <c r="U758" s="46" t="s">
        <v>33</v>
      </c>
      <c r="V758" s="52"/>
      <c r="W758" s="14" t="e">
        <f>V758/V759</f>
        <v>#DIV/0!</v>
      </c>
      <c r="X758">
        <v>99.95</v>
      </c>
      <c r="Y758" s="48" t="e">
        <f>W758*X758</f>
        <v>#DIV/0!</v>
      </c>
    </row>
    <row r="759" spans="1:25" ht="15.5" thickTop="1" thickBot="1" x14ac:dyDescent="0.4">
      <c r="B759" s="2"/>
      <c r="C759" s="21" t="s">
        <v>33</v>
      </c>
      <c r="D759" s="13">
        <v>78326</v>
      </c>
      <c r="E759" s="16">
        <f>D759/D760</f>
        <v>4.5113414222538624E-2</v>
      </c>
      <c r="F759">
        <v>99.93</v>
      </c>
      <c r="G759" s="15">
        <f t="shared" si="331"/>
        <v>4.5081834832582848</v>
      </c>
      <c r="I759" s="21" t="s">
        <v>33</v>
      </c>
      <c r="J759" s="52"/>
      <c r="K759" s="16" t="e">
        <f>J759/J760</f>
        <v>#DIV/0!</v>
      </c>
      <c r="L759">
        <v>99.93</v>
      </c>
      <c r="M759" s="15" t="e">
        <f t="shared" si="332"/>
        <v>#DIV/0!</v>
      </c>
      <c r="O759" s="38"/>
      <c r="P759" s="31">
        <f>SUM(P754:P758)</f>
        <v>0</v>
      </c>
      <c r="Q759" s="32" t="e">
        <f>SUM(Q754:Q758)</f>
        <v>#DIV/0!</v>
      </c>
      <c r="R759" s="33">
        <f>AVERAGE(R754:R758)</f>
        <v>99.945999999999998</v>
      </c>
      <c r="S759" s="41" t="e">
        <f>SUM(S754:S758)</f>
        <v>#DIV/0!</v>
      </c>
      <c r="U759" s="46"/>
      <c r="V759" s="52">
        <f>SUM(V754:V758)</f>
        <v>0</v>
      </c>
      <c r="W759" s="32" t="e">
        <f>SUM(W754:W758)</f>
        <v>#DIV/0!</v>
      </c>
      <c r="X759" s="33">
        <f>AVERAGE(X754:X758)</f>
        <v>99.939999999999984</v>
      </c>
      <c r="Y759" s="58" t="e">
        <f>SUM(Y754:Y758)</f>
        <v>#DIV/0!</v>
      </c>
    </row>
    <row r="760" spans="1:25" ht="15" thickBot="1" x14ac:dyDescent="0.4">
      <c r="A760" s="10"/>
      <c r="B760" s="10"/>
      <c r="C760" s="10"/>
      <c r="D760" s="49">
        <f>SUM(D754:D759)</f>
        <v>1736202</v>
      </c>
      <c r="E760" s="50">
        <f>SUM(E754:E759)</f>
        <v>1</v>
      </c>
      <c r="F760" s="51">
        <f>AVERAGE(F754:F759)</f>
        <v>99.944999999999993</v>
      </c>
      <c r="G760" s="26">
        <f>SUM(G754:G759)</f>
        <v>99.953932929463278</v>
      </c>
      <c r="I760" s="10"/>
      <c r="J760" s="49">
        <f>SUM(J754:J759)</f>
        <v>0</v>
      </c>
      <c r="K760" s="50" t="e">
        <f>SUM(K754:K759)</f>
        <v>#DIV/0!</v>
      </c>
      <c r="L760" s="51">
        <f>AVERAGE(L754:L759)</f>
        <v>99.944999999999993</v>
      </c>
      <c r="M760" s="26" t="e">
        <f>SUM(M754:M759)</f>
        <v>#DIV/0!</v>
      </c>
      <c r="O760" s="34"/>
      <c r="P760" s="34"/>
      <c r="Q760" s="34"/>
      <c r="R760" s="36"/>
      <c r="S760" s="40"/>
      <c r="U760" s="42"/>
      <c r="V760" s="42"/>
      <c r="W760" s="42"/>
      <c r="X760" s="44"/>
      <c r="Y760" s="45"/>
    </row>
    <row r="761" spans="1:25" ht="15" thickTop="1" x14ac:dyDescent="0.35"/>
  </sheetData>
  <pageMargins left="0.7" right="0.7" top="0.75" bottom="0.75" header="0.3" footer="0.3"/>
  <pageSetup orientation="portrait" verticalDpi="0" r:id="rId1"/>
  <ignoredErrors>
    <ignoredError sqref="R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47D6-4685-4908-B4D3-5A2E7A6A3AC9}">
  <sheetPr codeName="Sheet11"/>
  <dimension ref="A2:B8"/>
  <sheetViews>
    <sheetView workbookViewId="0">
      <selection activeCell="P2" sqref="P2"/>
    </sheetView>
  </sheetViews>
  <sheetFormatPr defaultRowHeight="14.5" x14ac:dyDescent="0.35"/>
  <cols>
    <col min="1" max="1" width="13.81640625" customWidth="1"/>
    <col min="2" max="2" width="22.1796875" customWidth="1"/>
  </cols>
  <sheetData>
    <row r="2" spans="1:2" x14ac:dyDescent="0.35">
      <c r="A2" s="21" t="s">
        <v>25</v>
      </c>
      <c r="B2" s="17" t="s">
        <v>262</v>
      </c>
    </row>
    <row r="3" spans="1:2" x14ac:dyDescent="0.35">
      <c r="A3" s="21" t="s">
        <v>29</v>
      </c>
      <c r="B3" s="17" t="s">
        <v>263</v>
      </c>
    </row>
    <row r="4" spans="1:2" x14ac:dyDescent="0.35">
      <c r="A4" s="21" t="s">
        <v>30</v>
      </c>
      <c r="B4" s="17" t="s">
        <v>264</v>
      </c>
    </row>
    <row r="5" spans="1:2" x14ac:dyDescent="0.35">
      <c r="A5" s="21" t="s">
        <v>31</v>
      </c>
      <c r="B5" s="17" t="s">
        <v>265</v>
      </c>
    </row>
    <row r="6" spans="1:2" x14ac:dyDescent="0.35">
      <c r="A6" s="21" t="s">
        <v>32</v>
      </c>
      <c r="B6" s="17" t="s">
        <v>266</v>
      </c>
    </row>
    <row r="7" spans="1:2" x14ac:dyDescent="0.35">
      <c r="A7" s="21" t="s">
        <v>33</v>
      </c>
      <c r="B7" s="17" t="s">
        <v>267</v>
      </c>
    </row>
    <row r="8" spans="1:2" x14ac:dyDescent="0.35">
      <c r="B8" s="17">
        <f>SUM(B2:B7)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Downtime Entries</vt:lpstr>
      <vt:lpstr>1. Week SC SA</vt:lpstr>
      <vt:lpstr>1. Week AV and Other SA</vt:lpstr>
      <vt:lpstr>2. Month SC SA</vt:lpstr>
      <vt:lpstr>2. Month AV and Other SA</vt:lpstr>
      <vt:lpstr>3. Year AV and Other SA</vt:lpstr>
      <vt:lpstr>3. Year SC SA</vt:lpstr>
      <vt:lpstr>4. Rolling 12 Mo SC SA</vt:lpstr>
      <vt:lpstr>4. Rolling 12 Mos AV and Other </vt:lpstr>
      <vt:lpstr>2025_SC Overall Weighted SA</vt:lpstr>
      <vt:lpstr>Sheet9</vt:lpstr>
    </vt:vector>
  </TitlesOfParts>
  <Manager/>
  <Company>Semtech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T James</dc:creator>
  <cp:keywords/>
  <dc:description/>
  <cp:lastModifiedBy>Pranav Doshi</cp:lastModifiedBy>
  <cp:revision/>
  <dcterms:created xsi:type="dcterms:W3CDTF">2025-01-18T16:44:46Z</dcterms:created>
  <dcterms:modified xsi:type="dcterms:W3CDTF">2026-03-06T17:41:05Z</dcterms:modified>
  <cp:category/>
  <cp:contentStatus/>
</cp:coreProperties>
</file>